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gic Stick" sheetId="1" r:id="rId5"/>
    <sheet state="visible" name="Magic Stick-by Promoter" sheetId="2" r:id="rId6"/>
  </sheets>
  <definedNames/>
  <calcPr/>
</workbook>
</file>

<file path=xl/sharedStrings.xml><?xml version="1.0" encoding="utf-8"?>
<sst xmlns="http://schemas.openxmlformats.org/spreadsheetml/2006/main" count="103" uniqueCount="84">
  <si>
    <t>VENUE TOTAL</t>
  </si>
  <si>
    <t>***MAGIC STICK RESULTS***</t>
  </si>
  <si>
    <t xml:space="preserve">MAGIC STICK </t>
  </si>
  <si>
    <t>Name</t>
  </si>
  <si>
    <t>Promoter Code</t>
  </si>
  <si>
    <t>Date</t>
  </si>
  <si>
    <t>Day of the week</t>
  </si>
  <si>
    <t>Tickets Sold</t>
  </si>
  <si>
    <t>Venue Capacity</t>
  </si>
  <si>
    <t>Capacity Rate</t>
  </si>
  <si>
    <t>Gross Ticket Revenue</t>
  </si>
  <si>
    <t>Avg. Ticket Price (including TW rebate)</t>
  </si>
  <si>
    <t>Bar Revenue</t>
  </si>
  <si>
    <t>Avg sale of alcohol per guest</t>
  </si>
  <si>
    <t>Band(s) guarantee</t>
  </si>
  <si>
    <t>% of Gross Ticket Revenue</t>
  </si>
  <si>
    <t xml:space="preserve">Gate Settlement Gain/(Loss)  </t>
  </si>
  <si>
    <t>Bar Sales  - 100%</t>
  </si>
  <si>
    <t>Show Gross Proceeds (before COGS, Labor, &amp; Facility Costs)</t>
  </si>
  <si>
    <t>TOTALS</t>
  </si>
  <si>
    <t>AVERAGES</t>
  </si>
  <si>
    <t>Nora en Pure</t>
  </si>
  <si>
    <t>Shiba San</t>
  </si>
  <si>
    <t>Citizen</t>
  </si>
  <si>
    <t>Westemd</t>
  </si>
  <si>
    <t>Joywave</t>
  </si>
  <si>
    <t>EDX</t>
  </si>
  <si>
    <t>Vnnsa</t>
  </si>
  <si>
    <t>Cannons</t>
  </si>
  <si>
    <t>Common Creation</t>
  </si>
  <si>
    <t>Steve Darko</t>
  </si>
  <si>
    <t>The English Beat</t>
  </si>
  <si>
    <t>Kyle Watson</t>
  </si>
  <si>
    <t>The Bouncing Sould</t>
  </si>
  <si>
    <t>Disclosure</t>
  </si>
  <si>
    <t>Molchat Doma</t>
  </si>
  <si>
    <t>Korolova</t>
  </si>
  <si>
    <t>Terror</t>
  </si>
  <si>
    <t>Justin Jay</t>
  </si>
  <si>
    <t>Dsert Hearts</t>
  </si>
  <si>
    <t>Claude Von Stroke</t>
  </si>
  <si>
    <t>Inner City</t>
  </si>
  <si>
    <t>Hannah Wants</t>
  </si>
  <si>
    <t>Joel Korry</t>
  </si>
  <si>
    <t>Biscits</t>
  </si>
  <si>
    <t>Booka Shade</t>
  </si>
  <si>
    <t>Fllight Facilities</t>
  </si>
  <si>
    <t>The Regrettes</t>
  </si>
  <si>
    <t>Boris/Nothing</t>
  </si>
  <si>
    <t>Josh Butler</t>
  </si>
  <si>
    <t>Enter Shikari</t>
  </si>
  <si>
    <t>Kasbo</t>
  </si>
  <si>
    <t>Ben Bohmer</t>
  </si>
  <si>
    <t>Flamingosis</t>
  </si>
  <si>
    <t>Twin Temple</t>
  </si>
  <si>
    <t>Ben Sterling</t>
  </si>
  <si>
    <t>Alaska</t>
  </si>
  <si>
    <t>Patrick Topping</t>
  </si>
  <si>
    <t>Lakeyah</t>
  </si>
  <si>
    <t>Christoph/Spencer Brown</t>
  </si>
  <si>
    <t>Moon Boots</t>
  </si>
  <si>
    <t>Kevin Saunderson</t>
  </si>
  <si>
    <t>(1) In-House - Zach</t>
  </si>
  <si>
    <t>(2) In-House - Brie</t>
  </si>
  <si>
    <t>(3) Black Iris</t>
  </si>
  <si>
    <t>(4) Good Show - Jason Berry</t>
  </si>
  <si>
    <t>(5) Paxahau - Tom Pattyn</t>
  </si>
  <si>
    <t>(6) Rental event</t>
  </si>
  <si>
    <t>(7) Party Store co-pro</t>
  </si>
  <si>
    <t>(8) Further Frequencies</t>
  </si>
  <si>
    <t>MAGIC STICK TOTALS</t>
  </si>
  <si>
    <t>PROMOTER PER-SHOW AVERAGES</t>
  </si>
  <si>
    <t>Shows</t>
  </si>
  <si>
    <t>Shows &amp; Rentals</t>
  </si>
  <si>
    <t>% of Total Gross Proceeds</t>
  </si>
  <si>
    <t>Bar Sales  - 50%</t>
  </si>
  <si>
    <t>Paxahau - Tom Pattyn</t>
  </si>
  <si>
    <t>In-House - Zach</t>
  </si>
  <si>
    <t>In-House - Brie</t>
  </si>
  <si>
    <t>Further Frequencies</t>
  </si>
  <si>
    <t>Good Show - Jason Berry</t>
  </si>
  <si>
    <t>Black Iris</t>
  </si>
  <si>
    <t>Rental event</t>
  </si>
  <si>
    <t>Party Store co-pro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</si>
</sst>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m/d/yy"/>
    <numFmt numFmtId="169" formatCode="ddd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b/>
      <sz val="11.0"/>
      <color theme="1"/>
      <name val="Times New Roman"/>
    </font>
    <font>
      <sz val="10.0"/>
      <color theme="1"/>
      <name val="Times New Roman"/>
    </font>
    <font>
      <sz val="10.0"/>
      <color rgb="FFFF0000"/>
      <name val="Times New Roman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/>
    </xf>
    <xf borderId="5" fillId="5" fontId="5" numFmtId="0" xfId="0" applyAlignment="1" applyBorder="1" applyFill="1" applyFont="1">
      <alignment horizontal="center" shrinkToFit="0" wrapText="1"/>
    </xf>
    <xf borderId="6" fillId="5" fontId="5" numFmtId="0" xfId="0" applyAlignment="1" applyBorder="1" applyFont="1">
      <alignment horizontal="center" shrinkToFit="0" wrapText="1"/>
    </xf>
    <xf borderId="7" fillId="5" fontId="5" numFmtId="0" xfId="0" applyAlignment="1" applyBorder="1" applyFont="1">
      <alignment horizontal="center" shrinkToFit="0" wrapText="1"/>
    </xf>
    <xf borderId="7" fillId="5" fontId="5" numFmtId="164" xfId="0" applyAlignment="1" applyBorder="1" applyFont="1" applyNumberFormat="1">
      <alignment horizontal="center" shrinkToFit="0" wrapText="1"/>
    </xf>
    <xf borderId="8" fillId="5" fontId="5" numFmtId="0" xfId="0" applyAlignment="1" applyBorder="1" applyFont="1">
      <alignment horizontal="center" shrinkToFit="0" wrapText="1"/>
    </xf>
    <xf borderId="9" fillId="5" fontId="5" numFmtId="0" xfId="0" applyAlignment="1" applyBorder="1" applyFont="1">
      <alignment horizontal="center" shrinkToFit="0" wrapText="1"/>
    </xf>
    <xf borderId="10" fillId="5" fontId="5" numFmtId="0" xfId="0" applyAlignment="1" applyBorder="1" applyFont="1">
      <alignment horizontal="center" shrinkToFit="0" wrapText="1"/>
    </xf>
    <xf borderId="11" fillId="5" fontId="5" numFmtId="0" xfId="0" applyAlignment="1" applyBorder="1" applyFont="1">
      <alignment horizontal="center" shrinkToFit="0" wrapText="1"/>
    </xf>
    <xf borderId="12" fillId="3" fontId="5" numFmtId="0" xfId="0" applyBorder="1" applyFont="1"/>
    <xf borderId="13" fillId="3" fontId="5" numFmtId="0" xfId="0" applyAlignment="1" applyBorder="1" applyFont="1">
      <alignment horizontal="center"/>
    </xf>
    <xf borderId="13" fillId="3" fontId="4" numFmtId="0" xfId="0" applyBorder="1" applyFont="1"/>
    <xf borderId="13" fillId="3" fontId="5" numFmtId="164" xfId="0" applyBorder="1" applyFont="1" applyNumberFormat="1"/>
    <xf borderId="13" fillId="2" fontId="5" numFmtId="164" xfId="0" applyBorder="1" applyFont="1" applyNumberFormat="1"/>
    <xf borderId="13" fillId="3" fontId="5" numFmtId="165" xfId="0" applyBorder="1" applyFont="1" applyNumberFormat="1"/>
    <xf borderId="14" fillId="2" fontId="5" numFmtId="165" xfId="0" applyBorder="1" applyFont="1" applyNumberFormat="1"/>
    <xf borderId="14" fillId="3" fontId="5" numFmtId="165" xfId="0" applyBorder="1" applyFont="1" applyNumberFormat="1"/>
    <xf borderId="13" fillId="3" fontId="5" numFmtId="10" xfId="0" applyBorder="1" applyFont="1" applyNumberFormat="1"/>
    <xf borderId="13" fillId="3" fontId="5" numFmtId="166" xfId="0" applyBorder="1" applyFont="1" applyNumberFormat="1"/>
    <xf borderId="14" fillId="3" fontId="5" numFmtId="10" xfId="0" applyBorder="1" applyFont="1" applyNumberFormat="1"/>
    <xf borderId="15" fillId="0" fontId="4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67" xfId="0" applyFont="1" applyNumberFormat="1"/>
    <xf borderId="0" fillId="0" fontId="4" numFmtId="164" xfId="0" applyFont="1" applyNumberFormat="1"/>
    <xf borderId="16" fillId="0" fontId="4" numFmtId="167" xfId="0" applyBorder="1" applyFont="1" applyNumberFormat="1"/>
    <xf borderId="17" fillId="5" fontId="6" numFmtId="0" xfId="0" applyBorder="1" applyFont="1"/>
    <xf borderId="18" fillId="5" fontId="6" numFmtId="0" xfId="0" applyAlignment="1" applyBorder="1" applyFont="1">
      <alignment readingOrder="0"/>
    </xf>
    <xf borderId="17" fillId="5" fontId="6" numFmtId="0" xfId="0" applyAlignment="1" applyBorder="1" applyFont="1">
      <alignment horizontal="center" readingOrder="0"/>
    </xf>
    <xf borderId="17" fillId="5" fontId="6" numFmtId="168" xfId="0" applyAlignment="1" applyBorder="1" applyFont="1" applyNumberFormat="1">
      <alignment horizontal="center" readingOrder="0"/>
    </xf>
    <xf borderId="17" fillId="5" fontId="6" numFmtId="169" xfId="0" applyAlignment="1" applyBorder="1" applyFont="1" applyNumberFormat="1">
      <alignment horizontal="center"/>
    </xf>
    <xf borderId="17" fillId="5" fontId="6" numFmtId="164" xfId="0" applyAlignment="1" applyBorder="1" applyFont="1" applyNumberFormat="1">
      <alignment readingOrder="0"/>
    </xf>
    <xf borderId="17" fillId="5" fontId="6" numFmtId="164" xfId="0" applyBorder="1" applyFont="1" applyNumberFormat="1"/>
    <xf borderId="17" fillId="5" fontId="6" numFmtId="9" xfId="0" applyBorder="1" applyFont="1" applyNumberFormat="1"/>
    <xf borderId="17" fillId="5" fontId="6" numFmtId="165" xfId="0" applyAlignment="1" applyBorder="1" applyFont="1" applyNumberFormat="1">
      <alignment readingOrder="0"/>
    </xf>
    <xf borderId="17" fillId="5" fontId="6" numFmtId="166" xfId="0" applyBorder="1" applyFont="1" applyNumberFormat="1"/>
    <xf borderId="17" fillId="5" fontId="6" numFmtId="165" xfId="0" applyBorder="1" applyFont="1" applyNumberFormat="1"/>
    <xf borderId="19" fillId="5" fontId="6" numFmtId="9" xfId="0" applyBorder="1" applyFont="1" applyNumberFormat="1"/>
    <xf borderId="19" fillId="5" fontId="6" numFmtId="164" xfId="0" applyBorder="1" applyFont="1" applyNumberFormat="1"/>
    <xf borderId="0" fillId="0" fontId="6" numFmtId="0" xfId="0" applyFont="1"/>
    <xf borderId="15" fillId="0" fontId="6" numFmtId="0" xfId="0" applyAlignment="1" applyBorder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168" xfId="0" applyAlignment="1" applyFont="1" applyNumberFormat="1">
      <alignment horizontal="center" readingOrder="0"/>
    </xf>
    <xf borderId="0" fillId="0" fontId="6" numFmtId="169" xfId="0" applyAlignment="1" applyFont="1" applyNumberFormat="1">
      <alignment horizontal="center"/>
    </xf>
    <xf borderId="0" fillId="0" fontId="6" numFmtId="164" xfId="0" applyAlignment="1" applyFont="1" applyNumberFormat="1">
      <alignment readingOrder="0"/>
    </xf>
    <xf borderId="0" fillId="0" fontId="6" numFmtId="164" xfId="0" applyFont="1" applyNumberFormat="1"/>
    <xf borderId="0" fillId="0" fontId="6" numFmtId="9" xfId="0" applyFont="1" applyNumberFormat="1"/>
    <xf borderId="0" fillId="0" fontId="6" numFmtId="167" xfId="0" applyFont="1" applyNumberFormat="1"/>
    <xf borderId="16" fillId="0" fontId="6" numFmtId="9" xfId="0" applyBorder="1" applyFont="1" applyNumberFormat="1"/>
    <xf borderId="0" fillId="0" fontId="7" numFmtId="164" xfId="0" applyAlignment="1" applyFont="1" applyNumberFormat="1">
      <alignment readingOrder="0"/>
    </xf>
    <xf borderId="16" fillId="0" fontId="6" numFmtId="164" xfId="0" applyBorder="1" applyFont="1" applyNumberFormat="1"/>
    <xf borderId="17" fillId="5" fontId="6" numFmtId="0" xfId="0" applyAlignment="1" applyBorder="1" applyFont="1">
      <alignment horizontal="center"/>
    </xf>
    <xf borderId="17" fillId="5" fontId="6" numFmtId="167" xfId="0" applyBorder="1" applyFont="1" applyNumberFormat="1"/>
    <xf borderId="17" fillId="5" fontId="7" numFmtId="164" xfId="0" applyAlignment="1" applyBorder="1" applyFont="1" applyNumberFormat="1">
      <alignment readingOrder="0"/>
    </xf>
    <xf borderId="0" fillId="0" fontId="1" numFmtId="167" xfId="0" applyFont="1" applyNumberFormat="1"/>
    <xf borderId="16" fillId="0" fontId="7" numFmtId="164" xfId="0" applyBorder="1" applyFont="1" applyNumberFormat="1"/>
    <xf borderId="19" fillId="5" fontId="7" numFmtId="164" xfId="0" applyBorder="1" applyFont="1" applyNumberFormat="1"/>
    <xf borderId="0" fillId="0" fontId="6" numFmtId="0" xfId="0" applyAlignment="1" applyFont="1">
      <alignment horizontal="center"/>
    </xf>
    <xf borderId="18" fillId="6" fontId="6" numFmtId="0" xfId="0" applyAlignment="1" applyBorder="1" applyFill="1" applyFont="1">
      <alignment readingOrder="0"/>
    </xf>
    <xf borderId="0" fillId="0" fontId="1" numFmtId="164" xfId="0" applyFont="1" applyNumberFormat="1"/>
    <xf borderId="18" fillId="5" fontId="6" numFmtId="0" xfId="0" applyBorder="1" applyFont="1"/>
    <xf borderId="17" fillId="5" fontId="6" numFmtId="168" xfId="0" applyAlignment="1" applyBorder="1" applyFont="1" applyNumberFormat="1">
      <alignment horizontal="center"/>
    </xf>
    <xf borderId="17" fillId="5" fontId="7" numFmtId="164" xfId="0" applyBorder="1" applyFont="1" applyNumberFormat="1"/>
    <xf borderId="15" fillId="0" fontId="6" numFmtId="0" xfId="0" applyBorder="1" applyFont="1"/>
    <xf borderId="0" fillId="0" fontId="6" numFmtId="168" xfId="0" applyAlignment="1" applyFont="1" applyNumberFormat="1">
      <alignment horizontal="center"/>
    </xf>
    <xf borderId="0" fillId="0" fontId="7" numFmtId="164" xfId="0" applyFont="1" applyNumberFormat="1"/>
    <xf borderId="17" fillId="6" fontId="6" numFmtId="164" xfId="0" applyBorder="1" applyFont="1" applyNumberFormat="1"/>
    <xf borderId="18" fillId="6" fontId="6" numFmtId="0" xfId="0" applyBorder="1" applyFont="1"/>
    <xf borderId="0" fillId="0" fontId="1" numFmtId="166" xfId="0" applyFont="1" applyNumberFormat="1"/>
    <xf borderId="1" fillId="4" fontId="4" numFmtId="0" xfId="0" applyAlignment="1" applyBorder="1" applyFont="1">
      <alignment horizontal="center" shrinkToFit="0" wrapText="1"/>
    </xf>
    <xf borderId="20" fillId="5" fontId="5" numFmtId="0" xfId="0" applyAlignment="1" applyBorder="1" applyFont="1">
      <alignment horizontal="center" shrinkToFit="0" wrapText="1"/>
    </xf>
    <xf borderId="12" fillId="3" fontId="5" numFmtId="165" xfId="0" applyBorder="1" applyFont="1" applyNumberFormat="1"/>
    <xf borderId="14" fillId="3" fontId="5" numFmtId="9" xfId="0" applyBorder="1" applyFont="1" applyNumberFormat="1"/>
    <xf borderId="12" fillId="2" fontId="5" numFmtId="165" xfId="0" applyBorder="1" applyFont="1" applyNumberFormat="1"/>
    <xf borderId="13" fillId="2" fontId="5" numFmtId="165" xfId="0" applyBorder="1" applyFont="1" applyNumberFormat="1"/>
    <xf borderId="15" fillId="0" fontId="1" numFmtId="0" xfId="0" applyBorder="1" applyFont="1"/>
    <xf borderId="16" fillId="0" fontId="1" numFmtId="0" xfId="0" applyBorder="1" applyFont="1"/>
    <xf borderId="0" fillId="0" fontId="8" numFmtId="0" xfId="0" applyFont="1"/>
    <xf borderId="18" fillId="5" fontId="1" numFmtId="0" xfId="0" applyBorder="1" applyFont="1"/>
    <xf borderId="17" fillId="5" fontId="1" numFmtId="0" xfId="0" applyBorder="1" applyFont="1"/>
    <xf borderId="17" fillId="5" fontId="1" numFmtId="164" xfId="0" applyBorder="1" applyFont="1" applyNumberFormat="1"/>
    <xf borderId="17" fillId="5" fontId="1" numFmtId="10" xfId="0" applyBorder="1" applyFont="1" applyNumberFormat="1"/>
    <xf borderId="17" fillId="5" fontId="1" numFmtId="165" xfId="0" applyBorder="1" applyFont="1" applyNumberFormat="1"/>
    <xf borderId="17" fillId="5" fontId="1" numFmtId="166" xfId="0" applyBorder="1" applyFont="1" applyNumberFormat="1"/>
    <xf borderId="19" fillId="5" fontId="1" numFmtId="10" xfId="0" applyBorder="1" applyFont="1" applyNumberFormat="1"/>
    <xf borderId="18" fillId="5" fontId="1" numFmtId="165" xfId="0" applyBorder="1" applyFont="1" applyNumberFormat="1"/>
    <xf borderId="19" fillId="5" fontId="1" numFmtId="165" xfId="0" applyBorder="1" applyFont="1" applyNumberFormat="1"/>
    <xf borderId="0" fillId="0" fontId="1" numFmtId="10" xfId="0" applyFont="1" applyNumberFormat="1"/>
    <xf borderId="0" fillId="0" fontId="1" numFmtId="165" xfId="0" applyFont="1" applyNumberFormat="1"/>
    <xf borderId="16" fillId="0" fontId="1" numFmtId="10" xfId="0" applyBorder="1" applyFont="1" applyNumberFormat="1"/>
    <xf borderId="15" fillId="0" fontId="1" numFmtId="165" xfId="0" applyBorder="1" applyFont="1" applyNumberFormat="1"/>
    <xf borderId="16" fillId="0" fontId="1" numFmtId="165" xfId="0" applyBorder="1" applyFont="1" applyNumberFormat="1"/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43"/>
    <col customWidth="1" min="2" max="2" width="29.43"/>
    <col customWidth="1" min="3" max="3" width="10.57"/>
    <col customWidth="1" min="4" max="4" width="10.86"/>
    <col customWidth="1" min="5" max="5" width="6.43"/>
    <col customWidth="1" min="6" max="6" width="10.29"/>
    <col customWidth="1" min="7" max="7" width="9.0"/>
    <col customWidth="1" min="8" max="8" width="9.57"/>
    <col customWidth="1" min="9" max="9" width="12.71"/>
    <col customWidth="1" min="10" max="10" width="11.86"/>
    <col customWidth="1" min="11" max="11" width="12.14"/>
    <col customWidth="1" min="12" max="12" width="10.43"/>
    <col customWidth="1" min="13" max="13" width="12.29"/>
    <col customWidth="1" min="14" max="14" width="8.29"/>
    <col customWidth="1" min="15" max="15" width="11.86"/>
    <col customWidth="1" min="16" max="16" width="12.0"/>
    <col customWidth="1" min="17" max="17" width="13.86"/>
    <col customWidth="1" min="18" max="18" width="9.29"/>
    <col customWidth="1" min="19" max="20" width="9.14"/>
    <col customWidth="1" min="21" max="26" width="8.71"/>
  </cols>
  <sheetData>
    <row r="1">
      <c r="C1" s="1"/>
      <c r="O1" s="2" t="s">
        <v>0</v>
      </c>
      <c r="P1" s="3"/>
      <c r="Q1" s="4"/>
    </row>
    <row r="2"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6" t="s">
        <v>2</v>
      </c>
      <c r="P2" s="3"/>
      <c r="Q2" s="4"/>
    </row>
    <row r="3">
      <c r="B3" s="7" t="s">
        <v>3</v>
      </c>
      <c r="C3" s="8" t="s">
        <v>4</v>
      </c>
      <c r="D3" s="9" t="s">
        <v>5</v>
      </c>
      <c r="E3" s="9" t="s">
        <v>6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1" t="s">
        <v>15</v>
      </c>
      <c r="O3" s="12" t="s">
        <v>16</v>
      </c>
      <c r="P3" s="13" t="s">
        <v>17</v>
      </c>
      <c r="Q3" s="14" t="s">
        <v>18</v>
      </c>
    </row>
    <row r="4">
      <c r="B4" s="15" t="s">
        <v>19</v>
      </c>
      <c r="C4" s="16"/>
      <c r="D4" s="17"/>
      <c r="E4" s="17"/>
      <c r="F4" s="18">
        <f t="shared" ref="F4:G4" si="1">SUM(F7:F114)</f>
        <v>19443</v>
      </c>
      <c r="G4" s="18">
        <f t="shared" si="1"/>
        <v>74815</v>
      </c>
      <c r="H4" s="19"/>
      <c r="I4" s="20">
        <f>SUM(I7:I114)</f>
        <v>582044.25</v>
      </c>
      <c r="J4" s="19"/>
      <c r="K4" s="20">
        <f>SUM(K7:K114)</f>
        <v>370566.22</v>
      </c>
      <c r="L4" s="19"/>
      <c r="M4" s="20">
        <f t="shared" ref="M4:Q4" si="2">SUM(M7:M114)</f>
        <v>302578.91</v>
      </c>
      <c r="N4" s="21">
        <f t="shared" si="2"/>
        <v>24.14277543</v>
      </c>
      <c r="O4" s="20">
        <f t="shared" si="2"/>
        <v>69435.23</v>
      </c>
      <c r="P4" s="20">
        <f t="shared" si="2"/>
        <v>370566.22</v>
      </c>
      <c r="Q4" s="22">
        <f t="shared" si="2"/>
        <v>440001.45</v>
      </c>
    </row>
    <row r="5">
      <c r="B5" s="15" t="s">
        <v>20</v>
      </c>
      <c r="C5" s="16"/>
      <c r="D5" s="17"/>
      <c r="E5" s="17"/>
      <c r="F5" s="18">
        <f t="shared" ref="F5:G5" si="3">F4/COUNTA(F7:F114)</f>
        <v>462.9285714</v>
      </c>
      <c r="G5" s="18">
        <f t="shared" si="3"/>
        <v>748.15</v>
      </c>
      <c r="H5" s="23">
        <f>F4/G4</f>
        <v>0.2598810399</v>
      </c>
      <c r="I5" s="20">
        <f>I4/COUNTA(I7:I114)</f>
        <v>13858.19643</v>
      </c>
      <c r="J5" s="24">
        <f>I4/F4</f>
        <v>29.9359281</v>
      </c>
      <c r="K5" s="20">
        <f>K4/COUNTA(K7:K114)</f>
        <v>9264.1555</v>
      </c>
      <c r="L5" s="24">
        <f>K4/F4</f>
        <v>19.05910713</v>
      </c>
      <c r="M5" s="20">
        <f>M4/COUNTA(M7:M114)</f>
        <v>7204.259762</v>
      </c>
      <c r="N5" s="25">
        <f>M4/I4</f>
        <v>0.5198555093</v>
      </c>
      <c r="O5" s="20">
        <f t="shared" ref="O5:Q5" si="4">O4/COUNTA(O7:O114)</f>
        <v>1653.219762</v>
      </c>
      <c r="P5" s="20">
        <f t="shared" si="4"/>
        <v>9264.1555</v>
      </c>
      <c r="Q5" s="22">
        <f t="shared" si="4"/>
        <v>4400.0145</v>
      </c>
    </row>
    <row r="6">
      <c r="B6" s="26"/>
      <c r="C6" s="27"/>
      <c r="D6" s="28"/>
      <c r="E6" s="28"/>
      <c r="F6" s="29"/>
      <c r="G6" s="29"/>
      <c r="H6" s="29"/>
      <c r="I6" s="29"/>
      <c r="J6" s="30"/>
      <c r="K6" s="29"/>
      <c r="L6" s="30"/>
      <c r="M6" s="29"/>
      <c r="N6" s="31"/>
      <c r="O6" s="29"/>
      <c r="P6" s="29"/>
      <c r="Q6" s="31"/>
    </row>
    <row r="7">
      <c r="A7" s="32">
        <v>1.0</v>
      </c>
      <c r="B7" s="33" t="s">
        <v>21</v>
      </c>
      <c r="C7" s="34">
        <v>5.0</v>
      </c>
      <c r="D7" s="35">
        <v>44569.0</v>
      </c>
      <c r="E7" s="36">
        <f t="shared" ref="E7:E106" si="5">D7</f>
        <v>44569</v>
      </c>
      <c r="F7" s="37">
        <v>791.0</v>
      </c>
      <c r="G7" s="38">
        <v>800.0</v>
      </c>
      <c r="H7" s="39">
        <f t="shared" ref="H7:H106" si="6">IFERROR(F7/G7,"")</f>
        <v>0.98875</v>
      </c>
      <c r="I7" s="40">
        <v>32275.0</v>
      </c>
      <c r="J7" s="41">
        <f t="shared" ref="J7:J106" si="7">IFERROR(I7/F7,"")</f>
        <v>40.80278129</v>
      </c>
      <c r="K7" s="40">
        <v>31911.0</v>
      </c>
      <c r="L7" s="41">
        <f t="shared" ref="L7:L106" si="8">IFERROR(K7/F7,"")</f>
        <v>40.3426043</v>
      </c>
      <c r="M7" s="42">
        <f>20000+100+100+100+100</f>
        <v>20400</v>
      </c>
      <c r="N7" s="43">
        <f t="shared" ref="N7:N106" si="9">IFERROR(M7/I7,"")</f>
        <v>0.6320681642</v>
      </c>
      <c r="O7" s="37">
        <v>4614.31</v>
      </c>
      <c r="P7" s="38">
        <f t="shared" ref="P7:P106" si="10">K7</f>
        <v>31911</v>
      </c>
      <c r="Q7" s="44">
        <f>SUM(O7:P7)</f>
        <v>36525.31</v>
      </c>
    </row>
    <row r="8">
      <c r="A8" s="45">
        <v>2.0</v>
      </c>
      <c r="B8" s="46" t="s">
        <v>22</v>
      </c>
      <c r="C8" s="47">
        <v>5.0</v>
      </c>
      <c r="D8" s="48">
        <v>44589.0</v>
      </c>
      <c r="E8" s="49">
        <f t="shared" si="5"/>
        <v>44589</v>
      </c>
      <c r="F8" s="50">
        <v>821.0</v>
      </c>
      <c r="G8" s="51">
        <v>800.0</v>
      </c>
      <c r="H8" s="52">
        <f t="shared" si="6"/>
        <v>1.02625</v>
      </c>
      <c r="I8" s="50">
        <v>30794.75</v>
      </c>
      <c r="J8" s="53">
        <f t="shared" si="7"/>
        <v>37.50883069</v>
      </c>
      <c r="K8" s="50">
        <v>26411.5</v>
      </c>
      <c r="L8" s="53">
        <f t="shared" si="8"/>
        <v>32.16991474</v>
      </c>
      <c r="M8" s="51">
        <f>13500+1500</f>
        <v>15000</v>
      </c>
      <c r="N8" s="54">
        <f t="shared" si="9"/>
        <v>0.4870960147</v>
      </c>
      <c r="O8" s="55">
        <v>6222.38</v>
      </c>
      <c r="P8" s="51">
        <f t="shared" si="10"/>
        <v>26411.5</v>
      </c>
      <c r="Q8" s="56">
        <f t="shared" ref="Q8:Q106" si="11">O8+P8</f>
        <v>32633.88</v>
      </c>
    </row>
    <row r="9">
      <c r="A9" s="32">
        <v>3.0</v>
      </c>
      <c r="B9" s="33" t="s">
        <v>23</v>
      </c>
      <c r="C9" s="57"/>
      <c r="D9" s="35">
        <v>44604.0</v>
      </c>
      <c r="E9" s="36">
        <f t="shared" si="5"/>
        <v>44604</v>
      </c>
      <c r="F9" s="37">
        <v>705.0</v>
      </c>
      <c r="G9" s="38">
        <v>781.0</v>
      </c>
      <c r="H9" s="39">
        <f t="shared" si="6"/>
        <v>0.9026888604</v>
      </c>
      <c r="I9" s="37">
        <v>18213.75</v>
      </c>
      <c r="J9" s="58">
        <f t="shared" si="7"/>
        <v>25.83510638</v>
      </c>
      <c r="K9" s="37">
        <v>5811.0</v>
      </c>
      <c r="L9" s="58">
        <f t="shared" si="8"/>
        <v>8.242553191</v>
      </c>
      <c r="M9" s="38">
        <f>7822.91+750+300</f>
        <v>8872.91</v>
      </c>
      <c r="N9" s="43">
        <f t="shared" si="9"/>
        <v>0.4871544849</v>
      </c>
      <c r="O9" s="59">
        <v>5334.92</v>
      </c>
      <c r="P9" s="38">
        <f t="shared" si="10"/>
        <v>5811</v>
      </c>
      <c r="Q9" s="44">
        <f t="shared" si="11"/>
        <v>11145.92</v>
      </c>
    </row>
    <row r="10">
      <c r="A10" s="45">
        <v>4.0</v>
      </c>
      <c r="B10" s="46" t="s">
        <v>24</v>
      </c>
      <c r="C10" s="47">
        <v>5.0</v>
      </c>
      <c r="D10" s="48">
        <v>44617.0</v>
      </c>
      <c r="E10" s="49">
        <f t="shared" si="5"/>
        <v>44617</v>
      </c>
      <c r="F10" s="50">
        <v>501.0</v>
      </c>
      <c r="G10" s="51">
        <v>750.0</v>
      </c>
      <c r="H10" s="52">
        <f t="shared" si="6"/>
        <v>0.668</v>
      </c>
      <c r="I10" s="50">
        <v>10088.0</v>
      </c>
      <c r="J10" s="53">
        <f t="shared" si="7"/>
        <v>20.13572854</v>
      </c>
      <c r="K10" s="50">
        <v>0.0</v>
      </c>
      <c r="L10" s="53">
        <f t="shared" si="8"/>
        <v>0</v>
      </c>
      <c r="M10" s="51">
        <f>2710</f>
        <v>2710</v>
      </c>
      <c r="N10" s="54">
        <f t="shared" si="9"/>
        <v>0.2686360032</v>
      </c>
      <c r="O10" s="55">
        <v>3589.01</v>
      </c>
      <c r="P10" s="51">
        <f t="shared" si="10"/>
        <v>0</v>
      </c>
      <c r="Q10" s="56">
        <f t="shared" si="11"/>
        <v>3589.01</v>
      </c>
    </row>
    <row r="11">
      <c r="A11" s="32">
        <v>5.0</v>
      </c>
      <c r="B11" s="33" t="s">
        <v>25</v>
      </c>
      <c r="C11" s="34">
        <v>1.0</v>
      </c>
      <c r="D11" s="35">
        <v>44622.0</v>
      </c>
      <c r="E11" s="36">
        <f t="shared" si="5"/>
        <v>44622</v>
      </c>
      <c r="F11" s="37">
        <v>378.0</v>
      </c>
      <c r="G11" s="38">
        <v>800.0</v>
      </c>
      <c r="H11" s="39">
        <f t="shared" si="6"/>
        <v>0.4725</v>
      </c>
      <c r="I11" s="37">
        <v>10355.75</v>
      </c>
      <c r="J11" s="58">
        <f t="shared" si="7"/>
        <v>27.39616402</v>
      </c>
      <c r="K11" s="37">
        <v>3281.78</v>
      </c>
      <c r="L11" s="58">
        <f t="shared" si="8"/>
        <v>8.681957672</v>
      </c>
      <c r="M11" s="38">
        <f>5150+350</f>
        <v>5500</v>
      </c>
      <c r="N11" s="43">
        <f t="shared" si="9"/>
        <v>0.5311059073</v>
      </c>
      <c r="O11" s="37">
        <v>833.79</v>
      </c>
      <c r="P11" s="38">
        <f t="shared" si="10"/>
        <v>3281.78</v>
      </c>
      <c r="Q11" s="44">
        <f t="shared" si="11"/>
        <v>4115.57</v>
      </c>
    </row>
    <row r="12">
      <c r="A12" s="45">
        <v>6.0</v>
      </c>
      <c r="B12" s="46" t="s">
        <v>26</v>
      </c>
      <c r="C12" s="47">
        <v>5.0</v>
      </c>
      <c r="D12" s="48">
        <v>44624.0</v>
      </c>
      <c r="E12" s="49">
        <f t="shared" si="5"/>
        <v>44624</v>
      </c>
      <c r="F12" s="50">
        <v>306.0</v>
      </c>
      <c r="G12" s="51">
        <v>800.0</v>
      </c>
      <c r="H12" s="52">
        <f t="shared" si="6"/>
        <v>0.3825</v>
      </c>
      <c r="I12" s="50">
        <v>9086.0</v>
      </c>
      <c r="J12" s="53">
        <f t="shared" si="7"/>
        <v>29.69281046</v>
      </c>
      <c r="K12" s="50">
        <v>13502.6</v>
      </c>
      <c r="L12" s="53">
        <f t="shared" si="8"/>
        <v>44.12614379</v>
      </c>
      <c r="M12" s="51">
        <f>5000+600</f>
        <v>5600</v>
      </c>
      <c r="N12" s="54">
        <f t="shared" si="9"/>
        <v>0.6163328197</v>
      </c>
      <c r="O12" s="50">
        <v>-262.26</v>
      </c>
      <c r="P12" s="51">
        <f t="shared" si="10"/>
        <v>13502.6</v>
      </c>
      <c r="Q12" s="56">
        <f t="shared" si="11"/>
        <v>13240.34</v>
      </c>
    </row>
    <row r="13">
      <c r="A13" s="32">
        <v>7.0</v>
      </c>
      <c r="B13" s="33" t="s">
        <v>27</v>
      </c>
      <c r="C13" s="34">
        <v>5.0</v>
      </c>
      <c r="D13" s="35">
        <v>44632.0</v>
      </c>
      <c r="E13" s="36">
        <f t="shared" si="5"/>
        <v>44632</v>
      </c>
      <c r="F13" s="37">
        <v>376.0</v>
      </c>
      <c r="G13" s="38">
        <v>800.0</v>
      </c>
      <c r="H13" s="39">
        <f t="shared" si="6"/>
        <v>0.47</v>
      </c>
      <c r="I13" s="37">
        <v>8573.5</v>
      </c>
      <c r="J13" s="58">
        <f t="shared" si="7"/>
        <v>22.8018617</v>
      </c>
      <c r="K13" s="37">
        <v>12494.0</v>
      </c>
      <c r="L13" s="58">
        <f t="shared" si="8"/>
        <v>33.2287234</v>
      </c>
      <c r="M13" s="38">
        <f>7000+100+100</f>
        <v>7200</v>
      </c>
      <c r="N13" s="43">
        <f t="shared" si="9"/>
        <v>0.839797049</v>
      </c>
      <c r="O13" s="59">
        <v>-2657.21</v>
      </c>
      <c r="P13" s="38">
        <f t="shared" si="10"/>
        <v>12494</v>
      </c>
      <c r="Q13" s="44">
        <f t="shared" si="11"/>
        <v>9836.79</v>
      </c>
    </row>
    <row r="14">
      <c r="A14" s="45">
        <v>8.0</v>
      </c>
      <c r="B14" s="46" t="s">
        <v>28</v>
      </c>
      <c r="C14" s="47">
        <v>1.0</v>
      </c>
      <c r="D14" s="48">
        <v>44640.0</v>
      </c>
      <c r="E14" s="49">
        <f t="shared" si="5"/>
        <v>44640</v>
      </c>
      <c r="F14" s="50">
        <v>578.0</v>
      </c>
      <c r="G14" s="51">
        <v>814.0</v>
      </c>
      <c r="H14" s="52">
        <f t="shared" si="6"/>
        <v>0.7100737101</v>
      </c>
      <c r="I14" s="50">
        <v>12547.0</v>
      </c>
      <c r="J14" s="53">
        <f t="shared" si="7"/>
        <v>21.70761246</v>
      </c>
      <c r="K14" s="50">
        <v>7673.0</v>
      </c>
      <c r="L14" s="53">
        <f t="shared" si="8"/>
        <v>13.27508651</v>
      </c>
      <c r="M14" s="51">
        <f>4500+350</f>
        <v>4850</v>
      </c>
      <c r="N14" s="54">
        <f t="shared" si="9"/>
        <v>0.3865465848</v>
      </c>
      <c r="O14" s="50">
        <v>4439.4</v>
      </c>
      <c r="P14" s="51">
        <f t="shared" si="10"/>
        <v>7673</v>
      </c>
      <c r="Q14" s="56">
        <f t="shared" si="11"/>
        <v>12112.4</v>
      </c>
    </row>
    <row r="15">
      <c r="A15" s="32">
        <v>9.0</v>
      </c>
      <c r="B15" s="33" t="s">
        <v>29</v>
      </c>
      <c r="C15" s="34">
        <v>5.0</v>
      </c>
      <c r="D15" s="35">
        <v>44645.0</v>
      </c>
      <c r="E15" s="36">
        <f t="shared" si="5"/>
        <v>44645</v>
      </c>
      <c r="F15" s="37">
        <v>93.0</v>
      </c>
      <c r="G15" s="38">
        <v>800.0</v>
      </c>
      <c r="H15" s="39">
        <f t="shared" si="6"/>
        <v>0.11625</v>
      </c>
      <c r="I15" s="37">
        <v>1715.0</v>
      </c>
      <c r="J15" s="58">
        <f t="shared" si="7"/>
        <v>18.44086022</v>
      </c>
      <c r="K15" s="37">
        <v>0.0</v>
      </c>
      <c r="L15" s="58">
        <f t="shared" si="8"/>
        <v>0</v>
      </c>
      <c r="M15" s="38">
        <f>550</f>
        <v>550</v>
      </c>
      <c r="N15" s="43">
        <f t="shared" si="9"/>
        <v>0.3206997085</v>
      </c>
      <c r="O15" s="37">
        <v>-447.07</v>
      </c>
      <c r="P15" s="38">
        <f t="shared" si="10"/>
        <v>0</v>
      </c>
      <c r="Q15" s="44">
        <f t="shared" si="11"/>
        <v>-447.07</v>
      </c>
    </row>
    <row r="16">
      <c r="A16" s="45">
        <v>10.0</v>
      </c>
      <c r="B16" s="46" t="s">
        <v>30</v>
      </c>
      <c r="C16" s="47">
        <v>5.0</v>
      </c>
      <c r="D16" s="48">
        <v>44652.0</v>
      </c>
      <c r="E16" s="49">
        <f t="shared" si="5"/>
        <v>44652</v>
      </c>
      <c r="F16" s="50">
        <v>371.0</v>
      </c>
      <c r="G16" s="51">
        <v>800.0</v>
      </c>
      <c r="H16" s="52">
        <f t="shared" si="6"/>
        <v>0.46375</v>
      </c>
      <c r="I16" s="50">
        <v>8970.0</v>
      </c>
      <c r="J16" s="53">
        <f t="shared" si="7"/>
        <v>24.17789757</v>
      </c>
      <c r="K16" s="50">
        <v>0.0</v>
      </c>
      <c r="L16" s="53">
        <f t="shared" si="8"/>
        <v>0</v>
      </c>
      <c r="M16" s="51">
        <f>2500+1200</f>
        <v>3700</v>
      </c>
      <c r="N16" s="54">
        <f t="shared" si="9"/>
        <v>0.4124860647</v>
      </c>
      <c r="O16" s="50">
        <v>1692.24</v>
      </c>
      <c r="P16" s="51">
        <f t="shared" si="10"/>
        <v>0</v>
      </c>
      <c r="Q16" s="56">
        <f t="shared" si="11"/>
        <v>1692.24</v>
      </c>
    </row>
    <row r="17">
      <c r="A17" s="32">
        <v>11.0</v>
      </c>
      <c r="B17" s="33" t="s">
        <v>31</v>
      </c>
      <c r="C17" s="34">
        <v>1.0</v>
      </c>
      <c r="D17" s="35">
        <v>44654.0</v>
      </c>
      <c r="E17" s="36">
        <f t="shared" si="5"/>
        <v>44654</v>
      </c>
      <c r="F17" s="37">
        <v>413.0</v>
      </c>
      <c r="G17" s="38">
        <v>800.0</v>
      </c>
      <c r="H17" s="39">
        <f t="shared" si="6"/>
        <v>0.51625</v>
      </c>
      <c r="I17" s="37">
        <v>11260.5</v>
      </c>
      <c r="J17" s="58">
        <f t="shared" si="7"/>
        <v>27.26513317</v>
      </c>
      <c r="K17" s="37">
        <v>6074.0</v>
      </c>
      <c r="L17" s="58">
        <f t="shared" si="8"/>
        <v>14.70702179</v>
      </c>
      <c r="M17" s="38">
        <f>5000+250</f>
        <v>5250</v>
      </c>
      <c r="N17" s="43">
        <f t="shared" si="9"/>
        <v>0.4662315173</v>
      </c>
      <c r="O17" s="37">
        <v>2399.03</v>
      </c>
      <c r="P17" s="38">
        <f t="shared" si="10"/>
        <v>6074</v>
      </c>
      <c r="Q17" s="44">
        <f t="shared" si="11"/>
        <v>8473.03</v>
      </c>
      <c r="R17" s="60"/>
    </row>
    <row r="18">
      <c r="A18" s="45">
        <v>12.0</v>
      </c>
      <c r="B18" s="46" t="s">
        <v>32</v>
      </c>
      <c r="C18" s="47">
        <v>5.0</v>
      </c>
      <c r="D18" s="48">
        <v>44674.0</v>
      </c>
      <c r="E18" s="49">
        <f t="shared" si="5"/>
        <v>44674</v>
      </c>
      <c r="F18" s="50">
        <v>767.0</v>
      </c>
      <c r="G18" s="51">
        <v>750.0</v>
      </c>
      <c r="H18" s="52">
        <f t="shared" si="6"/>
        <v>1.022666667</v>
      </c>
      <c r="I18" s="50">
        <v>20367.75</v>
      </c>
      <c r="J18" s="53">
        <f t="shared" si="7"/>
        <v>26.55508475</v>
      </c>
      <c r="K18" s="50">
        <v>27345.5</v>
      </c>
      <c r="L18" s="53">
        <f t="shared" si="8"/>
        <v>35.65254237</v>
      </c>
      <c r="M18" s="51">
        <f>5000+1000</f>
        <v>6000</v>
      </c>
      <c r="N18" s="54">
        <f t="shared" si="9"/>
        <v>0.2945833487</v>
      </c>
      <c r="O18" s="55">
        <v>20367.75</v>
      </c>
      <c r="P18" s="51">
        <f t="shared" si="10"/>
        <v>27345.5</v>
      </c>
      <c r="Q18" s="56">
        <f t="shared" si="11"/>
        <v>47713.25</v>
      </c>
    </row>
    <row r="19">
      <c r="A19" s="32">
        <v>13.0</v>
      </c>
      <c r="B19" s="33" t="s">
        <v>33</v>
      </c>
      <c r="C19" s="34">
        <v>1.0</v>
      </c>
      <c r="D19" s="35">
        <v>44677.0</v>
      </c>
      <c r="E19" s="36">
        <f t="shared" si="5"/>
        <v>44677</v>
      </c>
      <c r="F19" s="37">
        <v>325.0</v>
      </c>
      <c r="G19" s="38">
        <v>800.0</v>
      </c>
      <c r="H19" s="39">
        <f t="shared" si="6"/>
        <v>0.40625</v>
      </c>
      <c r="I19" s="37">
        <v>10239.75</v>
      </c>
      <c r="J19" s="58">
        <f t="shared" si="7"/>
        <v>31.50692308</v>
      </c>
      <c r="K19" s="37">
        <v>5143.0</v>
      </c>
      <c r="L19" s="58">
        <f t="shared" si="8"/>
        <v>15.82461538</v>
      </c>
      <c r="M19" s="38">
        <f>6750+500+250</f>
        <v>7500</v>
      </c>
      <c r="N19" s="43">
        <f t="shared" si="9"/>
        <v>0.7324397568</v>
      </c>
      <c r="O19" s="59">
        <v>-4429.2</v>
      </c>
      <c r="P19" s="38">
        <f t="shared" si="10"/>
        <v>5143</v>
      </c>
      <c r="Q19" s="44">
        <f t="shared" si="11"/>
        <v>713.8</v>
      </c>
    </row>
    <row r="20">
      <c r="A20" s="45">
        <v>14.0</v>
      </c>
      <c r="B20" s="46" t="s">
        <v>34</v>
      </c>
      <c r="C20" s="47">
        <v>5.0</v>
      </c>
      <c r="D20" s="48">
        <v>44680.0</v>
      </c>
      <c r="E20" s="49">
        <f t="shared" si="5"/>
        <v>44680</v>
      </c>
      <c r="F20" s="50">
        <v>782.0</v>
      </c>
      <c r="G20" s="51">
        <v>750.0</v>
      </c>
      <c r="H20" s="52">
        <f t="shared" si="6"/>
        <v>1.042666667</v>
      </c>
      <c r="I20" s="50">
        <v>33458.0</v>
      </c>
      <c r="J20" s="53">
        <f t="shared" si="7"/>
        <v>42.78516624</v>
      </c>
      <c r="K20" s="50">
        <v>23710.0</v>
      </c>
      <c r="L20" s="53">
        <f t="shared" si="8"/>
        <v>30.31969309</v>
      </c>
      <c r="M20" s="51">
        <f>10000+3500+300</f>
        <v>13800</v>
      </c>
      <c r="N20" s="54">
        <f t="shared" si="9"/>
        <v>0.4124574093</v>
      </c>
      <c r="O20" s="55">
        <v>10403.24</v>
      </c>
      <c r="P20" s="51">
        <f t="shared" si="10"/>
        <v>23710</v>
      </c>
      <c r="Q20" s="61">
        <f t="shared" si="11"/>
        <v>34113.24</v>
      </c>
      <c r="S20" s="60"/>
      <c r="T20" s="60"/>
    </row>
    <row r="21" ht="15.75" customHeight="1">
      <c r="A21" s="32">
        <v>15.0</v>
      </c>
      <c r="B21" s="33" t="s">
        <v>35</v>
      </c>
      <c r="C21" s="57"/>
      <c r="D21" s="35">
        <v>44687.0</v>
      </c>
      <c r="E21" s="36">
        <f t="shared" si="5"/>
        <v>44687</v>
      </c>
      <c r="F21" s="37">
        <v>772.0</v>
      </c>
      <c r="G21" s="38">
        <v>800.0</v>
      </c>
      <c r="H21" s="39">
        <f t="shared" si="6"/>
        <v>0.965</v>
      </c>
      <c r="I21" s="37">
        <v>18214.5</v>
      </c>
      <c r="J21" s="58">
        <f t="shared" si="7"/>
        <v>23.59391192</v>
      </c>
      <c r="K21" s="37">
        <v>7595.43</v>
      </c>
      <c r="L21" s="58">
        <f t="shared" si="8"/>
        <v>9.838639896</v>
      </c>
      <c r="M21" s="38">
        <f>7177.82+150</f>
        <v>7327.82</v>
      </c>
      <c r="N21" s="43">
        <f t="shared" si="9"/>
        <v>0.4023069533</v>
      </c>
      <c r="O21" s="59">
        <v>6176.34</v>
      </c>
      <c r="P21" s="38">
        <f t="shared" si="10"/>
        <v>7595.43</v>
      </c>
      <c r="Q21" s="62">
        <f t="shared" si="11"/>
        <v>13771.77</v>
      </c>
    </row>
    <row r="22" ht="15.75" customHeight="1">
      <c r="A22" s="45">
        <v>16.0</v>
      </c>
      <c r="B22" s="46" t="s">
        <v>36</v>
      </c>
      <c r="C22" s="47">
        <v>5.0</v>
      </c>
      <c r="D22" s="48">
        <v>44694.0</v>
      </c>
      <c r="E22" s="49">
        <f t="shared" si="5"/>
        <v>44694</v>
      </c>
      <c r="F22" s="50">
        <v>257.0</v>
      </c>
      <c r="G22" s="51">
        <v>750.0</v>
      </c>
      <c r="H22" s="52">
        <f t="shared" si="6"/>
        <v>0.3426666667</v>
      </c>
      <c r="I22" s="50">
        <v>5890.5</v>
      </c>
      <c r="J22" s="53">
        <f t="shared" si="7"/>
        <v>22.92023346</v>
      </c>
      <c r="K22" s="50">
        <v>8594.05</v>
      </c>
      <c r="L22" s="53">
        <f t="shared" si="8"/>
        <v>33.43988327</v>
      </c>
      <c r="M22" s="51">
        <f>3500+250</f>
        <v>3750</v>
      </c>
      <c r="N22" s="54">
        <f t="shared" si="9"/>
        <v>0.6366182837</v>
      </c>
      <c r="O22" s="50">
        <v>-1643.88</v>
      </c>
      <c r="P22" s="51">
        <f t="shared" si="10"/>
        <v>8594.05</v>
      </c>
      <c r="Q22" s="56">
        <f t="shared" si="11"/>
        <v>6950.17</v>
      </c>
    </row>
    <row r="23" ht="15.75" customHeight="1">
      <c r="A23" s="32">
        <v>17.0</v>
      </c>
      <c r="B23" s="33" t="s">
        <v>37</v>
      </c>
      <c r="C23" s="34">
        <v>3.0</v>
      </c>
      <c r="D23" s="35">
        <v>44701.0</v>
      </c>
      <c r="E23" s="36">
        <f t="shared" si="5"/>
        <v>44701</v>
      </c>
      <c r="F23" s="37">
        <v>517.0</v>
      </c>
      <c r="G23" s="38">
        <v>750.0</v>
      </c>
      <c r="H23" s="39">
        <f t="shared" si="6"/>
        <v>0.6893333333</v>
      </c>
      <c r="I23" s="37">
        <v>10853.0</v>
      </c>
      <c r="J23" s="58">
        <f t="shared" si="7"/>
        <v>20.99226306</v>
      </c>
      <c r="K23" s="37">
        <v>0.0</v>
      </c>
      <c r="L23" s="58">
        <f t="shared" si="8"/>
        <v>0</v>
      </c>
      <c r="M23" s="38">
        <f>3000+1000+500+400+250</f>
        <v>5150</v>
      </c>
      <c r="N23" s="43">
        <f t="shared" si="9"/>
        <v>0.4745231733</v>
      </c>
      <c r="O23" s="59">
        <v>1258.51</v>
      </c>
      <c r="P23" s="38">
        <f t="shared" si="10"/>
        <v>0</v>
      </c>
      <c r="Q23" s="44">
        <f t="shared" si="11"/>
        <v>1258.51</v>
      </c>
    </row>
    <row r="24" ht="15.75" customHeight="1">
      <c r="A24" s="45">
        <v>18.0</v>
      </c>
      <c r="B24" s="46" t="s">
        <v>38</v>
      </c>
      <c r="C24" s="47">
        <v>5.0</v>
      </c>
      <c r="D24" s="48">
        <v>44702.0</v>
      </c>
      <c r="E24" s="49">
        <f t="shared" si="5"/>
        <v>44702</v>
      </c>
      <c r="F24" s="50">
        <v>189.0</v>
      </c>
      <c r="G24" s="51">
        <v>1503.0</v>
      </c>
      <c r="H24" s="52">
        <f t="shared" si="6"/>
        <v>0.125748503</v>
      </c>
      <c r="I24" s="50">
        <v>4700.0</v>
      </c>
      <c r="J24" s="53">
        <f t="shared" si="7"/>
        <v>24.86772487</v>
      </c>
      <c r="K24" s="50">
        <v>0.0</v>
      </c>
      <c r="L24" s="53">
        <f t="shared" si="8"/>
        <v>0</v>
      </c>
      <c r="M24" s="51">
        <f>3100+850+150+100+100+75+75</f>
        <v>4450</v>
      </c>
      <c r="N24" s="54">
        <f t="shared" si="9"/>
        <v>0.9468085106</v>
      </c>
      <c r="O24" s="50">
        <v>-3592.24</v>
      </c>
      <c r="P24" s="51">
        <f t="shared" si="10"/>
        <v>0</v>
      </c>
      <c r="Q24" s="56">
        <f t="shared" si="11"/>
        <v>-3592.24</v>
      </c>
    </row>
    <row r="25" ht="15.75" customHeight="1">
      <c r="A25" s="32">
        <v>19.0</v>
      </c>
      <c r="B25" s="33" t="s">
        <v>39</v>
      </c>
      <c r="C25" s="57"/>
      <c r="D25" s="35">
        <v>44708.0</v>
      </c>
      <c r="E25" s="36">
        <f t="shared" si="5"/>
        <v>44708</v>
      </c>
      <c r="F25" s="37">
        <v>667.0</v>
      </c>
      <c r="G25" s="38">
        <v>750.0</v>
      </c>
      <c r="H25" s="39">
        <f t="shared" si="6"/>
        <v>0.8893333333</v>
      </c>
      <c r="I25" s="37">
        <v>20675.0</v>
      </c>
      <c r="J25" s="58">
        <f t="shared" si="7"/>
        <v>30.9970015</v>
      </c>
      <c r="K25" s="37">
        <v>19624.0</v>
      </c>
      <c r="L25" s="58">
        <f t="shared" si="8"/>
        <v>29.42128936</v>
      </c>
      <c r="M25" s="38">
        <f>2500+2500+2500+2500</f>
        <v>10000</v>
      </c>
      <c r="N25" s="43">
        <f t="shared" si="9"/>
        <v>0.4836759371</v>
      </c>
      <c r="O25" s="37">
        <v>2649.84</v>
      </c>
      <c r="P25" s="38">
        <f t="shared" si="10"/>
        <v>19624</v>
      </c>
      <c r="Q25" s="44">
        <f t="shared" si="11"/>
        <v>22273.84</v>
      </c>
    </row>
    <row r="26" ht="15.75" customHeight="1">
      <c r="A26" s="45">
        <v>20.0</v>
      </c>
      <c r="B26" s="46" t="s">
        <v>40</v>
      </c>
      <c r="C26" s="63"/>
      <c r="D26" s="48">
        <v>44709.0</v>
      </c>
      <c r="E26" s="49">
        <f t="shared" si="5"/>
        <v>44709</v>
      </c>
      <c r="F26" s="50">
        <v>812.0</v>
      </c>
      <c r="G26" s="51">
        <v>800.0</v>
      </c>
      <c r="H26" s="52">
        <f t="shared" si="6"/>
        <v>1.015</v>
      </c>
      <c r="I26" s="50">
        <v>35071.0</v>
      </c>
      <c r="J26" s="53">
        <f t="shared" si="7"/>
        <v>43.1908867</v>
      </c>
      <c r="K26" s="50">
        <v>17145.0</v>
      </c>
      <c r="L26" s="53">
        <f t="shared" si="8"/>
        <v>21.11453202</v>
      </c>
      <c r="M26" s="51">
        <f>15000</f>
        <v>15000</v>
      </c>
      <c r="N26" s="54">
        <f t="shared" si="9"/>
        <v>0.4277038009</v>
      </c>
      <c r="O26" s="55">
        <v>11184.25</v>
      </c>
      <c r="P26" s="51">
        <f t="shared" si="10"/>
        <v>17145</v>
      </c>
      <c r="Q26" s="56">
        <f t="shared" si="11"/>
        <v>28329.25</v>
      </c>
    </row>
    <row r="27" ht="15.75" customHeight="1">
      <c r="A27" s="32">
        <v>21.0</v>
      </c>
      <c r="B27" s="33" t="s">
        <v>41</v>
      </c>
      <c r="C27" s="57"/>
      <c r="D27" s="35">
        <v>44710.0</v>
      </c>
      <c r="E27" s="36">
        <f t="shared" si="5"/>
        <v>44710</v>
      </c>
      <c r="F27" s="37">
        <v>774.0</v>
      </c>
      <c r="G27" s="38">
        <v>800.0</v>
      </c>
      <c r="H27" s="39">
        <f t="shared" si="6"/>
        <v>0.9675</v>
      </c>
      <c r="I27" s="37">
        <v>33728.0</v>
      </c>
      <c r="J27" s="58">
        <f t="shared" si="7"/>
        <v>43.57622739</v>
      </c>
      <c r="K27" s="37">
        <v>0.0</v>
      </c>
      <c r="L27" s="58">
        <f t="shared" si="8"/>
        <v>0</v>
      </c>
      <c r="M27" s="38">
        <f>9500+4500+500+500</f>
        <v>15000</v>
      </c>
      <c r="N27" s="43">
        <f t="shared" si="9"/>
        <v>0.4447343454</v>
      </c>
      <c r="O27" s="59">
        <v>8637.57</v>
      </c>
      <c r="P27" s="38">
        <f t="shared" si="10"/>
        <v>0</v>
      </c>
      <c r="Q27" s="44">
        <f t="shared" si="11"/>
        <v>8637.57</v>
      </c>
    </row>
    <row r="28" ht="15.75" customHeight="1">
      <c r="A28" s="45">
        <v>22.0</v>
      </c>
      <c r="B28" s="46" t="s">
        <v>22</v>
      </c>
      <c r="C28" s="63"/>
      <c r="D28" s="48">
        <v>44711.0</v>
      </c>
      <c r="E28" s="49">
        <f t="shared" si="5"/>
        <v>44711</v>
      </c>
      <c r="F28" s="50">
        <v>462.0</v>
      </c>
      <c r="G28" s="51">
        <v>750.0</v>
      </c>
      <c r="H28" s="52">
        <f t="shared" si="6"/>
        <v>0.616</v>
      </c>
      <c r="I28" s="50">
        <v>18401.0</v>
      </c>
      <c r="J28" s="53">
        <f t="shared" si="7"/>
        <v>39.82900433</v>
      </c>
      <c r="K28" s="50">
        <v>0.0</v>
      </c>
      <c r="L28" s="53">
        <f t="shared" si="8"/>
        <v>0</v>
      </c>
      <c r="M28" s="51">
        <f>12000+200</f>
        <v>12200</v>
      </c>
      <c r="N28" s="54">
        <f t="shared" si="9"/>
        <v>0.6630074452</v>
      </c>
      <c r="O28" s="55">
        <v>-3295.04</v>
      </c>
      <c r="P28" s="51">
        <f t="shared" si="10"/>
        <v>0</v>
      </c>
      <c r="Q28" s="56">
        <f t="shared" si="11"/>
        <v>-3295.04</v>
      </c>
    </row>
    <row r="29" ht="15.75" customHeight="1">
      <c r="A29" s="32">
        <v>23.0</v>
      </c>
      <c r="B29" s="33" t="s">
        <v>42</v>
      </c>
      <c r="C29" s="34">
        <v>5.0</v>
      </c>
      <c r="D29" s="35">
        <v>44722.0</v>
      </c>
      <c r="E29" s="36">
        <f t="shared" si="5"/>
        <v>44722</v>
      </c>
      <c r="F29" s="37">
        <v>180.0</v>
      </c>
      <c r="G29" s="38">
        <v>750.0</v>
      </c>
      <c r="H29" s="39">
        <f t="shared" si="6"/>
        <v>0.24</v>
      </c>
      <c r="I29" s="37">
        <v>4362.0</v>
      </c>
      <c r="J29" s="58">
        <f t="shared" si="7"/>
        <v>24.23333333</v>
      </c>
      <c r="K29" s="37">
        <v>9458.0</v>
      </c>
      <c r="L29" s="58">
        <f t="shared" si="8"/>
        <v>52.54444444</v>
      </c>
      <c r="M29" s="38">
        <f>3500+150+150</f>
        <v>3800</v>
      </c>
      <c r="N29" s="43">
        <f t="shared" si="9"/>
        <v>0.8711600183</v>
      </c>
      <c r="O29" s="59">
        <v>-3107.0</v>
      </c>
      <c r="P29" s="38">
        <f t="shared" si="10"/>
        <v>9458</v>
      </c>
      <c r="Q29" s="62">
        <f t="shared" si="11"/>
        <v>6351</v>
      </c>
    </row>
    <row r="30" ht="15.75" customHeight="1">
      <c r="A30" s="45">
        <v>24.0</v>
      </c>
      <c r="B30" s="64" t="s">
        <v>43</v>
      </c>
      <c r="C30" s="47">
        <v>5.0</v>
      </c>
      <c r="D30" s="48">
        <v>44736.0</v>
      </c>
      <c r="E30" s="49">
        <f t="shared" si="5"/>
        <v>44736</v>
      </c>
      <c r="F30" s="50">
        <v>444.0</v>
      </c>
      <c r="G30" s="51">
        <v>750.0</v>
      </c>
      <c r="H30" s="52">
        <f t="shared" si="6"/>
        <v>0.592</v>
      </c>
      <c r="I30" s="50">
        <v>11083.25</v>
      </c>
      <c r="J30" s="53">
        <f t="shared" si="7"/>
        <v>24.96227477</v>
      </c>
      <c r="K30" s="50">
        <v>16889.5</v>
      </c>
      <c r="L30" s="53">
        <f t="shared" si="8"/>
        <v>38.03941441</v>
      </c>
      <c r="M30" s="51">
        <f>5000</f>
        <v>5000</v>
      </c>
      <c r="N30" s="54">
        <f t="shared" si="9"/>
        <v>0.4511312115</v>
      </c>
      <c r="O30" s="55">
        <v>1273.7</v>
      </c>
      <c r="P30" s="51">
        <f t="shared" si="10"/>
        <v>16889.5</v>
      </c>
      <c r="Q30" s="56">
        <f t="shared" si="11"/>
        <v>18163.2</v>
      </c>
    </row>
    <row r="31" ht="15.75" customHeight="1">
      <c r="A31" s="32">
        <v>25.0</v>
      </c>
      <c r="B31" s="33" t="s">
        <v>44</v>
      </c>
      <c r="C31" s="57"/>
      <c r="D31" s="35">
        <v>44737.0</v>
      </c>
      <c r="E31" s="36">
        <f t="shared" si="5"/>
        <v>44737</v>
      </c>
      <c r="F31" s="37">
        <v>185.0</v>
      </c>
      <c r="G31" s="38">
        <v>754.0</v>
      </c>
      <c r="H31" s="39">
        <f t="shared" si="6"/>
        <v>0.2453580902</v>
      </c>
      <c r="I31" s="37">
        <v>3838.5</v>
      </c>
      <c r="J31" s="58">
        <f t="shared" si="7"/>
        <v>20.74864865</v>
      </c>
      <c r="K31" s="37">
        <v>5915.0</v>
      </c>
      <c r="L31" s="58">
        <f t="shared" si="8"/>
        <v>31.97297297</v>
      </c>
      <c r="M31" s="38">
        <f>2500</f>
        <v>2500</v>
      </c>
      <c r="N31" s="43">
        <f t="shared" si="9"/>
        <v>0.6512960792</v>
      </c>
      <c r="O31" s="59">
        <v>-579.51</v>
      </c>
      <c r="P31" s="38">
        <f t="shared" si="10"/>
        <v>5915</v>
      </c>
      <c r="Q31" s="44">
        <f t="shared" si="11"/>
        <v>5335.49</v>
      </c>
    </row>
    <row r="32" ht="15.75" customHeight="1">
      <c r="A32" s="45">
        <v>26.0</v>
      </c>
      <c r="B32" s="64" t="s">
        <v>45</v>
      </c>
      <c r="C32" s="47">
        <v>5.0</v>
      </c>
      <c r="D32" s="48">
        <v>44743.0</v>
      </c>
      <c r="E32" s="49">
        <f t="shared" si="5"/>
        <v>44743</v>
      </c>
      <c r="F32" s="50">
        <v>401.0</v>
      </c>
      <c r="G32" s="51">
        <v>750.0</v>
      </c>
      <c r="H32" s="52">
        <f t="shared" si="6"/>
        <v>0.5346666667</v>
      </c>
      <c r="I32" s="50">
        <v>10111.25</v>
      </c>
      <c r="J32" s="53">
        <f t="shared" si="7"/>
        <v>25.21508728</v>
      </c>
      <c r="K32" s="50">
        <v>13596.0</v>
      </c>
      <c r="L32" s="53">
        <f t="shared" si="8"/>
        <v>33.90523691</v>
      </c>
      <c r="M32" s="51">
        <f>5000+200+200</f>
        <v>5400</v>
      </c>
      <c r="N32" s="54">
        <f t="shared" si="9"/>
        <v>0.5340585981</v>
      </c>
      <c r="O32" s="55">
        <v>-1583.6</v>
      </c>
      <c r="P32" s="51">
        <f t="shared" si="10"/>
        <v>13596</v>
      </c>
      <c r="Q32" s="56">
        <f t="shared" si="11"/>
        <v>12012.4</v>
      </c>
      <c r="S32" s="65"/>
    </row>
    <row r="33" ht="15.75" customHeight="1">
      <c r="A33" s="32">
        <v>27.0</v>
      </c>
      <c r="B33" s="33" t="s">
        <v>46</v>
      </c>
      <c r="C33" s="34">
        <v>5.0</v>
      </c>
      <c r="D33" s="35">
        <v>44754.0</v>
      </c>
      <c r="E33" s="36">
        <f t="shared" si="5"/>
        <v>44754</v>
      </c>
      <c r="F33" s="37">
        <v>505.0</v>
      </c>
      <c r="G33" s="38">
        <v>800.0</v>
      </c>
      <c r="H33" s="39">
        <f t="shared" si="6"/>
        <v>0.63125</v>
      </c>
      <c r="I33" s="37">
        <v>13974.25</v>
      </c>
      <c r="J33" s="58">
        <f t="shared" si="7"/>
        <v>27.67178218</v>
      </c>
      <c r="K33" s="37">
        <v>8870.0</v>
      </c>
      <c r="L33" s="58">
        <f t="shared" si="8"/>
        <v>17.56435644</v>
      </c>
      <c r="M33" s="38">
        <f>5000+1000</f>
        <v>6000</v>
      </c>
      <c r="N33" s="43">
        <f t="shared" si="9"/>
        <v>0.4293611464</v>
      </c>
      <c r="O33" s="37">
        <v>2529.21</v>
      </c>
      <c r="P33" s="38">
        <f t="shared" si="10"/>
        <v>8870</v>
      </c>
      <c r="Q33" s="44">
        <f t="shared" si="11"/>
        <v>11399.21</v>
      </c>
      <c r="S33" s="60"/>
    </row>
    <row r="34" ht="15.75" customHeight="1">
      <c r="A34" s="45">
        <v>28.0</v>
      </c>
      <c r="B34" s="64" t="s">
        <v>47</v>
      </c>
      <c r="C34" s="47">
        <v>1.0</v>
      </c>
      <c r="D34" s="48">
        <v>44775.0</v>
      </c>
      <c r="E34" s="49">
        <f t="shared" si="5"/>
        <v>44775</v>
      </c>
      <c r="F34" s="50">
        <v>266.0</v>
      </c>
      <c r="G34" s="51">
        <v>800.0</v>
      </c>
      <c r="H34" s="52">
        <f t="shared" si="6"/>
        <v>0.3325</v>
      </c>
      <c r="I34" s="50">
        <v>6544.5</v>
      </c>
      <c r="J34" s="53">
        <f t="shared" si="7"/>
        <v>24.60338346</v>
      </c>
      <c r="K34" s="50">
        <v>1396.18</v>
      </c>
      <c r="L34" s="53">
        <f t="shared" si="8"/>
        <v>5.248796992</v>
      </c>
      <c r="M34" s="51">
        <f>7500+500</f>
        <v>8000</v>
      </c>
      <c r="N34" s="54">
        <f t="shared" si="9"/>
        <v>1.222400489</v>
      </c>
      <c r="O34" s="50">
        <v>-5089.91</v>
      </c>
      <c r="P34" s="51">
        <f t="shared" si="10"/>
        <v>1396.18</v>
      </c>
      <c r="Q34" s="56">
        <f t="shared" si="11"/>
        <v>-3693.73</v>
      </c>
      <c r="S34" s="60"/>
    </row>
    <row r="35" ht="15.75" customHeight="1">
      <c r="A35" s="32">
        <v>29.0</v>
      </c>
      <c r="B35" s="33" t="s">
        <v>48</v>
      </c>
      <c r="C35" s="34">
        <v>1.0</v>
      </c>
      <c r="D35" s="35">
        <v>44811.0</v>
      </c>
      <c r="E35" s="36">
        <f t="shared" si="5"/>
        <v>44811</v>
      </c>
      <c r="F35" s="37">
        <v>304.0</v>
      </c>
      <c r="G35" s="38">
        <v>700.0</v>
      </c>
      <c r="H35" s="39">
        <f t="shared" si="6"/>
        <v>0.4342857143</v>
      </c>
      <c r="I35" s="37">
        <v>8940.0</v>
      </c>
      <c r="J35" s="58">
        <f t="shared" si="7"/>
        <v>29.40789474</v>
      </c>
      <c r="K35" s="37">
        <v>2950.0</v>
      </c>
      <c r="L35" s="58">
        <f t="shared" si="8"/>
        <v>9.703947368</v>
      </c>
      <c r="M35" s="38">
        <f>3300+2200</f>
        <v>5500</v>
      </c>
      <c r="N35" s="43">
        <f t="shared" si="9"/>
        <v>0.615212528</v>
      </c>
      <c r="O35" s="37">
        <v>-104.08</v>
      </c>
      <c r="P35" s="38">
        <f t="shared" si="10"/>
        <v>2950</v>
      </c>
      <c r="Q35" s="44">
        <f t="shared" si="11"/>
        <v>2845.92</v>
      </c>
      <c r="S35" s="60"/>
    </row>
    <row r="36" ht="15.75" customHeight="1">
      <c r="A36" s="45">
        <v>30.0</v>
      </c>
      <c r="B36" s="46" t="s">
        <v>49</v>
      </c>
      <c r="C36" s="47">
        <v>5.0</v>
      </c>
      <c r="D36" s="48">
        <v>44820.0</v>
      </c>
      <c r="E36" s="49">
        <f t="shared" si="5"/>
        <v>44820</v>
      </c>
      <c r="F36" s="50">
        <v>153.0</v>
      </c>
      <c r="G36" s="51">
        <v>800.0</v>
      </c>
      <c r="H36" s="52">
        <f t="shared" si="6"/>
        <v>0.19125</v>
      </c>
      <c r="I36" s="50">
        <v>4318.75</v>
      </c>
      <c r="J36" s="53">
        <f t="shared" si="7"/>
        <v>28.22712418</v>
      </c>
      <c r="K36" s="50">
        <v>4448.91</v>
      </c>
      <c r="L36" s="53">
        <f t="shared" si="8"/>
        <v>29.07784314</v>
      </c>
      <c r="M36" s="51">
        <f>2500+650</f>
        <v>3150</v>
      </c>
      <c r="N36" s="54">
        <f t="shared" si="9"/>
        <v>0.7293777135</v>
      </c>
      <c r="O36" s="50">
        <v>-1605.4</v>
      </c>
      <c r="P36" s="51">
        <f t="shared" si="10"/>
        <v>4448.91</v>
      </c>
      <c r="Q36" s="56">
        <f t="shared" si="11"/>
        <v>2843.51</v>
      </c>
      <c r="S36" s="60"/>
    </row>
    <row r="37" ht="15.75" customHeight="1">
      <c r="A37" s="32">
        <v>31.0</v>
      </c>
      <c r="B37" s="33" t="s">
        <v>50</v>
      </c>
      <c r="C37" s="34">
        <v>1.0</v>
      </c>
      <c r="D37" s="35">
        <v>44825.0</v>
      </c>
      <c r="E37" s="36">
        <f t="shared" si="5"/>
        <v>44825</v>
      </c>
      <c r="F37" s="37">
        <v>444.0</v>
      </c>
      <c r="G37" s="38">
        <v>750.0</v>
      </c>
      <c r="H37" s="39">
        <f t="shared" si="6"/>
        <v>0.592</v>
      </c>
      <c r="I37" s="37">
        <v>11203.75</v>
      </c>
      <c r="J37" s="58">
        <f t="shared" si="7"/>
        <v>25.23367117</v>
      </c>
      <c r="K37" s="37">
        <v>4637.0</v>
      </c>
      <c r="L37" s="58">
        <f t="shared" si="8"/>
        <v>10.44369369</v>
      </c>
      <c r="M37" s="38">
        <f>4950+1200+350</f>
        <v>6500</v>
      </c>
      <c r="N37" s="43">
        <f t="shared" si="9"/>
        <v>0.5801628919</v>
      </c>
      <c r="O37" s="59">
        <v>1327.83</v>
      </c>
      <c r="P37" s="38">
        <f t="shared" si="10"/>
        <v>4637</v>
      </c>
      <c r="Q37" s="44">
        <f t="shared" si="11"/>
        <v>5964.83</v>
      </c>
      <c r="S37" s="60"/>
    </row>
    <row r="38" ht="15.75" customHeight="1">
      <c r="A38" s="45">
        <v>32.0</v>
      </c>
      <c r="B38" s="46" t="s">
        <v>51</v>
      </c>
      <c r="C38" s="47">
        <v>1.0</v>
      </c>
      <c r="D38" s="48">
        <v>44827.0</v>
      </c>
      <c r="E38" s="49">
        <f t="shared" si="5"/>
        <v>44827</v>
      </c>
      <c r="F38" s="50">
        <v>371.0</v>
      </c>
      <c r="G38" s="51">
        <v>750.0</v>
      </c>
      <c r="H38" s="52">
        <f t="shared" si="6"/>
        <v>0.4946666667</v>
      </c>
      <c r="I38" s="50">
        <v>8823.75</v>
      </c>
      <c r="J38" s="53">
        <f t="shared" si="7"/>
        <v>23.78369272</v>
      </c>
      <c r="K38" s="50">
        <v>8835.0</v>
      </c>
      <c r="L38" s="53">
        <f t="shared" si="8"/>
        <v>23.81401617</v>
      </c>
      <c r="M38" s="51">
        <f>10000</f>
        <v>10000</v>
      </c>
      <c r="N38" s="54">
        <f t="shared" si="9"/>
        <v>1.133305001</v>
      </c>
      <c r="O38" s="55">
        <v>-5785.22</v>
      </c>
      <c r="P38" s="51">
        <f t="shared" si="10"/>
        <v>8835</v>
      </c>
      <c r="Q38" s="61">
        <f t="shared" si="11"/>
        <v>3049.78</v>
      </c>
    </row>
    <row r="39" ht="15.75" customHeight="1">
      <c r="A39" s="32">
        <v>33.0</v>
      </c>
      <c r="B39" s="33" t="s">
        <v>52</v>
      </c>
      <c r="C39" s="34">
        <v>5.0</v>
      </c>
      <c r="D39" s="35">
        <v>44833.0</v>
      </c>
      <c r="E39" s="36">
        <f t="shared" si="5"/>
        <v>44833</v>
      </c>
      <c r="F39" s="37">
        <v>849.0</v>
      </c>
      <c r="G39" s="37">
        <v>800.0</v>
      </c>
      <c r="H39" s="39">
        <f t="shared" si="6"/>
        <v>1.06125</v>
      </c>
      <c r="I39" s="37">
        <v>22929.25</v>
      </c>
      <c r="J39" s="58">
        <f t="shared" si="7"/>
        <v>27.0073616</v>
      </c>
      <c r="K39" s="37">
        <v>20321.0</v>
      </c>
      <c r="L39" s="58">
        <f t="shared" si="8"/>
        <v>23.9352179</v>
      </c>
      <c r="M39" s="38">
        <f>7000+150+150</f>
        <v>7300</v>
      </c>
      <c r="N39" s="43">
        <f t="shared" si="9"/>
        <v>0.3183706401</v>
      </c>
      <c r="O39" s="59">
        <v>5157.31</v>
      </c>
      <c r="P39" s="38">
        <f t="shared" si="10"/>
        <v>20321</v>
      </c>
      <c r="Q39" s="44">
        <f t="shared" si="11"/>
        <v>25478.31</v>
      </c>
    </row>
    <row r="40" ht="15.75" customHeight="1">
      <c r="A40" s="45">
        <v>34.0</v>
      </c>
      <c r="B40" s="46" t="s">
        <v>53</v>
      </c>
      <c r="C40" s="47">
        <v>1.0</v>
      </c>
      <c r="D40" s="48">
        <v>44847.0</v>
      </c>
      <c r="E40" s="49">
        <f t="shared" si="5"/>
        <v>44847</v>
      </c>
      <c r="F40" s="50">
        <v>238.0</v>
      </c>
      <c r="G40" s="51">
        <v>800.0</v>
      </c>
      <c r="H40" s="52">
        <f t="shared" si="6"/>
        <v>0.2975</v>
      </c>
      <c r="I40" s="50">
        <v>6079.25</v>
      </c>
      <c r="J40" s="53">
        <f t="shared" si="7"/>
        <v>25.54306723</v>
      </c>
      <c r="K40" s="50">
        <v>4553.0</v>
      </c>
      <c r="L40" s="53">
        <f t="shared" si="8"/>
        <v>19.1302521</v>
      </c>
      <c r="M40" s="51">
        <f>2400+1600+250</f>
        <v>4250</v>
      </c>
      <c r="N40" s="54">
        <f t="shared" si="9"/>
        <v>0.6990993955</v>
      </c>
      <c r="O40" s="55">
        <v>-1160.51</v>
      </c>
      <c r="P40" s="51">
        <f t="shared" si="10"/>
        <v>4553</v>
      </c>
      <c r="Q40" s="61">
        <f t="shared" si="11"/>
        <v>3392.49</v>
      </c>
    </row>
    <row r="41" ht="15.75" customHeight="1">
      <c r="A41" s="32">
        <v>35.0</v>
      </c>
      <c r="B41" s="33" t="s">
        <v>54</v>
      </c>
      <c r="C41" s="34">
        <v>1.0</v>
      </c>
      <c r="D41" s="35">
        <v>44848.0</v>
      </c>
      <c r="E41" s="36">
        <f t="shared" si="5"/>
        <v>44848</v>
      </c>
      <c r="F41" s="37">
        <v>666.0</v>
      </c>
      <c r="G41" s="38">
        <v>800.0</v>
      </c>
      <c r="H41" s="39">
        <f t="shared" si="6"/>
        <v>0.8325</v>
      </c>
      <c r="I41" s="37">
        <v>19394.5</v>
      </c>
      <c r="J41" s="58">
        <f t="shared" si="7"/>
        <v>29.12087087</v>
      </c>
      <c r="K41" s="37">
        <v>8794.0</v>
      </c>
      <c r="L41" s="58">
        <f t="shared" si="8"/>
        <v>13.2042042</v>
      </c>
      <c r="M41" s="38">
        <f>6100+200</f>
        <v>6300</v>
      </c>
      <c r="N41" s="43">
        <f t="shared" si="9"/>
        <v>0.3248343603</v>
      </c>
      <c r="O41" s="59">
        <v>3719.52</v>
      </c>
      <c r="P41" s="38">
        <f t="shared" si="10"/>
        <v>8794</v>
      </c>
      <c r="Q41" s="44">
        <f t="shared" si="11"/>
        <v>12513.52</v>
      </c>
    </row>
    <row r="42" ht="15.75" customHeight="1">
      <c r="A42" s="45">
        <v>36.0</v>
      </c>
      <c r="B42" s="46" t="s">
        <v>55</v>
      </c>
      <c r="C42" s="47"/>
      <c r="D42" s="48">
        <v>44849.0</v>
      </c>
      <c r="E42" s="49">
        <f t="shared" si="5"/>
        <v>44849</v>
      </c>
      <c r="F42" s="50">
        <v>204.0</v>
      </c>
      <c r="G42" s="51">
        <v>750.0</v>
      </c>
      <c r="H42" s="52">
        <f t="shared" si="6"/>
        <v>0.272</v>
      </c>
      <c r="I42" s="50">
        <v>5842.25</v>
      </c>
      <c r="J42" s="53">
        <f t="shared" si="7"/>
        <v>28.63848039</v>
      </c>
      <c r="K42" s="50">
        <v>8738.0</v>
      </c>
      <c r="L42" s="53">
        <f t="shared" si="8"/>
        <v>42.83333333</v>
      </c>
      <c r="M42" s="51">
        <f>3000+500+150</f>
        <v>3650</v>
      </c>
      <c r="N42" s="54">
        <f t="shared" si="9"/>
        <v>0.6247592965</v>
      </c>
      <c r="O42" s="50">
        <v>-860.62</v>
      </c>
      <c r="P42" s="51">
        <f t="shared" si="10"/>
        <v>8738</v>
      </c>
      <c r="Q42" s="56">
        <f t="shared" si="11"/>
        <v>7877.38</v>
      </c>
    </row>
    <row r="43" ht="15.75" customHeight="1">
      <c r="A43" s="32">
        <v>37.0</v>
      </c>
      <c r="B43" s="33" t="s">
        <v>56</v>
      </c>
      <c r="C43" s="57"/>
      <c r="D43" s="35">
        <v>44876.0</v>
      </c>
      <c r="E43" s="36">
        <f t="shared" si="5"/>
        <v>44876</v>
      </c>
      <c r="F43" s="37">
        <v>671.0</v>
      </c>
      <c r="G43" s="38">
        <v>750.0</v>
      </c>
      <c r="H43" s="39">
        <f t="shared" si="6"/>
        <v>0.8946666667</v>
      </c>
      <c r="I43" s="37">
        <v>28062.5</v>
      </c>
      <c r="J43" s="58">
        <f t="shared" si="7"/>
        <v>41.8219076</v>
      </c>
      <c r="K43" s="37">
        <v>10113.0</v>
      </c>
      <c r="L43" s="58">
        <f t="shared" si="8"/>
        <v>15.07153502</v>
      </c>
      <c r="M43" s="38">
        <f>14267.4</f>
        <v>14267.4</v>
      </c>
      <c r="N43" s="43">
        <f t="shared" si="9"/>
        <v>0.5084151448</v>
      </c>
      <c r="O43" s="59">
        <v>9789.1</v>
      </c>
      <c r="P43" s="38">
        <f t="shared" si="10"/>
        <v>10113</v>
      </c>
      <c r="Q43" s="44">
        <f t="shared" si="11"/>
        <v>19902.1</v>
      </c>
    </row>
    <row r="44" ht="15.75" customHeight="1">
      <c r="A44" s="45">
        <v>38.0</v>
      </c>
      <c r="B44" s="46" t="s">
        <v>57</v>
      </c>
      <c r="C44" s="47">
        <v>5.0</v>
      </c>
      <c r="D44" s="48">
        <v>44877.0</v>
      </c>
      <c r="E44" s="49">
        <f t="shared" si="5"/>
        <v>44877</v>
      </c>
      <c r="F44" s="50">
        <v>460.0</v>
      </c>
      <c r="G44" s="51">
        <v>830.0</v>
      </c>
      <c r="H44" s="52">
        <f t="shared" si="6"/>
        <v>0.5542168675</v>
      </c>
      <c r="I44" s="50">
        <v>15043.0</v>
      </c>
      <c r="J44" s="53">
        <f t="shared" si="7"/>
        <v>32.70217391</v>
      </c>
      <c r="K44" s="50">
        <v>13238.0</v>
      </c>
      <c r="L44" s="53">
        <f t="shared" si="8"/>
        <v>28.77826087</v>
      </c>
      <c r="M44" s="51">
        <f>8000+2000+200</f>
        <v>10200</v>
      </c>
      <c r="N44" s="54">
        <f t="shared" si="9"/>
        <v>0.6780562388</v>
      </c>
      <c r="O44" s="50">
        <v>-2098.1</v>
      </c>
      <c r="P44" s="51">
        <f t="shared" si="10"/>
        <v>13238</v>
      </c>
      <c r="Q44" s="56">
        <f t="shared" si="11"/>
        <v>11139.9</v>
      </c>
    </row>
    <row r="45" ht="15.75" customHeight="1">
      <c r="A45" s="32">
        <v>39.0</v>
      </c>
      <c r="B45" s="33" t="s">
        <v>58</v>
      </c>
      <c r="C45" s="34">
        <v>1.0</v>
      </c>
      <c r="D45" s="35">
        <v>44882.0</v>
      </c>
      <c r="E45" s="36">
        <f t="shared" si="5"/>
        <v>44882</v>
      </c>
      <c r="F45" s="37">
        <v>345.0</v>
      </c>
      <c r="G45" s="38">
        <v>850.0</v>
      </c>
      <c r="H45" s="39">
        <f t="shared" si="6"/>
        <v>0.4058823529</v>
      </c>
      <c r="I45" s="37">
        <v>8732.75</v>
      </c>
      <c r="J45" s="58">
        <f t="shared" si="7"/>
        <v>25.31231884</v>
      </c>
      <c r="K45" s="37">
        <v>3371.0</v>
      </c>
      <c r="L45" s="58">
        <f t="shared" si="8"/>
        <v>9.771014493</v>
      </c>
      <c r="M45" s="38">
        <f>4050.78</f>
        <v>4050.78</v>
      </c>
      <c r="N45" s="43">
        <f t="shared" si="9"/>
        <v>0.4638607541</v>
      </c>
      <c r="O45" s="37">
        <v>-306.37</v>
      </c>
      <c r="P45" s="38">
        <f t="shared" si="10"/>
        <v>3371</v>
      </c>
      <c r="Q45" s="44">
        <f t="shared" si="11"/>
        <v>3064.63</v>
      </c>
    </row>
    <row r="46" ht="15.75" customHeight="1">
      <c r="A46" s="45">
        <v>40.0</v>
      </c>
      <c r="B46" s="46" t="s">
        <v>59</v>
      </c>
      <c r="C46" s="47">
        <v>5.0</v>
      </c>
      <c r="D46" s="48">
        <v>44888.0</v>
      </c>
      <c r="E46" s="49">
        <f t="shared" si="5"/>
        <v>44888</v>
      </c>
      <c r="F46" s="50">
        <v>371.0</v>
      </c>
      <c r="G46" s="51">
        <v>850.0</v>
      </c>
      <c r="H46" s="52">
        <f t="shared" si="6"/>
        <v>0.4364705882</v>
      </c>
      <c r="I46" s="50">
        <v>6680.0</v>
      </c>
      <c r="J46" s="53">
        <f t="shared" si="7"/>
        <v>18.00539084</v>
      </c>
      <c r="K46" s="51"/>
      <c r="L46" s="53">
        <f t="shared" si="8"/>
        <v>0</v>
      </c>
      <c r="M46" s="51">
        <f>2500+2500+150+150</f>
        <v>5300</v>
      </c>
      <c r="N46" s="54">
        <f t="shared" si="9"/>
        <v>0.7934131737</v>
      </c>
      <c r="O46" s="50">
        <v>-2306.29</v>
      </c>
      <c r="P46" s="51" t="str">
        <f t="shared" si="10"/>
        <v/>
      </c>
      <c r="Q46" s="56">
        <f t="shared" si="11"/>
        <v>-2306.29</v>
      </c>
    </row>
    <row r="47" ht="15.75" customHeight="1">
      <c r="A47" s="32">
        <v>41.0</v>
      </c>
      <c r="B47" s="33" t="s">
        <v>60</v>
      </c>
      <c r="C47" s="34">
        <v>5.0</v>
      </c>
      <c r="D47" s="35">
        <v>44911.0</v>
      </c>
      <c r="E47" s="36">
        <f t="shared" si="5"/>
        <v>44911</v>
      </c>
      <c r="F47" s="37">
        <v>281.0</v>
      </c>
      <c r="G47" s="38">
        <v>800.0</v>
      </c>
      <c r="H47" s="39">
        <f t="shared" si="6"/>
        <v>0.35125</v>
      </c>
      <c r="I47" s="37">
        <v>7073.0</v>
      </c>
      <c r="J47" s="58">
        <f t="shared" si="7"/>
        <v>25.17081851</v>
      </c>
      <c r="K47" s="37">
        <v>8126.77</v>
      </c>
      <c r="L47" s="58">
        <f t="shared" si="8"/>
        <v>28.92088968</v>
      </c>
      <c r="M47" s="38">
        <f>4000+150+150</f>
        <v>4300</v>
      </c>
      <c r="N47" s="43">
        <f t="shared" si="9"/>
        <v>0.607945709</v>
      </c>
      <c r="O47" s="37">
        <v>-690.54</v>
      </c>
      <c r="P47" s="38">
        <f t="shared" si="10"/>
        <v>8126.77</v>
      </c>
      <c r="Q47" s="44">
        <f t="shared" si="11"/>
        <v>7436.23</v>
      </c>
    </row>
    <row r="48" ht="15.75" customHeight="1">
      <c r="A48" s="45">
        <v>42.0</v>
      </c>
      <c r="B48" s="46" t="s">
        <v>61</v>
      </c>
      <c r="C48" s="47">
        <v>5.0</v>
      </c>
      <c r="D48" s="48">
        <v>44895.0</v>
      </c>
      <c r="E48" s="49">
        <f t="shared" si="5"/>
        <v>44895</v>
      </c>
      <c r="F48" s="50">
        <v>448.0</v>
      </c>
      <c r="G48" s="51">
        <v>800.0</v>
      </c>
      <c r="H48" s="52">
        <f t="shared" si="6"/>
        <v>0.56</v>
      </c>
      <c r="I48" s="50">
        <v>13530.0</v>
      </c>
      <c r="J48" s="53">
        <f t="shared" si="7"/>
        <v>30.20089286</v>
      </c>
      <c r="K48" s="51"/>
      <c r="L48" s="53">
        <f t="shared" si="8"/>
        <v>0</v>
      </c>
      <c r="M48" s="51">
        <f>4000+1000+1500+800</f>
        <v>7300</v>
      </c>
      <c r="N48" s="54">
        <f t="shared" si="9"/>
        <v>0.5395417591</v>
      </c>
      <c r="O48" s="50">
        <v>-2559.97</v>
      </c>
      <c r="P48" s="51" t="str">
        <f t="shared" si="10"/>
        <v/>
      </c>
      <c r="Q48" s="56">
        <f t="shared" si="11"/>
        <v>-2559.97</v>
      </c>
    </row>
    <row r="49" ht="15.75" customHeight="1">
      <c r="A49" s="32">
        <v>43.0</v>
      </c>
      <c r="B49" s="66"/>
      <c r="C49" s="57"/>
      <c r="D49" s="67"/>
      <c r="E49" s="36" t="str">
        <f t="shared" si="5"/>
        <v/>
      </c>
      <c r="F49" s="38"/>
      <c r="G49" s="38">
        <v>250.0</v>
      </c>
      <c r="H49" s="39">
        <f t="shared" si="6"/>
        <v>0</v>
      </c>
      <c r="I49" s="38"/>
      <c r="J49" s="58" t="str">
        <f t="shared" si="7"/>
        <v/>
      </c>
      <c r="K49" s="38"/>
      <c r="L49" s="58" t="str">
        <f t="shared" si="8"/>
        <v/>
      </c>
      <c r="M49" s="38"/>
      <c r="N49" s="43" t="str">
        <f t="shared" si="9"/>
        <v/>
      </c>
      <c r="O49" s="68"/>
      <c r="P49" s="38" t="str">
        <f t="shared" si="10"/>
        <v/>
      </c>
      <c r="Q49" s="44">
        <f t="shared" si="11"/>
        <v>0</v>
      </c>
    </row>
    <row r="50" ht="15.75" customHeight="1">
      <c r="A50" s="45">
        <v>44.0</v>
      </c>
      <c r="B50" s="69"/>
      <c r="C50" s="63"/>
      <c r="D50" s="70"/>
      <c r="E50" s="49" t="str">
        <f t="shared" si="5"/>
        <v/>
      </c>
      <c r="F50" s="51"/>
      <c r="G50" s="51">
        <v>750.0</v>
      </c>
      <c r="H50" s="52">
        <f t="shared" si="6"/>
        <v>0</v>
      </c>
      <c r="I50" s="51"/>
      <c r="J50" s="53" t="str">
        <f t="shared" si="7"/>
        <v/>
      </c>
      <c r="K50" s="51"/>
      <c r="L50" s="53" t="str">
        <f t="shared" si="8"/>
        <v/>
      </c>
      <c r="M50" s="51"/>
      <c r="N50" s="54" t="str">
        <f t="shared" si="9"/>
        <v/>
      </c>
      <c r="O50" s="51"/>
      <c r="P50" s="51" t="str">
        <f t="shared" si="10"/>
        <v/>
      </c>
      <c r="Q50" s="56">
        <f t="shared" si="11"/>
        <v>0</v>
      </c>
    </row>
    <row r="51" ht="15.75" customHeight="1">
      <c r="A51" s="32">
        <v>45.0</v>
      </c>
      <c r="B51" s="66"/>
      <c r="C51" s="57"/>
      <c r="D51" s="67"/>
      <c r="E51" s="36" t="str">
        <f t="shared" si="5"/>
        <v/>
      </c>
      <c r="F51" s="38"/>
      <c r="G51" s="38">
        <v>750.0</v>
      </c>
      <c r="H51" s="39">
        <f t="shared" si="6"/>
        <v>0</v>
      </c>
      <c r="I51" s="38"/>
      <c r="J51" s="58" t="str">
        <f t="shared" si="7"/>
        <v/>
      </c>
      <c r="K51" s="38"/>
      <c r="L51" s="58" t="str">
        <f t="shared" si="8"/>
        <v/>
      </c>
      <c r="M51" s="38"/>
      <c r="N51" s="43" t="str">
        <f t="shared" si="9"/>
        <v/>
      </c>
      <c r="O51" s="38"/>
      <c r="P51" s="38" t="str">
        <f t="shared" si="10"/>
        <v/>
      </c>
      <c r="Q51" s="44">
        <f t="shared" si="11"/>
        <v>0</v>
      </c>
    </row>
    <row r="52" ht="15.75" customHeight="1">
      <c r="A52" s="45">
        <v>46.0</v>
      </c>
      <c r="B52" s="69"/>
      <c r="C52" s="63"/>
      <c r="D52" s="70"/>
      <c r="E52" s="49" t="str">
        <f t="shared" si="5"/>
        <v/>
      </c>
      <c r="F52" s="51"/>
      <c r="G52" s="51">
        <v>750.0</v>
      </c>
      <c r="H52" s="52">
        <f t="shared" si="6"/>
        <v>0</v>
      </c>
      <c r="I52" s="51"/>
      <c r="J52" s="53" t="str">
        <f t="shared" si="7"/>
        <v/>
      </c>
      <c r="K52" s="51"/>
      <c r="L52" s="53" t="str">
        <f t="shared" si="8"/>
        <v/>
      </c>
      <c r="M52" s="51"/>
      <c r="N52" s="54" t="str">
        <f t="shared" si="9"/>
        <v/>
      </c>
      <c r="O52" s="51"/>
      <c r="P52" s="51" t="str">
        <f t="shared" si="10"/>
        <v/>
      </c>
      <c r="Q52" s="56">
        <f t="shared" si="11"/>
        <v>0</v>
      </c>
    </row>
    <row r="53" ht="15.75" customHeight="1">
      <c r="A53" s="32">
        <v>47.0</v>
      </c>
      <c r="B53" s="66"/>
      <c r="C53" s="57"/>
      <c r="D53" s="67"/>
      <c r="E53" s="36" t="str">
        <f t="shared" si="5"/>
        <v/>
      </c>
      <c r="F53" s="38"/>
      <c r="G53" s="38">
        <v>200.0</v>
      </c>
      <c r="H53" s="39">
        <f t="shared" si="6"/>
        <v>0</v>
      </c>
      <c r="I53" s="38"/>
      <c r="J53" s="58" t="str">
        <f t="shared" si="7"/>
        <v/>
      </c>
      <c r="K53" s="38"/>
      <c r="L53" s="58" t="str">
        <f t="shared" si="8"/>
        <v/>
      </c>
      <c r="M53" s="38"/>
      <c r="N53" s="43" t="str">
        <f t="shared" si="9"/>
        <v/>
      </c>
      <c r="O53" s="38"/>
      <c r="P53" s="38" t="str">
        <f t="shared" si="10"/>
        <v/>
      </c>
      <c r="Q53" s="44">
        <f t="shared" si="11"/>
        <v>0</v>
      </c>
    </row>
    <row r="54" ht="15.75" customHeight="1">
      <c r="A54" s="45">
        <v>48.0</v>
      </c>
      <c r="B54" s="69"/>
      <c r="C54" s="63"/>
      <c r="D54" s="70"/>
      <c r="E54" s="49" t="str">
        <f t="shared" si="5"/>
        <v/>
      </c>
      <c r="F54" s="51"/>
      <c r="G54" s="51">
        <v>700.0</v>
      </c>
      <c r="H54" s="52">
        <f t="shared" si="6"/>
        <v>0</v>
      </c>
      <c r="I54" s="51"/>
      <c r="J54" s="53" t="str">
        <f t="shared" si="7"/>
        <v/>
      </c>
      <c r="K54" s="51"/>
      <c r="L54" s="53" t="str">
        <f t="shared" si="8"/>
        <v/>
      </c>
      <c r="M54" s="51"/>
      <c r="N54" s="54" t="str">
        <f t="shared" si="9"/>
        <v/>
      </c>
      <c r="O54" s="51"/>
      <c r="P54" s="51" t="str">
        <f t="shared" si="10"/>
        <v/>
      </c>
      <c r="Q54" s="56">
        <f t="shared" si="11"/>
        <v>0</v>
      </c>
    </row>
    <row r="55" ht="15.75" customHeight="1">
      <c r="A55" s="32">
        <v>49.0</v>
      </c>
      <c r="B55" s="66"/>
      <c r="C55" s="57"/>
      <c r="D55" s="67"/>
      <c r="E55" s="36" t="str">
        <f t="shared" si="5"/>
        <v/>
      </c>
      <c r="F55" s="38"/>
      <c r="G55" s="38">
        <v>800.0</v>
      </c>
      <c r="H55" s="39">
        <f t="shared" si="6"/>
        <v>0</v>
      </c>
      <c r="I55" s="38"/>
      <c r="J55" s="58" t="str">
        <f t="shared" si="7"/>
        <v/>
      </c>
      <c r="K55" s="38"/>
      <c r="L55" s="58" t="str">
        <f t="shared" si="8"/>
        <v/>
      </c>
      <c r="M55" s="38"/>
      <c r="N55" s="43" t="str">
        <f t="shared" si="9"/>
        <v/>
      </c>
      <c r="O55" s="38"/>
      <c r="P55" s="38" t="str">
        <f t="shared" si="10"/>
        <v/>
      </c>
      <c r="Q55" s="44">
        <f t="shared" si="11"/>
        <v>0</v>
      </c>
    </row>
    <row r="56" ht="15.75" customHeight="1">
      <c r="A56" s="45">
        <v>50.0</v>
      </c>
      <c r="B56" s="69"/>
      <c r="C56" s="63"/>
      <c r="D56" s="70"/>
      <c r="E56" s="49" t="str">
        <f t="shared" si="5"/>
        <v/>
      </c>
      <c r="F56" s="51"/>
      <c r="G56" s="51">
        <v>800.0</v>
      </c>
      <c r="H56" s="52">
        <f t="shared" si="6"/>
        <v>0</v>
      </c>
      <c r="I56" s="51"/>
      <c r="J56" s="53" t="str">
        <f t="shared" si="7"/>
        <v/>
      </c>
      <c r="K56" s="51"/>
      <c r="L56" s="53" t="str">
        <f t="shared" si="8"/>
        <v/>
      </c>
      <c r="M56" s="51"/>
      <c r="N56" s="54" t="str">
        <f t="shared" si="9"/>
        <v/>
      </c>
      <c r="O56" s="71"/>
      <c r="P56" s="51" t="str">
        <f t="shared" si="10"/>
        <v/>
      </c>
      <c r="Q56" s="56">
        <f t="shared" si="11"/>
        <v>0</v>
      </c>
    </row>
    <row r="57" ht="15.75" customHeight="1">
      <c r="A57" s="32">
        <v>51.0</v>
      </c>
      <c r="B57" s="66"/>
      <c r="C57" s="57"/>
      <c r="D57" s="67"/>
      <c r="E57" s="36" t="str">
        <f t="shared" si="5"/>
        <v/>
      </c>
      <c r="F57" s="38"/>
      <c r="G57" s="38">
        <v>850.0</v>
      </c>
      <c r="H57" s="39">
        <f t="shared" si="6"/>
        <v>0</v>
      </c>
      <c r="I57" s="38"/>
      <c r="J57" s="58" t="str">
        <f t="shared" si="7"/>
        <v/>
      </c>
      <c r="K57" s="38"/>
      <c r="L57" s="58" t="str">
        <f t="shared" si="8"/>
        <v/>
      </c>
      <c r="M57" s="38"/>
      <c r="N57" s="43" t="str">
        <f t="shared" si="9"/>
        <v/>
      </c>
      <c r="O57" s="38"/>
      <c r="P57" s="38" t="str">
        <f t="shared" si="10"/>
        <v/>
      </c>
      <c r="Q57" s="44">
        <f t="shared" si="11"/>
        <v>0</v>
      </c>
    </row>
    <row r="58" ht="15.75" customHeight="1">
      <c r="A58" s="45">
        <v>52.0</v>
      </c>
      <c r="B58" s="69"/>
      <c r="C58" s="63"/>
      <c r="D58" s="70"/>
      <c r="E58" s="49" t="str">
        <f t="shared" si="5"/>
        <v/>
      </c>
      <c r="F58" s="51"/>
      <c r="G58" s="51">
        <v>800.0</v>
      </c>
      <c r="H58" s="52">
        <f t="shared" si="6"/>
        <v>0</v>
      </c>
      <c r="I58" s="51"/>
      <c r="J58" s="53" t="str">
        <f t="shared" si="7"/>
        <v/>
      </c>
      <c r="K58" s="51"/>
      <c r="L58" s="53" t="str">
        <f t="shared" si="8"/>
        <v/>
      </c>
      <c r="M58" s="51"/>
      <c r="N58" s="54" t="str">
        <f t="shared" si="9"/>
        <v/>
      </c>
      <c r="O58" s="71"/>
      <c r="P58" s="51" t="str">
        <f t="shared" si="10"/>
        <v/>
      </c>
      <c r="Q58" s="56">
        <f t="shared" si="11"/>
        <v>0</v>
      </c>
    </row>
    <row r="59" ht="15.75" customHeight="1">
      <c r="A59" s="32">
        <v>53.0</v>
      </c>
      <c r="B59" s="66"/>
      <c r="C59" s="57"/>
      <c r="D59" s="67"/>
      <c r="E59" s="36" t="str">
        <f t="shared" si="5"/>
        <v/>
      </c>
      <c r="F59" s="38"/>
      <c r="G59" s="38">
        <v>750.0</v>
      </c>
      <c r="H59" s="39">
        <f t="shared" si="6"/>
        <v>0</v>
      </c>
      <c r="I59" s="38"/>
      <c r="J59" s="58" t="str">
        <f t="shared" si="7"/>
        <v/>
      </c>
      <c r="K59" s="38"/>
      <c r="L59" s="58" t="str">
        <f t="shared" si="8"/>
        <v/>
      </c>
      <c r="M59" s="38"/>
      <c r="N59" s="43" t="str">
        <f t="shared" si="9"/>
        <v/>
      </c>
      <c r="O59" s="68"/>
      <c r="P59" s="38" t="str">
        <f t="shared" si="10"/>
        <v/>
      </c>
      <c r="Q59" s="62">
        <f t="shared" si="11"/>
        <v>0</v>
      </c>
    </row>
    <row r="60" ht="15.75" customHeight="1">
      <c r="A60" s="45">
        <v>54.0</v>
      </c>
      <c r="B60" s="69"/>
      <c r="C60" s="63"/>
      <c r="D60" s="70"/>
      <c r="E60" s="49" t="str">
        <f t="shared" si="5"/>
        <v/>
      </c>
      <c r="F60" s="51"/>
      <c r="G60" s="51">
        <v>700.0</v>
      </c>
      <c r="H60" s="52">
        <f t="shared" si="6"/>
        <v>0</v>
      </c>
      <c r="I60" s="51"/>
      <c r="J60" s="53" t="str">
        <f t="shared" si="7"/>
        <v/>
      </c>
      <c r="K60" s="51"/>
      <c r="L60" s="53" t="str">
        <f t="shared" si="8"/>
        <v/>
      </c>
      <c r="M60" s="51"/>
      <c r="N60" s="54" t="str">
        <f t="shared" si="9"/>
        <v/>
      </c>
      <c r="O60" s="71"/>
      <c r="P60" s="51" t="str">
        <f t="shared" si="10"/>
        <v/>
      </c>
      <c r="Q60" s="61">
        <f t="shared" si="11"/>
        <v>0</v>
      </c>
    </row>
    <row r="61" ht="15.75" customHeight="1">
      <c r="A61" s="32">
        <v>55.0</v>
      </c>
      <c r="B61" s="66"/>
      <c r="C61" s="57"/>
      <c r="D61" s="67"/>
      <c r="E61" s="36" t="str">
        <f t="shared" si="5"/>
        <v/>
      </c>
      <c r="F61" s="38"/>
      <c r="G61" s="38">
        <v>750.0</v>
      </c>
      <c r="H61" s="39">
        <f t="shared" si="6"/>
        <v>0</v>
      </c>
      <c r="I61" s="38"/>
      <c r="J61" s="58" t="str">
        <f t="shared" si="7"/>
        <v/>
      </c>
      <c r="K61" s="38"/>
      <c r="L61" s="58" t="str">
        <f t="shared" si="8"/>
        <v/>
      </c>
      <c r="M61" s="38"/>
      <c r="N61" s="43" t="str">
        <f t="shared" si="9"/>
        <v/>
      </c>
      <c r="O61" s="68"/>
      <c r="P61" s="38" t="str">
        <f t="shared" si="10"/>
        <v/>
      </c>
      <c r="Q61" s="44">
        <f t="shared" si="11"/>
        <v>0</v>
      </c>
    </row>
    <row r="62" ht="15.75" customHeight="1">
      <c r="A62" s="45">
        <v>56.0</v>
      </c>
      <c r="B62" s="69"/>
      <c r="C62" s="63"/>
      <c r="D62" s="70"/>
      <c r="E62" s="49" t="str">
        <f t="shared" si="5"/>
        <v/>
      </c>
      <c r="F62" s="51"/>
      <c r="G62" s="51">
        <v>192.0</v>
      </c>
      <c r="H62" s="52">
        <f t="shared" si="6"/>
        <v>0</v>
      </c>
      <c r="I62" s="51"/>
      <c r="J62" s="53" t="str">
        <f t="shared" si="7"/>
        <v/>
      </c>
      <c r="K62" s="51"/>
      <c r="L62" s="53" t="str">
        <f t="shared" si="8"/>
        <v/>
      </c>
      <c r="M62" s="51"/>
      <c r="N62" s="54" t="str">
        <f t="shared" si="9"/>
        <v/>
      </c>
      <c r="O62" s="51"/>
      <c r="P62" s="51" t="str">
        <f t="shared" si="10"/>
        <v/>
      </c>
      <c r="Q62" s="56">
        <f t="shared" si="11"/>
        <v>0</v>
      </c>
    </row>
    <row r="63" ht="15.75" customHeight="1">
      <c r="A63" s="32">
        <v>57.0</v>
      </c>
      <c r="B63" s="66"/>
      <c r="C63" s="57"/>
      <c r="D63" s="67"/>
      <c r="E63" s="36" t="str">
        <f t="shared" si="5"/>
        <v/>
      </c>
      <c r="F63" s="38"/>
      <c r="G63" s="38">
        <v>800.0</v>
      </c>
      <c r="H63" s="39">
        <f t="shared" si="6"/>
        <v>0</v>
      </c>
      <c r="I63" s="38"/>
      <c r="J63" s="58" t="str">
        <f t="shared" si="7"/>
        <v/>
      </c>
      <c r="K63" s="38"/>
      <c r="L63" s="58" t="str">
        <f t="shared" si="8"/>
        <v/>
      </c>
      <c r="M63" s="38"/>
      <c r="N63" s="43" t="str">
        <f t="shared" si="9"/>
        <v/>
      </c>
      <c r="O63" s="68"/>
      <c r="P63" s="38" t="str">
        <f t="shared" si="10"/>
        <v/>
      </c>
      <c r="Q63" s="44">
        <f t="shared" si="11"/>
        <v>0</v>
      </c>
    </row>
    <row r="64" ht="15.75" customHeight="1">
      <c r="A64" s="45">
        <v>58.0</v>
      </c>
      <c r="B64" s="69"/>
      <c r="C64" s="63"/>
      <c r="D64" s="70"/>
      <c r="E64" s="49" t="str">
        <f t="shared" si="5"/>
        <v/>
      </c>
      <c r="F64" s="51"/>
      <c r="G64" s="51">
        <v>250.0</v>
      </c>
      <c r="H64" s="52">
        <f t="shared" si="6"/>
        <v>0</v>
      </c>
      <c r="I64" s="51"/>
      <c r="J64" s="53" t="str">
        <f t="shared" si="7"/>
        <v/>
      </c>
      <c r="K64" s="51"/>
      <c r="L64" s="53" t="str">
        <f t="shared" si="8"/>
        <v/>
      </c>
      <c r="M64" s="51"/>
      <c r="N64" s="54" t="str">
        <f t="shared" si="9"/>
        <v/>
      </c>
      <c r="O64" s="71"/>
      <c r="P64" s="51" t="str">
        <f t="shared" si="10"/>
        <v/>
      </c>
      <c r="Q64" s="56">
        <f t="shared" si="11"/>
        <v>0</v>
      </c>
    </row>
    <row r="65" ht="15.75" customHeight="1">
      <c r="A65" s="32">
        <v>59.0</v>
      </c>
      <c r="B65" s="66"/>
      <c r="C65" s="57"/>
      <c r="D65" s="67"/>
      <c r="E65" s="36" t="str">
        <f t="shared" si="5"/>
        <v/>
      </c>
      <c r="F65" s="38"/>
      <c r="G65" s="38">
        <v>750.0</v>
      </c>
      <c r="H65" s="39">
        <f t="shared" si="6"/>
        <v>0</v>
      </c>
      <c r="I65" s="38"/>
      <c r="J65" s="58" t="str">
        <f t="shared" si="7"/>
        <v/>
      </c>
      <c r="K65" s="38"/>
      <c r="L65" s="58" t="str">
        <f t="shared" si="8"/>
        <v/>
      </c>
      <c r="M65" s="38"/>
      <c r="N65" s="43" t="str">
        <f t="shared" si="9"/>
        <v/>
      </c>
      <c r="O65" s="68"/>
      <c r="P65" s="38" t="str">
        <f t="shared" si="10"/>
        <v/>
      </c>
      <c r="Q65" s="44">
        <f t="shared" si="11"/>
        <v>0</v>
      </c>
    </row>
    <row r="66" ht="15.75" customHeight="1">
      <c r="A66" s="45">
        <v>60.0</v>
      </c>
      <c r="B66" s="69"/>
      <c r="C66" s="63"/>
      <c r="D66" s="70"/>
      <c r="E66" s="49" t="str">
        <f t="shared" si="5"/>
        <v/>
      </c>
      <c r="F66" s="51"/>
      <c r="G66" s="51">
        <v>700.0</v>
      </c>
      <c r="H66" s="52">
        <f t="shared" si="6"/>
        <v>0</v>
      </c>
      <c r="I66" s="51"/>
      <c r="J66" s="53" t="str">
        <f t="shared" si="7"/>
        <v/>
      </c>
      <c r="K66" s="51"/>
      <c r="L66" s="53" t="str">
        <f t="shared" si="8"/>
        <v/>
      </c>
      <c r="M66" s="51"/>
      <c r="N66" s="54" t="str">
        <f t="shared" si="9"/>
        <v/>
      </c>
      <c r="O66" s="71"/>
      <c r="P66" s="51" t="str">
        <f t="shared" si="10"/>
        <v/>
      </c>
      <c r="Q66" s="61">
        <f t="shared" si="11"/>
        <v>0</v>
      </c>
    </row>
    <row r="67" ht="15.75" customHeight="1">
      <c r="A67" s="32">
        <v>61.0</v>
      </c>
      <c r="B67" s="66"/>
      <c r="C67" s="57"/>
      <c r="D67" s="67"/>
      <c r="E67" s="36" t="str">
        <f t="shared" si="5"/>
        <v/>
      </c>
      <c r="F67" s="38"/>
      <c r="G67" s="38">
        <v>750.0</v>
      </c>
      <c r="H67" s="39">
        <f t="shared" si="6"/>
        <v>0</v>
      </c>
      <c r="I67" s="38"/>
      <c r="J67" s="58" t="str">
        <f t="shared" si="7"/>
        <v/>
      </c>
      <c r="K67" s="38"/>
      <c r="L67" s="58" t="str">
        <f t="shared" si="8"/>
        <v/>
      </c>
      <c r="M67" s="38"/>
      <c r="N67" s="43" t="str">
        <f t="shared" si="9"/>
        <v/>
      </c>
      <c r="O67" s="68"/>
      <c r="P67" s="38" t="str">
        <f t="shared" si="10"/>
        <v/>
      </c>
      <c r="Q67" s="44">
        <f t="shared" si="11"/>
        <v>0</v>
      </c>
    </row>
    <row r="68" ht="15.75" customHeight="1">
      <c r="A68" s="45">
        <v>62.0</v>
      </c>
      <c r="B68" s="69"/>
      <c r="C68" s="63"/>
      <c r="D68" s="70"/>
      <c r="E68" s="49" t="str">
        <f t="shared" si="5"/>
        <v/>
      </c>
      <c r="F68" s="51"/>
      <c r="G68" s="51">
        <v>800.0</v>
      </c>
      <c r="H68" s="52">
        <f t="shared" si="6"/>
        <v>0</v>
      </c>
      <c r="I68" s="51"/>
      <c r="J68" s="53" t="str">
        <f t="shared" si="7"/>
        <v/>
      </c>
      <c r="K68" s="51"/>
      <c r="L68" s="53" t="str">
        <f t="shared" si="8"/>
        <v/>
      </c>
      <c r="M68" s="51"/>
      <c r="N68" s="54" t="str">
        <f t="shared" si="9"/>
        <v/>
      </c>
      <c r="O68" s="71"/>
      <c r="P68" s="51" t="str">
        <f t="shared" si="10"/>
        <v/>
      </c>
      <c r="Q68" s="56">
        <f t="shared" si="11"/>
        <v>0</v>
      </c>
    </row>
    <row r="69" ht="15.75" customHeight="1">
      <c r="A69" s="32">
        <v>63.0</v>
      </c>
      <c r="B69" s="66"/>
      <c r="C69" s="57"/>
      <c r="D69" s="67"/>
      <c r="E69" s="36" t="str">
        <f t="shared" si="5"/>
        <v/>
      </c>
      <c r="F69" s="38"/>
      <c r="G69" s="38">
        <v>800.0</v>
      </c>
      <c r="H69" s="39">
        <f t="shared" si="6"/>
        <v>0</v>
      </c>
      <c r="I69" s="38"/>
      <c r="J69" s="58" t="str">
        <f t="shared" si="7"/>
        <v/>
      </c>
      <c r="K69" s="38"/>
      <c r="L69" s="58" t="str">
        <f t="shared" si="8"/>
        <v/>
      </c>
      <c r="M69" s="38"/>
      <c r="N69" s="43" t="str">
        <f t="shared" si="9"/>
        <v/>
      </c>
      <c r="O69" s="38"/>
      <c r="P69" s="38" t="str">
        <f t="shared" si="10"/>
        <v/>
      </c>
      <c r="Q69" s="44">
        <f t="shared" si="11"/>
        <v>0</v>
      </c>
    </row>
    <row r="70" ht="15.75" customHeight="1">
      <c r="A70" s="45">
        <v>64.0</v>
      </c>
      <c r="B70" s="69"/>
      <c r="C70" s="63"/>
      <c r="D70" s="70"/>
      <c r="E70" s="49" t="str">
        <f t="shared" si="5"/>
        <v/>
      </c>
      <c r="F70" s="51"/>
      <c r="G70" s="51">
        <v>250.0</v>
      </c>
      <c r="H70" s="52">
        <f t="shared" si="6"/>
        <v>0</v>
      </c>
      <c r="I70" s="51"/>
      <c r="J70" s="53" t="str">
        <f t="shared" si="7"/>
        <v/>
      </c>
      <c r="K70" s="51"/>
      <c r="L70" s="53" t="str">
        <f t="shared" si="8"/>
        <v/>
      </c>
      <c r="M70" s="51"/>
      <c r="N70" s="54" t="str">
        <f t="shared" si="9"/>
        <v/>
      </c>
      <c r="O70" s="51"/>
      <c r="P70" s="51" t="str">
        <f t="shared" si="10"/>
        <v/>
      </c>
      <c r="Q70" s="56">
        <f t="shared" si="11"/>
        <v>0</v>
      </c>
    </row>
    <row r="71" ht="15.75" customHeight="1">
      <c r="A71" s="32">
        <v>65.0</v>
      </c>
      <c r="B71" s="66"/>
      <c r="C71" s="57"/>
      <c r="D71" s="67"/>
      <c r="E71" s="36" t="str">
        <f t="shared" si="5"/>
        <v/>
      </c>
      <c r="F71" s="38"/>
      <c r="G71" s="38">
        <v>166.0</v>
      </c>
      <c r="H71" s="39">
        <f t="shared" si="6"/>
        <v>0</v>
      </c>
      <c r="I71" s="38"/>
      <c r="J71" s="58" t="str">
        <f t="shared" si="7"/>
        <v/>
      </c>
      <c r="K71" s="38"/>
      <c r="L71" s="58" t="str">
        <f t="shared" si="8"/>
        <v/>
      </c>
      <c r="M71" s="38"/>
      <c r="N71" s="43" t="str">
        <f t="shared" si="9"/>
        <v/>
      </c>
      <c r="O71" s="38"/>
      <c r="P71" s="38" t="str">
        <f t="shared" si="10"/>
        <v/>
      </c>
      <c r="Q71" s="44">
        <f t="shared" si="11"/>
        <v>0</v>
      </c>
    </row>
    <row r="72" ht="15.75" customHeight="1">
      <c r="A72" s="45">
        <v>66.0</v>
      </c>
      <c r="B72" s="69"/>
      <c r="C72" s="63"/>
      <c r="D72" s="70"/>
      <c r="E72" s="49" t="str">
        <f t="shared" si="5"/>
        <v/>
      </c>
      <c r="F72" s="51"/>
      <c r="G72" s="51">
        <v>700.0</v>
      </c>
      <c r="H72" s="52">
        <f t="shared" si="6"/>
        <v>0</v>
      </c>
      <c r="I72" s="51"/>
      <c r="J72" s="53" t="str">
        <f t="shared" si="7"/>
        <v/>
      </c>
      <c r="K72" s="51"/>
      <c r="L72" s="53" t="str">
        <f t="shared" si="8"/>
        <v/>
      </c>
      <c r="M72" s="51"/>
      <c r="N72" s="54" t="str">
        <f t="shared" si="9"/>
        <v/>
      </c>
      <c r="O72" s="71"/>
      <c r="P72" s="51" t="str">
        <f t="shared" si="10"/>
        <v/>
      </c>
      <c r="Q72" s="56">
        <f t="shared" si="11"/>
        <v>0</v>
      </c>
    </row>
    <row r="73" ht="15.75" customHeight="1">
      <c r="A73" s="32">
        <v>67.0</v>
      </c>
      <c r="B73" s="66"/>
      <c r="C73" s="57"/>
      <c r="D73" s="67"/>
      <c r="E73" s="36" t="str">
        <f t="shared" si="5"/>
        <v/>
      </c>
      <c r="F73" s="38"/>
      <c r="G73" s="38">
        <v>800.0</v>
      </c>
      <c r="H73" s="39">
        <f t="shared" si="6"/>
        <v>0</v>
      </c>
      <c r="I73" s="38"/>
      <c r="J73" s="58" t="str">
        <f t="shared" si="7"/>
        <v/>
      </c>
      <c r="K73" s="38"/>
      <c r="L73" s="58" t="str">
        <f t="shared" si="8"/>
        <v/>
      </c>
      <c r="M73" s="38"/>
      <c r="N73" s="43" t="str">
        <f t="shared" si="9"/>
        <v/>
      </c>
      <c r="O73" s="38"/>
      <c r="P73" s="38" t="str">
        <f t="shared" si="10"/>
        <v/>
      </c>
      <c r="Q73" s="44">
        <f t="shared" si="11"/>
        <v>0</v>
      </c>
    </row>
    <row r="74" ht="15.75" customHeight="1">
      <c r="A74" s="45">
        <v>68.0</v>
      </c>
      <c r="B74" s="69"/>
      <c r="C74" s="63"/>
      <c r="D74" s="70"/>
      <c r="E74" s="49" t="str">
        <f t="shared" si="5"/>
        <v/>
      </c>
      <c r="F74" s="51"/>
      <c r="G74" s="51">
        <v>800.0</v>
      </c>
      <c r="H74" s="52">
        <f t="shared" si="6"/>
        <v>0</v>
      </c>
      <c r="I74" s="51"/>
      <c r="J74" s="53" t="str">
        <f t="shared" si="7"/>
        <v/>
      </c>
      <c r="K74" s="51"/>
      <c r="L74" s="53" t="str">
        <f t="shared" si="8"/>
        <v/>
      </c>
      <c r="M74" s="51"/>
      <c r="N74" s="54" t="str">
        <f t="shared" si="9"/>
        <v/>
      </c>
      <c r="O74" s="51"/>
      <c r="P74" s="51" t="str">
        <f t="shared" si="10"/>
        <v/>
      </c>
      <c r="Q74" s="56">
        <f t="shared" si="11"/>
        <v>0</v>
      </c>
    </row>
    <row r="75" ht="15.75" customHeight="1">
      <c r="A75" s="32">
        <v>69.0</v>
      </c>
      <c r="B75" s="66"/>
      <c r="C75" s="57"/>
      <c r="D75" s="67"/>
      <c r="E75" s="36" t="str">
        <f t="shared" si="5"/>
        <v/>
      </c>
      <c r="F75" s="38"/>
      <c r="G75" s="38">
        <v>650.0</v>
      </c>
      <c r="H75" s="39">
        <f t="shared" si="6"/>
        <v>0</v>
      </c>
      <c r="I75" s="38"/>
      <c r="J75" s="58" t="str">
        <f t="shared" si="7"/>
        <v/>
      </c>
      <c r="K75" s="38"/>
      <c r="L75" s="58" t="str">
        <f t="shared" si="8"/>
        <v/>
      </c>
      <c r="M75" s="38"/>
      <c r="N75" s="43" t="str">
        <f t="shared" si="9"/>
        <v/>
      </c>
      <c r="O75" s="68"/>
      <c r="P75" s="38" t="str">
        <f t="shared" si="10"/>
        <v/>
      </c>
      <c r="Q75" s="62">
        <f t="shared" si="11"/>
        <v>0</v>
      </c>
    </row>
    <row r="76" ht="15.75" customHeight="1">
      <c r="A76" s="45">
        <v>70.0</v>
      </c>
      <c r="B76" s="69"/>
      <c r="C76" s="63"/>
      <c r="D76" s="70"/>
      <c r="E76" s="49" t="str">
        <f t="shared" si="5"/>
        <v/>
      </c>
      <c r="F76" s="51"/>
      <c r="G76" s="51">
        <v>800.0</v>
      </c>
      <c r="H76" s="52">
        <f t="shared" si="6"/>
        <v>0</v>
      </c>
      <c r="I76" s="51"/>
      <c r="J76" s="53" t="str">
        <f t="shared" si="7"/>
        <v/>
      </c>
      <c r="K76" s="51"/>
      <c r="L76" s="53" t="str">
        <f t="shared" si="8"/>
        <v/>
      </c>
      <c r="M76" s="51"/>
      <c r="N76" s="54" t="str">
        <f t="shared" si="9"/>
        <v/>
      </c>
      <c r="O76" s="71"/>
      <c r="P76" s="51" t="str">
        <f t="shared" si="10"/>
        <v/>
      </c>
      <c r="Q76" s="61">
        <f t="shared" si="11"/>
        <v>0</v>
      </c>
    </row>
    <row r="77" ht="15.75" customHeight="1">
      <c r="A77" s="32">
        <v>71.0</v>
      </c>
      <c r="B77" s="66"/>
      <c r="C77" s="57"/>
      <c r="D77" s="67"/>
      <c r="E77" s="36" t="str">
        <f t="shared" si="5"/>
        <v/>
      </c>
      <c r="F77" s="38"/>
      <c r="G77" s="38">
        <v>800.0</v>
      </c>
      <c r="H77" s="39">
        <f t="shared" si="6"/>
        <v>0</v>
      </c>
      <c r="I77" s="38"/>
      <c r="J77" s="58" t="str">
        <f t="shared" si="7"/>
        <v/>
      </c>
      <c r="K77" s="38"/>
      <c r="L77" s="58" t="str">
        <f t="shared" si="8"/>
        <v/>
      </c>
      <c r="M77" s="38"/>
      <c r="N77" s="43" t="str">
        <f t="shared" si="9"/>
        <v/>
      </c>
      <c r="O77" s="38"/>
      <c r="P77" s="38" t="str">
        <f t="shared" si="10"/>
        <v/>
      </c>
      <c r="Q77" s="44">
        <f t="shared" si="11"/>
        <v>0</v>
      </c>
    </row>
    <row r="78" ht="15.75" customHeight="1">
      <c r="A78" s="45">
        <v>72.0</v>
      </c>
      <c r="B78" s="69"/>
      <c r="C78" s="63"/>
      <c r="D78" s="70"/>
      <c r="E78" s="49" t="str">
        <f t="shared" si="5"/>
        <v/>
      </c>
      <c r="F78" s="51"/>
      <c r="G78" s="51">
        <v>750.0</v>
      </c>
      <c r="H78" s="52">
        <f t="shared" si="6"/>
        <v>0</v>
      </c>
      <c r="I78" s="51"/>
      <c r="J78" s="53" t="str">
        <f t="shared" si="7"/>
        <v/>
      </c>
      <c r="K78" s="72"/>
      <c r="L78" s="53" t="str">
        <f t="shared" si="8"/>
        <v/>
      </c>
      <c r="M78" s="51"/>
      <c r="N78" s="54" t="str">
        <f t="shared" si="9"/>
        <v/>
      </c>
      <c r="O78" s="51"/>
      <c r="P78" s="51" t="str">
        <f t="shared" si="10"/>
        <v/>
      </c>
      <c r="Q78" s="56">
        <f t="shared" si="11"/>
        <v>0</v>
      </c>
    </row>
    <row r="79" ht="15.75" customHeight="1">
      <c r="A79" s="32">
        <v>73.0</v>
      </c>
      <c r="B79" s="66"/>
      <c r="C79" s="57"/>
      <c r="D79" s="67"/>
      <c r="E79" s="36" t="str">
        <f t="shared" si="5"/>
        <v/>
      </c>
      <c r="F79" s="38"/>
      <c r="G79" s="38">
        <v>750.0</v>
      </c>
      <c r="H79" s="39">
        <f t="shared" si="6"/>
        <v>0</v>
      </c>
      <c r="I79" s="38"/>
      <c r="J79" s="58" t="str">
        <f t="shared" si="7"/>
        <v/>
      </c>
      <c r="K79" s="38"/>
      <c r="L79" s="58" t="str">
        <f t="shared" si="8"/>
        <v/>
      </c>
      <c r="M79" s="38"/>
      <c r="N79" s="43" t="str">
        <f t="shared" si="9"/>
        <v/>
      </c>
      <c r="O79" s="68"/>
      <c r="P79" s="38" t="str">
        <f t="shared" si="10"/>
        <v/>
      </c>
      <c r="Q79" s="62">
        <f t="shared" si="11"/>
        <v>0</v>
      </c>
    </row>
    <row r="80" ht="15.75" customHeight="1">
      <c r="A80" s="45">
        <v>74.0</v>
      </c>
      <c r="B80" s="69"/>
      <c r="C80" s="63"/>
      <c r="D80" s="70"/>
      <c r="E80" s="49" t="str">
        <f t="shared" si="5"/>
        <v/>
      </c>
      <c r="F80" s="51"/>
      <c r="G80" s="51">
        <v>750.0</v>
      </c>
      <c r="H80" s="52">
        <f t="shared" si="6"/>
        <v>0</v>
      </c>
      <c r="I80" s="51"/>
      <c r="J80" s="53" t="str">
        <f t="shared" si="7"/>
        <v/>
      </c>
      <c r="K80" s="51"/>
      <c r="L80" s="53" t="str">
        <f t="shared" si="8"/>
        <v/>
      </c>
      <c r="M80" s="51"/>
      <c r="N80" s="54" t="str">
        <f t="shared" si="9"/>
        <v/>
      </c>
      <c r="O80" s="71"/>
      <c r="P80" s="51" t="str">
        <f t="shared" si="10"/>
        <v/>
      </c>
      <c r="Q80" s="56">
        <f t="shared" si="11"/>
        <v>0</v>
      </c>
    </row>
    <row r="81" ht="15.75" customHeight="1">
      <c r="A81" s="32">
        <v>75.0</v>
      </c>
      <c r="B81" s="66"/>
      <c r="C81" s="57"/>
      <c r="D81" s="67"/>
      <c r="E81" s="36" t="str">
        <f t="shared" si="5"/>
        <v/>
      </c>
      <c r="F81" s="38"/>
      <c r="G81" s="38">
        <v>800.0</v>
      </c>
      <c r="H81" s="39">
        <f t="shared" si="6"/>
        <v>0</v>
      </c>
      <c r="I81" s="38"/>
      <c r="J81" s="58" t="str">
        <f t="shared" si="7"/>
        <v/>
      </c>
      <c r="K81" s="38"/>
      <c r="L81" s="58" t="str">
        <f t="shared" si="8"/>
        <v/>
      </c>
      <c r="M81" s="38"/>
      <c r="N81" s="43" t="str">
        <f t="shared" si="9"/>
        <v/>
      </c>
      <c r="O81" s="68"/>
      <c r="P81" s="38" t="str">
        <f t="shared" si="10"/>
        <v/>
      </c>
      <c r="Q81" s="44">
        <f t="shared" si="11"/>
        <v>0</v>
      </c>
    </row>
    <row r="82" ht="15.75" customHeight="1">
      <c r="A82" s="45">
        <v>76.0</v>
      </c>
      <c r="B82" s="69"/>
      <c r="C82" s="63"/>
      <c r="D82" s="70"/>
      <c r="E82" s="49" t="str">
        <f t="shared" si="5"/>
        <v/>
      </c>
      <c r="F82" s="51"/>
      <c r="G82" s="51">
        <v>800.0</v>
      </c>
      <c r="H82" s="52">
        <f t="shared" si="6"/>
        <v>0</v>
      </c>
      <c r="I82" s="51"/>
      <c r="J82" s="53" t="str">
        <f t="shared" si="7"/>
        <v/>
      </c>
      <c r="K82" s="51"/>
      <c r="L82" s="53" t="str">
        <f t="shared" si="8"/>
        <v/>
      </c>
      <c r="M82" s="51"/>
      <c r="N82" s="54" t="str">
        <f t="shared" si="9"/>
        <v/>
      </c>
      <c r="O82" s="51"/>
      <c r="P82" s="51" t="str">
        <f t="shared" si="10"/>
        <v/>
      </c>
      <c r="Q82" s="56">
        <f t="shared" si="11"/>
        <v>0</v>
      </c>
    </row>
    <row r="83" ht="15.75" customHeight="1">
      <c r="A83" s="32">
        <v>77.0</v>
      </c>
      <c r="B83" s="66"/>
      <c r="C83" s="57"/>
      <c r="D83" s="67"/>
      <c r="E83" s="36" t="str">
        <f t="shared" si="5"/>
        <v/>
      </c>
      <c r="F83" s="38"/>
      <c r="G83" s="38">
        <v>750.0</v>
      </c>
      <c r="H83" s="39">
        <f t="shared" si="6"/>
        <v>0</v>
      </c>
      <c r="I83" s="38"/>
      <c r="J83" s="58" t="str">
        <f t="shared" si="7"/>
        <v/>
      </c>
      <c r="K83" s="38"/>
      <c r="L83" s="58" t="str">
        <f t="shared" si="8"/>
        <v/>
      </c>
      <c r="M83" s="38"/>
      <c r="N83" s="43" t="str">
        <f t="shared" si="9"/>
        <v/>
      </c>
      <c r="O83" s="38"/>
      <c r="P83" s="38" t="str">
        <f t="shared" si="10"/>
        <v/>
      </c>
      <c r="Q83" s="44">
        <f t="shared" si="11"/>
        <v>0</v>
      </c>
    </row>
    <row r="84" ht="15.75" customHeight="1">
      <c r="A84" s="45">
        <v>78.0</v>
      </c>
      <c r="B84" s="69"/>
      <c r="C84" s="63"/>
      <c r="D84" s="70"/>
      <c r="E84" s="49" t="str">
        <f t="shared" si="5"/>
        <v/>
      </c>
      <c r="F84" s="51"/>
      <c r="G84" s="51">
        <v>800.0</v>
      </c>
      <c r="H84" s="52">
        <f t="shared" si="6"/>
        <v>0</v>
      </c>
      <c r="I84" s="51"/>
      <c r="J84" s="53" t="str">
        <f t="shared" si="7"/>
        <v/>
      </c>
      <c r="K84" s="51"/>
      <c r="L84" s="53" t="str">
        <f t="shared" si="8"/>
        <v/>
      </c>
      <c r="M84" s="51"/>
      <c r="N84" s="54" t="str">
        <f t="shared" si="9"/>
        <v/>
      </c>
      <c r="O84" s="71"/>
      <c r="P84" s="51" t="str">
        <f t="shared" si="10"/>
        <v/>
      </c>
      <c r="Q84" s="56">
        <f t="shared" si="11"/>
        <v>0</v>
      </c>
    </row>
    <row r="85" ht="15.75" customHeight="1">
      <c r="A85" s="32">
        <v>79.0</v>
      </c>
      <c r="B85" s="66"/>
      <c r="C85" s="57"/>
      <c r="D85" s="67"/>
      <c r="E85" s="36" t="str">
        <f t="shared" si="5"/>
        <v/>
      </c>
      <c r="F85" s="38"/>
      <c r="G85" s="38">
        <v>750.0</v>
      </c>
      <c r="H85" s="39">
        <f t="shared" si="6"/>
        <v>0</v>
      </c>
      <c r="I85" s="38"/>
      <c r="J85" s="58" t="str">
        <f t="shared" si="7"/>
        <v/>
      </c>
      <c r="K85" s="38"/>
      <c r="L85" s="58" t="str">
        <f t="shared" si="8"/>
        <v/>
      </c>
      <c r="M85" s="38"/>
      <c r="N85" s="43" t="str">
        <f t="shared" si="9"/>
        <v/>
      </c>
      <c r="O85" s="38"/>
      <c r="P85" s="38" t="str">
        <f t="shared" si="10"/>
        <v/>
      </c>
      <c r="Q85" s="44">
        <f t="shared" si="11"/>
        <v>0</v>
      </c>
    </row>
    <row r="86" ht="15.75" customHeight="1">
      <c r="A86" s="45">
        <v>80.0</v>
      </c>
      <c r="B86" s="69"/>
      <c r="C86" s="63"/>
      <c r="D86" s="70"/>
      <c r="E86" s="49" t="str">
        <f t="shared" si="5"/>
        <v/>
      </c>
      <c r="F86" s="51"/>
      <c r="G86" s="51">
        <v>800.0</v>
      </c>
      <c r="H86" s="52">
        <f t="shared" si="6"/>
        <v>0</v>
      </c>
      <c r="I86" s="51"/>
      <c r="J86" s="53" t="str">
        <f t="shared" si="7"/>
        <v/>
      </c>
      <c r="K86" s="51"/>
      <c r="L86" s="53" t="str">
        <f t="shared" si="8"/>
        <v/>
      </c>
      <c r="M86" s="51"/>
      <c r="N86" s="54" t="str">
        <f t="shared" si="9"/>
        <v/>
      </c>
      <c r="O86" s="71"/>
      <c r="P86" s="51" t="str">
        <f t="shared" si="10"/>
        <v/>
      </c>
      <c r="Q86" s="56">
        <f t="shared" si="11"/>
        <v>0</v>
      </c>
    </row>
    <row r="87" ht="15.75" customHeight="1">
      <c r="A87" s="32">
        <v>81.0</v>
      </c>
      <c r="B87" s="66"/>
      <c r="C87" s="57"/>
      <c r="D87" s="67"/>
      <c r="E87" s="36" t="str">
        <f t="shared" si="5"/>
        <v/>
      </c>
      <c r="F87" s="38"/>
      <c r="G87" s="38">
        <v>800.0</v>
      </c>
      <c r="H87" s="39">
        <f t="shared" si="6"/>
        <v>0</v>
      </c>
      <c r="I87" s="38"/>
      <c r="J87" s="58" t="str">
        <f t="shared" si="7"/>
        <v/>
      </c>
      <c r="K87" s="38"/>
      <c r="L87" s="58" t="str">
        <f t="shared" si="8"/>
        <v/>
      </c>
      <c r="M87" s="38"/>
      <c r="N87" s="43" t="str">
        <f t="shared" si="9"/>
        <v/>
      </c>
      <c r="O87" s="68"/>
      <c r="P87" s="38" t="str">
        <f t="shared" si="10"/>
        <v/>
      </c>
      <c r="Q87" s="44">
        <f t="shared" si="11"/>
        <v>0</v>
      </c>
    </row>
    <row r="88" ht="15.75" customHeight="1">
      <c r="A88" s="45">
        <v>82.0</v>
      </c>
      <c r="B88" s="73"/>
      <c r="C88" s="63"/>
      <c r="D88" s="70"/>
      <c r="E88" s="49" t="str">
        <f t="shared" si="5"/>
        <v/>
      </c>
      <c r="F88" s="51"/>
      <c r="G88" s="51">
        <v>800.0</v>
      </c>
      <c r="H88" s="52">
        <f t="shared" si="6"/>
        <v>0</v>
      </c>
      <c r="I88" s="51"/>
      <c r="J88" s="53" t="str">
        <f t="shared" si="7"/>
        <v/>
      </c>
      <c r="K88" s="51"/>
      <c r="L88" s="53" t="str">
        <f t="shared" si="8"/>
        <v/>
      </c>
      <c r="M88" s="51"/>
      <c r="N88" s="54" t="str">
        <f t="shared" si="9"/>
        <v/>
      </c>
      <c r="O88" s="51"/>
      <c r="P88" s="51" t="str">
        <f t="shared" si="10"/>
        <v/>
      </c>
      <c r="Q88" s="56">
        <f t="shared" si="11"/>
        <v>0</v>
      </c>
    </row>
    <row r="89" ht="15.75" customHeight="1">
      <c r="A89" s="32">
        <v>83.0</v>
      </c>
      <c r="B89" s="66"/>
      <c r="C89" s="57"/>
      <c r="D89" s="67"/>
      <c r="E89" s="36" t="str">
        <f t="shared" si="5"/>
        <v/>
      </c>
      <c r="F89" s="38"/>
      <c r="G89" s="38">
        <v>750.0</v>
      </c>
      <c r="H89" s="39">
        <f t="shared" si="6"/>
        <v>0</v>
      </c>
      <c r="I89" s="38"/>
      <c r="J89" s="58" t="str">
        <f t="shared" si="7"/>
        <v/>
      </c>
      <c r="K89" s="38"/>
      <c r="L89" s="58" t="str">
        <f t="shared" si="8"/>
        <v/>
      </c>
      <c r="M89" s="38"/>
      <c r="N89" s="43" t="str">
        <f t="shared" si="9"/>
        <v/>
      </c>
      <c r="O89" s="38"/>
      <c r="P89" s="38" t="str">
        <f t="shared" si="10"/>
        <v/>
      </c>
      <c r="Q89" s="44">
        <f t="shared" si="11"/>
        <v>0</v>
      </c>
    </row>
    <row r="90" ht="15.75" customHeight="1">
      <c r="A90" s="45">
        <v>84.0</v>
      </c>
      <c r="B90" s="69"/>
      <c r="C90" s="63"/>
      <c r="D90" s="70"/>
      <c r="E90" s="49" t="str">
        <f t="shared" si="5"/>
        <v/>
      </c>
      <c r="F90" s="51"/>
      <c r="G90" s="51">
        <v>750.0</v>
      </c>
      <c r="H90" s="52">
        <f t="shared" si="6"/>
        <v>0</v>
      </c>
      <c r="I90" s="51"/>
      <c r="J90" s="53" t="str">
        <f t="shared" si="7"/>
        <v/>
      </c>
      <c r="K90" s="51"/>
      <c r="L90" s="53" t="str">
        <f t="shared" si="8"/>
        <v/>
      </c>
      <c r="M90" s="51"/>
      <c r="N90" s="54" t="str">
        <f t="shared" si="9"/>
        <v/>
      </c>
      <c r="O90" s="71"/>
      <c r="P90" s="51" t="str">
        <f t="shared" si="10"/>
        <v/>
      </c>
      <c r="Q90" s="61">
        <f t="shared" si="11"/>
        <v>0</v>
      </c>
    </row>
    <row r="91" ht="15.75" customHeight="1">
      <c r="A91" s="32">
        <v>85.0</v>
      </c>
      <c r="B91" s="66"/>
      <c r="C91" s="57"/>
      <c r="D91" s="67"/>
      <c r="E91" s="36" t="str">
        <f t="shared" si="5"/>
        <v/>
      </c>
      <c r="F91" s="38"/>
      <c r="G91" s="38">
        <v>800.0</v>
      </c>
      <c r="H91" s="39">
        <f t="shared" si="6"/>
        <v>0</v>
      </c>
      <c r="I91" s="38"/>
      <c r="J91" s="58" t="str">
        <f t="shared" si="7"/>
        <v/>
      </c>
      <c r="K91" s="38"/>
      <c r="L91" s="58" t="str">
        <f t="shared" si="8"/>
        <v/>
      </c>
      <c r="M91" s="38"/>
      <c r="N91" s="43" t="str">
        <f t="shared" si="9"/>
        <v/>
      </c>
      <c r="O91" s="68"/>
      <c r="P91" s="38" t="str">
        <f t="shared" si="10"/>
        <v/>
      </c>
      <c r="Q91" s="44">
        <f t="shared" si="11"/>
        <v>0</v>
      </c>
    </row>
    <row r="92" ht="15.75" customHeight="1">
      <c r="A92" s="45">
        <v>86.0</v>
      </c>
      <c r="B92" s="69"/>
      <c r="C92" s="63"/>
      <c r="D92" s="70"/>
      <c r="E92" s="49" t="str">
        <f t="shared" si="5"/>
        <v/>
      </c>
      <c r="F92" s="51"/>
      <c r="G92" s="51">
        <v>800.0</v>
      </c>
      <c r="H92" s="52">
        <f t="shared" si="6"/>
        <v>0</v>
      </c>
      <c r="I92" s="51"/>
      <c r="J92" s="53" t="str">
        <f t="shared" si="7"/>
        <v/>
      </c>
      <c r="K92" s="51"/>
      <c r="L92" s="53" t="str">
        <f t="shared" si="8"/>
        <v/>
      </c>
      <c r="M92" s="51"/>
      <c r="N92" s="54" t="str">
        <f t="shared" si="9"/>
        <v/>
      </c>
      <c r="O92" s="71"/>
      <c r="P92" s="51" t="str">
        <f t="shared" si="10"/>
        <v/>
      </c>
      <c r="Q92" s="56">
        <f t="shared" si="11"/>
        <v>0</v>
      </c>
    </row>
    <row r="93" ht="15.75" customHeight="1">
      <c r="A93" s="32">
        <v>87.0</v>
      </c>
      <c r="B93" s="66"/>
      <c r="C93" s="57"/>
      <c r="D93" s="67"/>
      <c r="E93" s="36" t="str">
        <f t="shared" si="5"/>
        <v/>
      </c>
      <c r="F93" s="38"/>
      <c r="G93" s="38">
        <v>750.0</v>
      </c>
      <c r="H93" s="39">
        <f t="shared" si="6"/>
        <v>0</v>
      </c>
      <c r="I93" s="38"/>
      <c r="J93" s="58" t="str">
        <f t="shared" si="7"/>
        <v/>
      </c>
      <c r="K93" s="38"/>
      <c r="L93" s="58" t="str">
        <f t="shared" si="8"/>
        <v/>
      </c>
      <c r="M93" s="38"/>
      <c r="N93" s="43" t="str">
        <f t="shared" si="9"/>
        <v/>
      </c>
      <c r="O93" s="68"/>
      <c r="P93" s="38" t="str">
        <f t="shared" si="10"/>
        <v/>
      </c>
      <c r="Q93" s="62">
        <f t="shared" si="11"/>
        <v>0</v>
      </c>
    </row>
    <row r="94" ht="15.75" customHeight="1">
      <c r="A94" s="45">
        <v>88.0</v>
      </c>
      <c r="B94" s="69"/>
      <c r="C94" s="63"/>
      <c r="D94" s="70"/>
      <c r="E94" s="49" t="str">
        <f t="shared" si="5"/>
        <v/>
      </c>
      <c r="F94" s="51"/>
      <c r="G94" s="51">
        <v>725.0</v>
      </c>
      <c r="H94" s="52">
        <f t="shared" si="6"/>
        <v>0</v>
      </c>
      <c r="I94" s="51"/>
      <c r="J94" s="53" t="str">
        <f t="shared" si="7"/>
        <v/>
      </c>
      <c r="K94" s="51"/>
      <c r="L94" s="53" t="str">
        <f t="shared" si="8"/>
        <v/>
      </c>
      <c r="M94" s="51"/>
      <c r="N94" s="54" t="str">
        <f t="shared" si="9"/>
        <v/>
      </c>
      <c r="O94" s="71"/>
      <c r="P94" s="51" t="str">
        <f t="shared" si="10"/>
        <v/>
      </c>
      <c r="Q94" s="56">
        <f t="shared" si="11"/>
        <v>0</v>
      </c>
    </row>
    <row r="95" ht="15.75" customHeight="1">
      <c r="A95" s="32">
        <v>89.0</v>
      </c>
      <c r="B95" s="66"/>
      <c r="C95" s="57"/>
      <c r="D95" s="67"/>
      <c r="E95" s="36" t="str">
        <f t="shared" si="5"/>
        <v/>
      </c>
      <c r="F95" s="38"/>
      <c r="G95" s="38">
        <v>800.0</v>
      </c>
      <c r="H95" s="39">
        <f t="shared" si="6"/>
        <v>0</v>
      </c>
      <c r="I95" s="38"/>
      <c r="J95" s="58" t="str">
        <f t="shared" si="7"/>
        <v/>
      </c>
      <c r="K95" s="38"/>
      <c r="L95" s="58" t="str">
        <f t="shared" si="8"/>
        <v/>
      </c>
      <c r="M95" s="38"/>
      <c r="N95" s="43" t="str">
        <f t="shared" si="9"/>
        <v/>
      </c>
      <c r="O95" s="38"/>
      <c r="P95" s="38" t="str">
        <f t="shared" si="10"/>
        <v/>
      </c>
      <c r="Q95" s="44">
        <f t="shared" si="11"/>
        <v>0</v>
      </c>
    </row>
    <row r="96" ht="15.75" customHeight="1">
      <c r="A96" s="45">
        <v>90.0</v>
      </c>
      <c r="B96" s="69"/>
      <c r="C96" s="63"/>
      <c r="D96" s="70"/>
      <c r="E96" s="49" t="str">
        <f t="shared" si="5"/>
        <v/>
      </c>
      <c r="F96" s="51"/>
      <c r="G96" s="51">
        <v>750.0</v>
      </c>
      <c r="H96" s="52">
        <f t="shared" si="6"/>
        <v>0</v>
      </c>
      <c r="I96" s="51"/>
      <c r="J96" s="53" t="str">
        <f t="shared" si="7"/>
        <v/>
      </c>
      <c r="K96" s="51"/>
      <c r="L96" s="53" t="str">
        <f t="shared" si="8"/>
        <v/>
      </c>
      <c r="M96" s="51"/>
      <c r="N96" s="54" t="str">
        <f t="shared" si="9"/>
        <v/>
      </c>
      <c r="O96" s="51"/>
      <c r="P96" s="51" t="str">
        <f t="shared" si="10"/>
        <v/>
      </c>
      <c r="Q96" s="56">
        <f t="shared" si="11"/>
        <v>0</v>
      </c>
    </row>
    <row r="97" ht="15.75" customHeight="1">
      <c r="A97" s="32">
        <v>91.0</v>
      </c>
      <c r="B97" s="66"/>
      <c r="C97" s="57"/>
      <c r="D97" s="67"/>
      <c r="E97" s="36" t="str">
        <f t="shared" si="5"/>
        <v/>
      </c>
      <c r="F97" s="38"/>
      <c r="G97" s="38">
        <v>800.0</v>
      </c>
      <c r="H97" s="39">
        <f t="shared" si="6"/>
        <v>0</v>
      </c>
      <c r="I97" s="38"/>
      <c r="J97" s="58" t="str">
        <f t="shared" si="7"/>
        <v/>
      </c>
      <c r="K97" s="38"/>
      <c r="L97" s="58" t="str">
        <f t="shared" si="8"/>
        <v/>
      </c>
      <c r="M97" s="38"/>
      <c r="N97" s="43" t="str">
        <f t="shared" si="9"/>
        <v/>
      </c>
      <c r="O97" s="38"/>
      <c r="P97" s="38" t="str">
        <f t="shared" si="10"/>
        <v/>
      </c>
      <c r="Q97" s="44">
        <f t="shared" si="11"/>
        <v>0</v>
      </c>
    </row>
    <row r="98" ht="15.75" customHeight="1">
      <c r="A98" s="45">
        <v>92.0</v>
      </c>
      <c r="B98" s="69"/>
      <c r="C98" s="63"/>
      <c r="D98" s="70"/>
      <c r="E98" s="49" t="str">
        <f t="shared" si="5"/>
        <v/>
      </c>
      <c r="F98" s="51"/>
      <c r="G98" s="51">
        <v>800.0</v>
      </c>
      <c r="H98" s="52">
        <f t="shared" si="6"/>
        <v>0</v>
      </c>
      <c r="I98" s="51"/>
      <c r="J98" s="53" t="str">
        <f t="shared" si="7"/>
        <v/>
      </c>
      <c r="K98" s="51"/>
      <c r="L98" s="53" t="str">
        <f t="shared" si="8"/>
        <v/>
      </c>
      <c r="M98" s="51"/>
      <c r="N98" s="54" t="str">
        <f t="shared" si="9"/>
        <v/>
      </c>
      <c r="O98" s="71"/>
      <c r="P98" s="51" t="str">
        <f t="shared" si="10"/>
        <v/>
      </c>
      <c r="Q98" s="56">
        <f t="shared" si="11"/>
        <v>0</v>
      </c>
    </row>
    <row r="99" ht="15.75" customHeight="1">
      <c r="A99" s="32">
        <v>93.0</v>
      </c>
      <c r="B99" s="66"/>
      <c r="C99" s="57"/>
      <c r="D99" s="67"/>
      <c r="E99" s="36" t="str">
        <f t="shared" si="5"/>
        <v/>
      </c>
      <c r="F99" s="38"/>
      <c r="G99" s="38">
        <v>800.0</v>
      </c>
      <c r="H99" s="39">
        <f t="shared" si="6"/>
        <v>0</v>
      </c>
      <c r="I99" s="38"/>
      <c r="J99" s="58" t="str">
        <f t="shared" si="7"/>
        <v/>
      </c>
      <c r="K99" s="38"/>
      <c r="L99" s="58" t="str">
        <f t="shared" si="8"/>
        <v/>
      </c>
      <c r="M99" s="38"/>
      <c r="N99" s="43" t="str">
        <f t="shared" si="9"/>
        <v/>
      </c>
      <c r="O99" s="68"/>
      <c r="P99" s="38" t="str">
        <f t="shared" si="10"/>
        <v/>
      </c>
      <c r="Q99" s="44">
        <f t="shared" si="11"/>
        <v>0</v>
      </c>
    </row>
    <row r="100" ht="15.75" customHeight="1">
      <c r="A100" s="45">
        <v>94.0</v>
      </c>
      <c r="B100" s="69"/>
      <c r="C100" s="63"/>
      <c r="D100" s="70"/>
      <c r="E100" s="49" t="str">
        <f t="shared" si="5"/>
        <v/>
      </c>
      <c r="F100" s="51"/>
      <c r="G100" s="51">
        <v>800.0</v>
      </c>
      <c r="H100" s="52">
        <f t="shared" si="6"/>
        <v>0</v>
      </c>
      <c r="I100" s="51"/>
      <c r="J100" s="53" t="str">
        <f t="shared" si="7"/>
        <v/>
      </c>
      <c r="K100" s="51"/>
      <c r="L100" s="53" t="str">
        <f t="shared" si="8"/>
        <v/>
      </c>
      <c r="M100" s="51"/>
      <c r="N100" s="54" t="str">
        <f t="shared" si="9"/>
        <v/>
      </c>
      <c r="O100" s="71"/>
      <c r="P100" s="51" t="str">
        <f t="shared" si="10"/>
        <v/>
      </c>
      <c r="Q100" s="56">
        <f t="shared" si="11"/>
        <v>0</v>
      </c>
    </row>
    <row r="101" ht="15.75" customHeight="1">
      <c r="A101" s="32">
        <v>95.0</v>
      </c>
      <c r="B101" s="66"/>
      <c r="C101" s="57"/>
      <c r="D101" s="67"/>
      <c r="E101" s="36" t="str">
        <f t="shared" si="5"/>
        <v/>
      </c>
      <c r="F101" s="38"/>
      <c r="G101" s="38">
        <v>750.0</v>
      </c>
      <c r="H101" s="39">
        <f t="shared" si="6"/>
        <v>0</v>
      </c>
      <c r="I101" s="38"/>
      <c r="J101" s="58" t="str">
        <f t="shared" si="7"/>
        <v/>
      </c>
      <c r="K101" s="38"/>
      <c r="L101" s="58" t="str">
        <f t="shared" si="8"/>
        <v/>
      </c>
      <c r="M101" s="38"/>
      <c r="N101" s="43" t="str">
        <f t="shared" si="9"/>
        <v/>
      </c>
      <c r="O101" s="38"/>
      <c r="P101" s="38" t="str">
        <f t="shared" si="10"/>
        <v/>
      </c>
      <c r="Q101" s="44">
        <f t="shared" si="11"/>
        <v>0</v>
      </c>
    </row>
    <row r="102" ht="15.75" customHeight="1">
      <c r="A102" s="45">
        <v>96.0</v>
      </c>
      <c r="B102" s="69"/>
      <c r="C102" s="63"/>
      <c r="D102" s="70"/>
      <c r="E102" s="49" t="str">
        <f t="shared" si="5"/>
        <v/>
      </c>
      <c r="F102" s="51"/>
      <c r="G102" s="51">
        <v>700.0</v>
      </c>
      <c r="H102" s="52">
        <f t="shared" si="6"/>
        <v>0</v>
      </c>
      <c r="I102" s="51"/>
      <c r="J102" s="53" t="str">
        <f t="shared" si="7"/>
        <v/>
      </c>
      <c r="K102" s="51"/>
      <c r="L102" s="53" t="str">
        <f t="shared" si="8"/>
        <v/>
      </c>
      <c r="M102" s="51"/>
      <c r="N102" s="54" t="str">
        <f t="shared" si="9"/>
        <v/>
      </c>
      <c r="O102" s="51"/>
      <c r="P102" s="51" t="str">
        <f t="shared" si="10"/>
        <v/>
      </c>
      <c r="Q102" s="56">
        <f t="shared" si="11"/>
        <v>0</v>
      </c>
    </row>
    <row r="103" ht="15.75" customHeight="1">
      <c r="A103" s="32">
        <v>97.0</v>
      </c>
      <c r="B103" s="66"/>
      <c r="C103" s="57"/>
      <c r="D103" s="67"/>
      <c r="E103" s="36" t="str">
        <f t="shared" si="5"/>
        <v/>
      </c>
      <c r="F103" s="38"/>
      <c r="G103" s="38">
        <v>800.0</v>
      </c>
      <c r="H103" s="39">
        <f t="shared" si="6"/>
        <v>0</v>
      </c>
      <c r="I103" s="38"/>
      <c r="J103" s="58" t="str">
        <f t="shared" si="7"/>
        <v/>
      </c>
      <c r="K103" s="38"/>
      <c r="L103" s="58" t="str">
        <f t="shared" si="8"/>
        <v/>
      </c>
      <c r="M103" s="38"/>
      <c r="N103" s="43" t="str">
        <f t="shared" si="9"/>
        <v/>
      </c>
      <c r="O103" s="38"/>
      <c r="P103" s="38" t="str">
        <f t="shared" si="10"/>
        <v/>
      </c>
      <c r="Q103" s="44">
        <f t="shared" si="11"/>
        <v>0</v>
      </c>
    </row>
    <row r="104" ht="15.75" customHeight="1">
      <c r="A104" s="45">
        <v>98.0</v>
      </c>
      <c r="B104" s="69"/>
      <c r="C104" s="63"/>
      <c r="D104" s="70"/>
      <c r="E104" s="49" t="str">
        <f t="shared" si="5"/>
        <v/>
      </c>
      <c r="F104" s="51"/>
      <c r="G104" s="51">
        <v>750.0</v>
      </c>
      <c r="H104" s="52">
        <f t="shared" si="6"/>
        <v>0</v>
      </c>
      <c r="I104" s="51"/>
      <c r="J104" s="53" t="str">
        <f t="shared" si="7"/>
        <v/>
      </c>
      <c r="K104" s="51"/>
      <c r="L104" s="53" t="str">
        <f t="shared" si="8"/>
        <v/>
      </c>
      <c r="M104" s="51"/>
      <c r="N104" s="54" t="str">
        <f t="shared" si="9"/>
        <v/>
      </c>
      <c r="O104" s="71"/>
      <c r="P104" s="51" t="str">
        <f t="shared" si="10"/>
        <v/>
      </c>
      <c r="Q104" s="56">
        <f t="shared" si="11"/>
        <v>0</v>
      </c>
    </row>
    <row r="105" ht="15.75" customHeight="1">
      <c r="A105" s="32">
        <v>99.0</v>
      </c>
      <c r="B105" s="66"/>
      <c r="C105" s="57"/>
      <c r="D105" s="67"/>
      <c r="E105" s="36" t="str">
        <f t="shared" si="5"/>
        <v/>
      </c>
      <c r="F105" s="38"/>
      <c r="G105" s="38">
        <v>700.0</v>
      </c>
      <c r="H105" s="39">
        <f t="shared" si="6"/>
        <v>0</v>
      </c>
      <c r="I105" s="38"/>
      <c r="J105" s="58" t="str">
        <f t="shared" si="7"/>
        <v/>
      </c>
      <c r="K105" s="38"/>
      <c r="L105" s="58" t="str">
        <f t="shared" si="8"/>
        <v/>
      </c>
      <c r="M105" s="38"/>
      <c r="N105" s="43" t="str">
        <f t="shared" si="9"/>
        <v/>
      </c>
      <c r="O105" s="38"/>
      <c r="P105" s="38" t="str">
        <f t="shared" si="10"/>
        <v/>
      </c>
      <c r="Q105" s="44">
        <f t="shared" si="11"/>
        <v>0</v>
      </c>
    </row>
    <row r="106" ht="15.75" customHeight="1">
      <c r="A106" s="45">
        <v>100.0</v>
      </c>
      <c r="B106" s="69"/>
      <c r="C106" s="63"/>
      <c r="D106" s="70"/>
      <c r="E106" s="49" t="str">
        <f t="shared" si="5"/>
        <v/>
      </c>
      <c r="F106" s="51"/>
      <c r="G106" s="51">
        <v>800.0</v>
      </c>
      <c r="H106" s="52">
        <f t="shared" si="6"/>
        <v>0</v>
      </c>
      <c r="I106" s="51"/>
      <c r="J106" s="53" t="str">
        <f t="shared" si="7"/>
        <v/>
      </c>
      <c r="K106" s="51"/>
      <c r="L106" s="53" t="str">
        <f t="shared" si="8"/>
        <v/>
      </c>
      <c r="M106" s="51"/>
      <c r="N106" s="54" t="str">
        <f t="shared" si="9"/>
        <v/>
      </c>
      <c r="O106" s="51"/>
      <c r="P106" s="51" t="str">
        <f t="shared" si="10"/>
        <v/>
      </c>
      <c r="Q106" s="56">
        <f t="shared" si="11"/>
        <v>0</v>
      </c>
    </row>
    <row r="107" ht="15.75" customHeight="1">
      <c r="A107" s="32"/>
      <c r="B107" s="66"/>
      <c r="C107" s="57"/>
      <c r="D107" s="67"/>
      <c r="E107" s="36"/>
      <c r="F107" s="38"/>
      <c r="G107" s="38"/>
      <c r="H107" s="39"/>
      <c r="I107" s="38"/>
      <c r="J107" s="58"/>
      <c r="K107" s="38"/>
      <c r="L107" s="58"/>
      <c r="M107" s="38"/>
      <c r="N107" s="43"/>
      <c r="O107" s="38"/>
      <c r="P107" s="38"/>
      <c r="Q107" s="44"/>
    </row>
    <row r="108" ht="15.75" customHeight="1">
      <c r="A108" s="45"/>
      <c r="B108" s="69" t="s">
        <v>62</v>
      </c>
      <c r="C108" s="63"/>
      <c r="D108" s="70"/>
      <c r="E108" s="49"/>
      <c r="F108" s="51"/>
      <c r="G108" s="51"/>
      <c r="H108" s="52"/>
      <c r="I108" s="51"/>
      <c r="J108" s="53"/>
      <c r="K108" s="51"/>
      <c r="L108" s="53"/>
      <c r="M108" s="51"/>
      <c r="N108" s="54"/>
      <c r="O108" s="51"/>
      <c r="P108" s="51"/>
      <c r="Q108" s="56"/>
    </row>
    <row r="109" ht="15.75" customHeight="1">
      <c r="A109" s="32"/>
      <c r="B109" s="66" t="s">
        <v>63</v>
      </c>
      <c r="C109" s="57"/>
      <c r="D109" s="67"/>
      <c r="E109" s="36"/>
      <c r="F109" s="38"/>
      <c r="G109" s="38"/>
      <c r="H109" s="39"/>
      <c r="I109" s="38"/>
      <c r="J109" s="58"/>
      <c r="K109" s="38"/>
      <c r="L109" s="58"/>
      <c r="M109" s="38"/>
      <c r="N109" s="43"/>
      <c r="O109" s="38"/>
      <c r="P109" s="38"/>
      <c r="Q109" s="44"/>
    </row>
    <row r="110" ht="15.75" customHeight="1">
      <c r="A110" s="45"/>
      <c r="B110" s="69" t="s">
        <v>64</v>
      </c>
      <c r="C110" s="63"/>
      <c r="D110" s="70"/>
      <c r="E110" s="49"/>
      <c r="F110" s="51"/>
      <c r="G110" s="51"/>
      <c r="H110" s="52"/>
      <c r="I110" s="51"/>
      <c r="J110" s="53"/>
      <c r="K110" s="51"/>
      <c r="L110" s="53"/>
      <c r="M110" s="51"/>
      <c r="N110" s="54"/>
      <c r="O110" s="51"/>
      <c r="P110" s="51"/>
      <c r="Q110" s="56"/>
    </row>
    <row r="111" ht="15.75" customHeight="1">
      <c r="A111" s="32"/>
      <c r="B111" s="66" t="s">
        <v>65</v>
      </c>
      <c r="C111" s="57"/>
      <c r="D111" s="67"/>
      <c r="E111" s="36"/>
      <c r="F111" s="38"/>
      <c r="G111" s="38"/>
      <c r="H111" s="39"/>
      <c r="I111" s="38"/>
      <c r="J111" s="58"/>
      <c r="K111" s="38"/>
      <c r="L111" s="58"/>
      <c r="M111" s="38"/>
      <c r="N111" s="43"/>
      <c r="O111" s="38"/>
      <c r="P111" s="38"/>
      <c r="Q111" s="44"/>
    </row>
    <row r="112" ht="15.75" customHeight="1">
      <c r="A112" s="45"/>
      <c r="B112" s="69" t="s">
        <v>66</v>
      </c>
      <c r="C112" s="63"/>
      <c r="D112" s="70"/>
      <c r="E112" s="49"/>
      <c r="F112" s="51"/>
      <c r="G112" s="51"/>
      <c r="H112" s="52"/>
      <c r="I112" s="51"/>
      <c r="J112" s="53"/>
      <c r="K112" s="51"/>
      <c r="L112" s="53"/>
      <c r="M112" s="51"/>
      <c r="N112" s="54"/>
      <c r="O112" s="51"/>
      <c r="P112" s="51"/>
      <c r="Q112" s="56"/>
    </row>
    <row r="113" ht="15.75" customHeight="1">
      <c r="A113" s="32"/>
      <c r="B113" s="66" t="s">
        <v>67</v>
      </c>
      <c r="C113" s="57"/>
      <c r="D113" s="67"/>
      <c r="E113" s="36"/>
      <c r="F113" s="38"/>
      <c r="G113" s="38"/>
      <c r="H113" s="39"/>
      <c r="I113" s="38"/>
      <c r="J113" s="58"/>
      <c r="K113" s="38"/>
      <c r="L113" s="58"/>
      <c r="M113" s="38"/>
      <c r="N113" s="43"/>
      <c r="O113" s="38"/>
      <c r="P113" s="38"/>
      <c r="Q113" s="44"/>
    </row>
    <row r="114" ht="15.75" customHeight="1">
      <c r="A114" s="45"/>
      <c r="B114" s="69" t="s">
        <v>68</v>
      </c>
      <c r="C114" s="63"/>
      <c r="D114" s="70"/>
      <c r="E114" s="49"/>
      <c r="F114" s="51"/>
      <c r="G114" s="51"/>
      <c r="H114" s="52"/>
      <c r="I114" s="51"/>
      <c r="J114" s="53"/>
      <c r="K114" s="51"/>
      <c r="L114" s="53"/>
      <c r="M114" s="51"/>
      <c r="N114" s="54"/>
      <c r="O114" s="51"/>
      <c r="P114" s="51"/>
      <c r="Q114" s="56"/>
    </row>
    <row r="115" ht="15.75" customHeight="1">
      <c r="A115" s="32"/>
      <c r="B115" s="66" t="s">
        <v>69</v>
      </c>
      <c r="C115" s="57"/>
      <c r="D115" s="67"/>
      <c r="E115" s="36"/>
      <c r="F115" s="38"/>
      <c r="G115" s="38"/>
      <c r="H115" s="39"/>
      <c r="I115" s="38"/>
      <c r="J115" s="58"/>
      <c r="K115" s="38"/>
      <c r="L115" s="58"/>
      <c r="M115" s="38"/>
      <c r="N115" s="43"/>
      <c r="O115" s="38"/>
      <c r="P115" s="38"/>
      <c r="Q115" s="44"/>
    </row>
    <row r="116" ht="15.75" customHeight="1">
      <c r="A116" s="45"/>
      <c r="B116" s="69"/>
      <c r="C116" s="63"/>
      <c r="D116" s="70"/>
      <c r="E116" s="49"/>
      <c r="F116" s="51"/>
      <c r="G116" s="51"/>
      <c r="H116" s="52"/>
      <c r="I116" s="51"/>
      <c r="J116" s="53"/>
      <c r="K116" s="51"/>
      <c r="L116" s="53"/>
      <c r="M116" s="51"/>
      <c r="N116" s="54"/>
      <c r="O116" s="51"/>
      <c r="P116" s="51"/>
      <c r="Q116" s="56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</sheetData>
  <mergeCells count="3">
    <mergeCell ref="O1:Q1"/>
    <mergeCell ref="B2:N2"/>
    <mergeCell ref="O2:Q2"/>
  </mergeCells>
  <printOptions horizontalCentered="1"/>
  <pageMargins bottom="0.75" footer="0.0" header="0.0" left="0.0" right="0.0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3.0"/>
    <col customWidth="1" min="3" max="3" width="3.29"/>
    <col customWidth="1" min="4" max="4" width="7.86"/>
    <col customWidth="1" min="5" max="5" width="0.29"/>
    <col customWidth="1" min="6" max="7" width="8.71"/>
    <col customWidth="1" min="8" max="8" width="9.29"/>
    <col customWidth="1" min="9" max="9" width="12.71"/>
    <col customWidth="1" min="10" max="10" width="10.86"/>
    <col customWidth="1" min="11" max="11" width="12.0"/>
    <col customWidth="1" min="12" max="12" width="9.71"/>
    <col customWidth="1" min="13" max="13" width="11.0"/>
    <col customWidth="1" min="14" max="14" width="9.14"/>
    <col customWidth="1" min="15" max="15" width="12.57"/>
    <col customWidth="1" min="16" max="16" width="10.71"/>
    <col customWidth="1" min="17" max="17" width="13.71"/>
    <col customWidth="1" min="18" max="18" width="8.71"/>
    <col customWidth="1" min="19" max="19" width="13.0"/>
    <col customWidth="1" min="20" max="20" width="10.14"/>
    <col customWidth="1" min="21" max="21" width="13.71"/>
    <col customWidth="1" min="22" max="22" width="11.14"/>
    <col customWidth="1" min="23" max="26" width="8.71"/>
  </cols>
  <sheetData>
    <row r="1">
      <c r="Q1" s="74"/>
      <c r="U1" s="74"/>
    </row>
    <row r="2" ht="15.0" customHeight="1"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75" t="s">
        <v>70</v>
      </c>
      <c r="P2" s="3"/>
      <c r="Q2" s="3"/>
      <c r="R2" s="4"/>
      <c r="S2" s="6" t="s">
        <v>71</v>
      </c>
      <c r="T2" s="3"/>
      <c r="U2" s="4"/>
    </row>
    <row r="3">
      <c r="B3" s="7" t="s">
        <v>3</v>
      </c>
      <c r="C3" s="8"/>
      <c r="D3" s="9" t="s">
        <v>72</v>
      </c>
      <c r="E3" s="9" t="s">
        <v>73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1" t="s">
        <v>15</v>
      </c>
      <c r="O3" s="12" t="s">
        <v>16</v>
      </c>
      <c r="P3" s="13" t="s">
        <v>17</v>
      </c>
      <c r="Q3" s="14" t="s">
        <v>18</v>
      </c>
      <c r="R3" s="76" t="s">
        <v>74</v>
      </c>
      <c r="S3" s="12" t="s">
        <v>16</v>
      </c>
      <c r="T3" s="13" t="s">
        <v>75</v>
      </c>
      <c r="U3" s="14" t="s">
        <v>18</v>
      </c>
    </row>
    <row r="4">
      <c r="B4" s="15" t="s">
        <v>19</v>
      </c>
      <c r="C4" s="16"/>
      <c r="D4" s="17">
        <f t="shared" ref="D4:E4" si="1">SUM(D7:D16)</f>
        <v>0</v>
      </c>
      <c r="E4" s="17">
        <f t="shared" si="1"/>
        <v>0</v>
      </c>
      <c r="F4" s="18">
        <f t="shared" ref="F4:G4" si="2">SUM(F7:F81)</f>
        <v>14191</v>
      </c>
      <c r="G4" s="18">
        <f t="shared" si="2"/>
        <v>26647</v>
      </c>
      <c r="H4" s="19"/>
      <c r="I4" s="20">
        <f>SUM(I7:I81)</f>
        <v>399997.75</v>
      </c>
      <c r="J4" s="19"/>
      <c r="K4" s="20">
        <f>SUM(K7:K81)</f>
        <v>295624.79</v>
      </c>
      <c r="L4" s="19"/>
      <c r="M4" s="20">
        <f t="shared" ref="M4:R4" si="3">SUM(M7:M81)</f>
        <v>213760.78</v>
      </c>
      <c r="N4" s="21" t="str">
        <f t="shared" si="3"/>
        <v>#DIV/0!</v>
      </c>
      <c r="O4" s="77">
        <f t="shared" si="3"/>
        <v>30398.38</v>
      </c>
      <c r="P4" s="20">
        <f t="shared" si="3"/>
        <v>295624.79</v>
      </c>
      <c r="Q4" s="22">
        <f t="shared" si="3"/>
        <v>326023.17</v>
      </c>
      <c r="R4" s="78">
        <f t="shared" si="3"/>
        <v>1</v>
      </c>
      <c r="S4" s="79"/>
      <c r="T4" s="80"/>
      <c r="U4" s="21"/>
    </row>
    <row r="5">
      <c r="B5" s="15" t="s">
        <v>20</v>
      </c>
      <c r="C5" s="16"/>
      <c r="D5" s="17"/>
      <c r="E5" s="17"/>
      <c r="F5" s="18" t="str">
        <f>F4/D4</f>
        <v>#DIV/0!</v>
      </c>
      <c r="G5" s="18" t="str">
        <f>G4/D4</f>
        <v>#DIV/0!</v>
      </c>
      <c r="H5" s="23">
        <f>F4/G4</f>
        <v>0.5325552595</v>
      </c>
      <c r="I5" s="20" t="str">
        <f>I4/D4</f>
        <v>#DIV/0!</v>
      </c>
      <c r="J5" s="24">
        <f>I4/F4</f>
        <v>28.18672046</v>
      </c>
      <c r="K5" s="20" t="str">
        <f>K4/E4</f>
        <v>#DIV/0!</v>
      </c>
      <c r="L5" s="24">
        <f>K4/F4</f>
        <v>20.83185047</v>
      </c>
      <c r="M5" s="20" t="str">
        <f>M4/D4</f>
        <v>#DIV/0!</v>
      </c>
      <c r="N5" s="25">
        <f>M4/I4</f>
        <v>0.534404956</v>
      </c>
      <c r="O5" s="77" t="str">
        <f>O4/E4</f>
        <v>#DIV/0!</v>
      </c>
      <c r="P5" s="20" t="str">
        <f>P4/E4</f>
        <v>#DIV/0!</v>
      </c>
      <c r="Q5" s="22" t="str">
        <f>Q4/E4</f>
        <v>#DIV/0!</v>
      </c>
      <c r="R5" s="21"/>
      <c r="S5" s="79"/>
      <c r="T5" s="80"/>
      <c r="U5" s="21"/>
    </row>
    <row r="6">
      <c r="B6" s="81"/>
      <c r="N6" s="82"/>
      <c r="O6" s="81"/>
      <c r="R6" s="82"/>
      <c r="S6" s="81"/>
      <c r="U6" s="82"/>
    </row>
    <row r="7">
      <c r="A7" s="83">
        <v>5.0</v>
      </c>
      <c r="B7" s="84" t="s">
        <v>76</v>
      </c>
      <c r="C7" s="85"/>
      <c r="D7" s="85">
        <f t="array" ref="D7">COUNTIF('Magic Stick'!C:C,A:A)</f>
        <v>0</v>
      </c>
      <c r="E7" s="85">
        <f t="array" ref="E7">COUNTIF('Magic Stick'!C:C,A:A)</f>
        <v>0</v>
      </c>
      <c r="F7" s="86">
        <f>SUMIF('Magic Stick'!$C:$C,A:A,'Magic Stick'!$F:$F)</f>
        <v>9346</v>
      </c>
      <c r="G7" s="86">
        <f>SUMIF('Magic Stick'!$C:$C,A:A,'Magic Stick'!$G:$G)</f>
        <v>17233</v>
      </c>
      <c r="H7" s="87">
        <f t="shared" ref="H7:H12" si="4">F7/G7</f>
        <v>0.5423315731</v>
      </c>
      <c r="I7" s="88">
        <f>SUMIF('Magic Stick'!$C:$C,A:A,'Magic Stick'!$I:$I)</f>
        <v>275023.25</v>
      </c>
      <c r="J7" s="89">
        <f t="shared" ref="J7:J12" si="5">I7/F7</f>
        <v>29.42684036</v>
      </c>
      <c r="K7" s="88">
        <f>SUMIF('Magic Stick'!$C:$C,A:A,'Magic Stick'!$K:$K)</f>
        <v>238916.83</v>
      </c>
      <c r="L7" s="89">
        <f t="shared" ref="L7:L12" si="6">K7/F7</f>
        <v>25.56353841</v>
      </c>
      <c r="M7" s="88">
        <f>SUMIF('Magic Stick'!$C:$C,A:A,'Magic Stick'!$M:$M)</f>
        <v>140910</v>
      </c>
      <c r="N7" s="90">
        <f t="shared" ref="N7:N12" si="7">M7/I7</f>
        <v>0.5123566826</v>
      </c>
      <c r="O7" s="91">
        <f>SUMIF('Magic Stick'!$C:$C,A:A,'Magic Stick'!$O:$O)</f>
        <v>33295.59</v>
      </c>
      <c r="P7" s="88">
        <f t="shared" ref="P7:P14" si="8">K7</f>
        <v>238916.83</v>
      </c>
      <c r="Q7" s="88">
        <f t="shared" ref="Q7:Q14" si="9">O7+P7</f>
        <v>272212.42</v>
      </c>
      <c r="R7" s="90">
        <f t="shared" ref="R7:R14" si="10">Q7/$Q$4</f>
        <v>0.8349480805</v>
      </c>
      <c r="S7" s="91" t="str">
        <f t="shared" ref="S7:S14" si="11">O7/E7</f>
        <v>#DIV/0!</v>
      </c>
      <c r="T7" s="88" t="str">
        <f t="shared" ref="T7:T14" si="12">P7/E7</f>
        <v>#DIV/0!</v>
      </c>
      <c r="U7" s="92" t="str">
        <f t="shared" ref="U7:U14" si="13">S7+T7</f>
        <v>#DIV/0!</v>
      </c>
    </row>
    <row r="8">
      <c r="A8" s="83">
        <v>1.0</v>
      </c>
      <c r="B8" s="81" t="s">
        <v>77</v>
      </c>
      <c r="D8" s="83">
        <f t="array" ref="D8">COUNTIF('Magic Stick'!C:C,A:A)</f>
        <v>0</v>
      </c>
      <c r="E8" s="83">
        <f t="array" ref="E8">COUNTIF('Magic Stick'!C:C,A:A)</f>
        <v>0</v>
      </c>
      <c r="F8" s="65">
        <f>SUMIF('Magic Stick'!$C:$C,A:A,'Magic Stick'!$F:$F)</f>
        <v>4328</v>
      </c>
      <c r="G8" s="65">
        <f>SUMIF('Magic Stick'!$C:$C,A:A,'Magic Stick'!$G:$G)</f>
        <v>8664</v>
      </c>
      <c r="H8" s="93">
        <f t="shared" si="4"/>
        <v>0.4995383195</v>
      </c>
      <c r="I8" s="94">
        <f>SUMIF('Magic Stick'!$C:$C,A:A,'Magic Stick'!$I:$I)</f>
        <v>114121.5</v>
      </c>
      <c r="J8" s="74">
        <f t="shared" si="5"/>
        <v>26.36818392</v>
      </c>
      <c r="K8" s="94">
        <f>SUMIF('Magic Stick'!$C:$C,A:A,'Magic Stick'!$K:$K)</f>
        <v>56707.96</v>
      </c>
      <c r="L8" s="74">
        <f t="shared" si="6"/>
        <v>13.10257856</v>
      </c>
      <c r="M8" s="94">
        <f>SUMIF('Magic Stick'!$C:$C,A:A,'Magic Stick'!$M:$M)</f>
        <v>67700.78</v>
      </c>
      <c r="N8" s="95">
        <f t="shared" si="7"/>
        <v>0.5932342284</v>
      </c>
      <c r="O8" s="96">
        <f>SUMIF('Magic Stick'!$C:$C,A:A,'Magic Stick'!$O:$O)</f>
        <v>-4155.72</v>
      </c>
      <c r="P8" s="94">
        <f t="shared" si="8"/>
        <v>56707.96</v>
      </c>
      <c r="Q8" s="94">
        <f t="shared" si="9"/>
        <v>52552.24</v>
      </c>
      <c r="R8" s="95">
        <f t="shared" si="10"/>
        <v>0.1611917337</v>
      </c>
      <c r="S8" s="96" t="str">
        <f t="shared" si="11"/>
        <v>#DIV/0!</v>
      </c>
      <c r="T8" s="94" t="str">
        <f t="shared" si="12"/>
        <v>#DIV/0!</v>
      </c>
      <c r="U8" s="97" t="str">
        <f t="shared" si="13"/>
        <v>#DIV/0!</v>
      </c>
    </row>
    <row r="9">
      <c r="A9" s="83">
        <v>2.0</v>
      </c>
      <c r="B9" s="84" t="s">
        <v>78</v>
      </c>
      <c r="C9" s="85"/>
      <c r="D9" s="85">
        <f t="array" ref="D9">COUNTIF('Magic Stick'!C:C,A:A)</f>
        <v>0</v>
      </c>
      <c r="E9" s="85">
        <f t="array" ref="E9">COUNTIF('Magic Stick'!C:C,A:A)</f>
        <v>0</v>
      </c>
      <c r="F9" s="86">
        <f>SUMIF('Magic Stick'!$C:$C,A:A,'Magic Stick'!$F:$F)</f>
        <v>0</v>
      </c>
      <c r="G9" s="86">
        <f>SUMIF('Magic Stick'!$C:$C,A:A,'Magic Stick'!$G:$G)</f>
        <v>0</v>
      </c>
      <c r="H9" s="87" t="str">
        <f t="shared" si="4"/>
        <v>#DIV/0!</v>
      </c>
      <c r="I9" s="88">
        <f>SUMIF('Magic Stick'!$C:$C,A:A,'Magic Stick'!$I:$I)</f>
        <v>0</v>
      </c>
      <c r="J9" s="89" t="str">
        <f t="shared" si="5"/>
        <v>#DIV/0!</v>
      </c>
      <c r="K9" s="88">
        <f>SUMIF('Magic Stick'!$C:$C,A:A,'Magic Stick'!$K:$K)</f>
        <v>0</v>
      </c>
      <c r="L9" s="89" t="str">
        <f t="shared" si="6"/>
        <v>#DIV/0!</v>
      </c>
      <c r="M9" s="88">
        <f>SUMIF('Magic Stick'!$C:$C,A:A,'Magic Stick'!$M:$M)</f>
        <v>0</v>
      </c>
      <c r="N9" s="90" t="str">
        <f t="shared" si="7"/>
        <v>#DIV/0!</v>
      </c>
      <c r="O9" s="91">
        <f>SUMIF('Magic Stick'!$C:$C,A:A,'Magic Stick'!$O:$O)</f>
        <v>0</v>
      </c>
      <c r="P9" s="88">
        <f t="shared" si="8"/>
        <v>0</v>
      </c>
      <c r="Q9" s="88">
        <f t="shared" si="9"/>
        <v>0</v>
      </c>
      <c r="R9" s="90">
        <f t="shared" si="10"/>
        <v>0</v>
      </c>
      <c r="S9" s="91" t="str">
        <f t="shared" si="11"/>
        <v>#DIV/0!</v>
      </c>
      <c r="T9" s="88" t="str">
        <f t="shared" si="12"/>
        <v>#DIV/0!</v>
      </c>
      <c r="U9" s="92" t="str">
        <f t="shared" si="13"/>
        <v>#DIV/0!</v>
      </c>
      <c r="V9" s="60"/>
    </row>
    <row r="10">
      <c r="A10" s="83">
        <v>8.0</v>
      </c>
      <c r="B10" s="81" t="s">
        <v>79</v>
      </c>
      <c r="D10" s="83">
        <f t="array" ref="D10">COUNTIF('Magic Stick'!C:C,A:A)</f>
        <v>0</v>
      </c>
      <c r="E10" s="83">
        <f t="array" ref="E10">COUNTIF('Magic Stick'!C:C,A:A)</f>
        <v>0</v>
      </c>
      <c r="F10" s="65">
        <f>SUMIF('Magic Stick'!$C:$C,A:A,'Magic Stick'!$F:$F)</f>
        <v>0</v>
      </c>
      <c r="G10" s="65">
        <f>SUMIF('Magic Stick'!$C:$C,A:A,'Magic Stick'!$G:$G)</f>
        <v>0</v>
      </c>
      <c r="H10" s="93" t="str">
        <f t="shared" si="4"/>
        <v>#DIV/0!</v>
      </c>
      <c r="I10" s="94">
        <f>SUMIF('Magic Stick'!$C:$C,A:A,'Magic Stick'!$I:$I)</f>
        <v>0</v>
      </c>
      <c r="J10" s="74" t="str">
        <f t="shared" si="5"/>
        <v>#DIV/0!</v>
      </c>
      <c r="K10" s="94">
        <f>SUMIF('Magic Stick'!$C:$C,A:A,'Magic Stick'!$K:$K)</f>
        <v>0</v>
      </c>
      <c r="L10" s="74" t="str">
        <f t="shared" si="6"/>
        <v>#DIV/0!</v>
      </c>
      <c r="M10" s="94">
        <f>SUMIF('Magic Stick'!$C:$C,A:A,'Magic Stick'!$M:$M)</f>
        <v>0</v>
      </c>
      <c r="N10" s="95" t="str">
        <f t="shared" si="7"/>
        <v>#DIV/0!</v>
      </c>
      <c r="O10" s="96">
        <f>SUMIF('Magic Stick'!$C:$C,A:A,'Magic Stick'!$O:$O)</f>
        <v>0</v>
      </c>
      <c r="P10" s="94">
        <f t="shared" si="8"/>
        <v>0</v>
      </c>
      <c r="Q10" s="94">
        <f t="shared" si="9"/>
        <v>0</v>
      </c>
      <c r="R10" s="95">
        <f t="shared" si="10"/>
        <v>0</v>
      </c>
      <c r="S10" s="96" t="str">
        <f t="shared" si="11"/>
        <v>#DIV/0!</v>
      </c>
      <c r="T10" s="94" t="str">
        <f t="shared" si="12"/>
        <v>#DIV/0!</v>
      </c>
      <c r="U10" s="97" t="str">
        <f t="shared" si="13"/>
        <v>#DIV/0!</v>
      </c>
    </row>
    <row r="11">
      <c r="A11" s="83">
        <v>4.0</v>
      </c>
      <c r="B11" s="84" t="s">
        <v>80</v>
      </c>
      <c r="C11" s="85"/>
      <c r="D11" s="85">
        <f t="array" ref="D11">COUNTIF('Magic Stick'!C:C,A:A)</f>
        <v>0</v>
      </c>
      <c r="E11" s="85">
        <f t="array" ref="E11">COUNTIF('Magic Stick'!C:C,A:A)</f>
        <v>0</v>
      </c>
      <c r="F11" s="86">
        <f>SUMIF('Magic Stick'!$C:$C,A:A,'Magic Stick'!$F:$F)</f>
        <v>0</v>
      </c>
      <c r="G11" s="86">
        <f>SUMIF('Magic Stick'!$C:$C,A:A,'Magic Stick'!$G:$G)</f>
        <v>0</v>
      </c>
      <c r="H11" s="87" t="str">
        <f t="shared" si="4"/>
        <v>#DIV/0!</v>
      </c>
      <c r="I11" s="88">
        <f>SUMIF('Magic Stick'!$C:$C,A:A,'Magic Stick'!$I:$I)</f>
        <v>0</v>
      </c>
      <c r="J11" s="89" t="str">
        <f t="shared" si="5"/>
        <v>#DIV/0!</v>
      </c>
      <c r="K11" s="88">
        <f>SUMIF('Magic Stick'!$C:$C,A:A,'Magic Stick'!$K:$K)</f>
        <v>0</v>
      </c>
      <c r="L11" s="89" t="str">
        <f t="shared" si="6"/>
        <v>#DIV/0!</v>
      </c>
      <c r="M11" s="88">
        <f>SUMIF('Magic Stick'!$C:$C,A:A,'Magic Stick'!$M:$M)</f>
        <v>0</v>
      </c>
      <c r="N11" s="90" t="str">
        <f t="shared" si="7"/>
        <v>#DIV/0!</v>
      </c>
      <c r="O11" s="91">
        <f>SUMIF('Magic Stick'!$C:$C,A:A,'Magic Stick'!$O:$O)</f>
        <v>0</v>
      </c>
      <c r="P11" s="88">
        <f t="shared" si="8"/>
        <v>0</v>
      </c>
      <c r="Q11" s="88">
        <f t="shared" si="9"/>
        <v>0</v>
      </c>
      <c r="R11" s="90">
        <f t="shared" si="10"/>
        <v>0</v>
      </c>
      <c r="S11" s="91" t="str">
        <f t="shared" si="11"/>
        <v>#DIV/0!</v>
      </c>
      <c r="T11" s="88" t="str">
        <f t="shared" si="12"/>
        <v>#DIV/0!</v>
      </c>
      <c r="U11" s="92" t="str">
        <f t="shared" si="13"/>
        <v>#DIV/0!</v>
      </c>
    </row>
    <row r="12">
      <c r="A12" s="83">
        <v>3.0</v>
      </c>
      <c r="B12" s="81" t="s">
        <v>81</v>
      </c>
      <c r="D12" s="83">
        <f t="array" ref="D12">COUNTIF('Magic Stick'!C:C,A:A)</f>
        <v>0</v>
      </c>
      <c r="E12" s="83">
        <f t="array" ref="E12">COUNTIF('Magic Stick'!C:C,A:A)</f>
        <v>0</v>
      </c>
      <c r="F12" s="65">
        <f>SUMIF('Magic Stick'!$C:$C,A:A,'Magic Stick'!$F:$F)</f>
        <v>517</v>
      </c>
      <c r="G12" s="65">
        <f>SUMIF('Magic Stick'!$C:$C,A:A,'Magic Stick'!$G:$G)</f>
        <v>750</v>
      </c>
      <c r="H12" s="93">
        <f t="shared" si="4"/>
        <v>0.6893333333</v>
      </c>
      <c r="I12" s="94">
        <f>SUMIF('Magic Stick'!$C:$C,A:A,'Magic Stick'!$I:$I)</f>
        <v>10853</v>
      </c>
      <c r="J12" s="74">
        <f t="shared" si="5"/>
        <v>20.99226306</v>
      </c>
      <c r="K12" s="94">
        <f>SUMIF('Magic Stick'!$C:$C,A:A,'Magic Stick'!$K:$K)</f>
        <v>0</v>
      </c>
      <c r="L12" s="74">
        <f t="shared" si="6"/>
        <v>0</v>
      </c>
      <c r="M12" s="94">
        <f>SUMIF('Magic Stick'!$C:$C,A:A,'Magic Stick'!$M:$M)</f>
        <v>5150</v>
      </c>
      <c r="N12" s="95">
        <f t="shared" si="7"/>
        <v>0.4745231733</v>
      </c>
      <c r="O12" s="96">
        <f>SUMIF('Magic Stick'!$C:$C,A:A,'Magic Stick'!$O:$O)</f>
        <v>1258.51</v>
      </c>
      <c r="P12" s="94">
        <f t="shared" si="8"/>
        <v>0</v>
      </c>
      <c r="Q12" s="94">
        <f t="shared" si="9"/>
        <v>1258.51</v>
      </c>
      <c r="R12" s="95">
        <f t="shared" si="10"/>
        <v>0.003860185765</v>
      </c>
      <c r="S12" s="96" t="str">
        <f t="shared" si="11"/>
        <v>#DIV/0!</v>
      </c>
      <c r="T12" s="94" t="str">
        <f t="shared" si="12"/>
        <v>#DIV/0!</v>
      </c>
      <c r="U12" s="97" t="str">
        <f t="shared" si="13"/>
        <v>#DIV/0!</v>
      </c>
    </row>
    <row r="13">
      <c r="A13" s="83">
        <v>6.0</v>
      </c>
      <c r="B13" s="84" t="s">
        <v>82</v>
      </c>
      <c r="C13" s="85"/>
      <c r="D13" s="85"/>
      <c r="E13" s="85">
        <f t="array" ref="E13">COUNTIF('Magic Stick'!C:C,A:A)</f>
        <v>0</v>
      </c>
      <c r="F13" s="86"/>
      <c r="G13" s="86"/>
      <c r="H13" s="87"/>
      <c r="I13" s="88"/>
      <c r="J13" s="89"/>
      <c r="K13" s="88">
        <f>SUMIF('Magic Stick'!$C:$C,A:A,'Magic Stick'!$K:$K)</f>
        <v>0</v>
      </c>
      <c r="L13" s="89"/>
      <c r="M13" s="88"/>
      <c r="N13" s="90"/>
      <c r="O13" s="91">
        <f>SUMIF('Magic Stick'!$C:$C,A:A,'Magic Stick'!$O:$O)</f>
        <v>0</v>
      </c>
      <c r="P13" s="88">
        <f t="shared" si="8"/>
        <v>0</v>
      </c>
      <c r="Q13" s="88">
        <f t="shared" si="9"/>
        <v>0</v>
      </c>
      <c r="R13" s="90">
        <f t="shared" si="10"/>
        <v>0</v>
      </c>
      <c r="S13" s="91" t="str">
        <f t="shared" si="11"/>
        <v>#DIV/0!</v>
      </c>
      <c r="T13" s="88" t="str">
        <f t="shared" si="12"/>
        <v>#DIV/0!</v>
      </c>
      <c r="U13" s="92" t="str">
        <f t="shared" si="13"/>
        <v>#DIV/0!</v>
      </c>
    </row>
    <row r="14">
      <c r="A14" s="83">
        <v>7.0</v>
      </c>
      <c r="B14" s="81" t="s">
        <v>83</v>
      </c>
      <c r="D14" s="83">
        <f t="array" ref="D14">COUNTIF('Magic Stick'!C:C,A:A)</f>
        <v>0</v>
      </c>
      <c r="E14" s="83">
        <f t="array" ref="E14">COUNTIF('Magic Stick'!C:C,A:A)</f>
        <v>0</v>
      </c>
      <c r="F14" s="65">
        <f>SUMIF('Magic Stick'!$C:$C,A:A,'Magic Stick'!$F:$F)</f>
        <v>0</v>
      </c>
      <c r="G14" s="65">
        <f>SUMIF('Magic Stick'!$C:$C,A:A,'Magic Stick'!$G:$G)</f>
        <v>0</v>
      </c>
      <c r="H14" s="93" t="str">
        <f>F14/G14</f>
        <v>#DIV/0!</v>
      </c>
      <c r="I14" s="94">
        <f>SUMIF('Magic Stick'!$C:$C,A:A,'Magic Stick'!$I:$I)</f>
        <v>0</v>
      </c>
      <c r="J14" s="74" t="str">
        <f>I14/F14</f>
        <v>#DIV/0!</v>
      </c>
      <c r="K14" s="94">
        <f>SUMIF('Magic Stick'!$C:$C,A:A,'Magic Stick'!$K:$K)</f>
        <v>0</v>
      </c>
      <c r="L14" s="74" t="str">
        <f>K14/F14</f>
        <v>#DIV/0!</v>
      </c>
      <c r="M14" s="94">
        <f>SUMIF('Magic Stick'!$C:$C,A:A,'Magic Stick'!$M:$M)</f>
        <v>0</v>
      </c>
      <c r="N14" s="95" t="str">
        <f>M14/I14</f>
        <v>#DIV/0!</v>
      </c>
      <c r="O14" s="96">
        <f>SUMIF('Magic Stick'!$C:$C,A:A,'Magic Stick'!$O:$O)</f>
        <v>0</v>
      </c>
      <c r="P14" s="94">
        <f t="shared" si="8"/>
        <v>0</v>
      </c>
      <c r="Q14" s="94">
        <f t="shared" si="9"/>
        <v>0</v>
      </c>
      <c r="R14" s="95">
        <f t="shared" si="10"/>
        <v>0</v>
      </c>
      <c r="S14" s="96" t="str">
        <f t="shared" si="11"/>
        <v>#DIV/0!</v>
      </c>
      <c r="T14" s="94" t="str">
        <f t="shared" si="12"/>
        <v>#DIV/0!</v>
      </c>
      <c r="U14" s="97" t="str">
        <f t="shared" si="13"/>
        <v>#DIV/0!</v>
      </c>
    </row>
    <row r="15">
      <c r="B15" s="81"/>
      <c r="N15" s="82"/>
      <c r="O15" s="81"/>
      <c r="Q15" s="94"/>
      <c r="R15" s="82"/>
      <c r="S15" s="81"/>
      <c r="U15" s="82"/>
    </row>
    <row r="16">
      <c r="B16" s="81"/>
      <c r="N16" s="82"/>
      <c r="O16" s="81"/>
      <c r="R16" s="82"/>
      <c r="S16" s="81"/>
      <c r="U16" s="82"/>
    </row>
    <row r="17"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100"/>
      <c r="O17" s="98"/>
      <c r="P17" s="99"/>
      <c r="Q17" s="99"/>
      <c r="R17" s="100"/>
      <c r="S17" s="98"/>
      <c r="T17" s="99"/>
      <c r="U17" s="10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N2"/>
    <mergeCell ref="O2:R2"/>
    <mergeCell ref="S2:U2"/>
  </mergeCells>
  <printOptions horizontalCentered="1"/>
  <pageMargins bottom="0.75" footer="0.0" header="0.0" left="0.2" right="0.2" top="0.75"/>
  <pageSetup orientation="landscape"/>
  <drawing r:id="rId1"/>
</worksheet>
</file>