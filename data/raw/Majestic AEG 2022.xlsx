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atre" sheetId="1" r:id="rId5"/>
  </sheets>
  <definedNames/>
  <calcPr/>
</workbook>
</file>

<file path=xl/sharedStrings.xml><?xml version="1.0" encoding="utf-8"?>
<sst xmlns="http://schemas.openxmlformats.org/spreadsheetml/2006/main" count="126" uniqueCount="123">
  <si>
    <t>VENUE TOTAL</t>
  </si>
  <si>
    <t>PARTNER SPLIT</t>
  </si>
  <si>
    <t>***MAJESTIC THEATRE RESULTS***</t>
  </si>
  <si>
    <t>MTC Inc</t>
  </si>
  <si>
    <t>MAJESTIC THEATRE</t>
  </si>
  <si>
    <t xml:space="preserve">AEG </t>
  </si>
  <si>
    <t>Name</t>
  </si>
  <si>
    <t>Date</t>
  </si>
  <si>
    <t>Day of the week</t>
  </si>
  <si>
    <t>Tickets Sold</t>
  </si>
  <si>
    <t>Venue Capacity</t>
  </si>
  <si>
    <t>Capacity Rate</t>
  </si>
  <si>
    <t>Gross Ticket Revenue</t>
  </si>
  <si>
    <t>Avg. Ticket Price (including TW rebate)</t>
  </si>
  <si>
    <t>Bar Revenue</t>
  </si>
  <si>
    <t>Avg sale of alcohol per guest</t>
  </si>
  <si>
    <t>Band(s) guarantee</t>
  </si>
  <si>
    <t>% of Gross Ticket Revenue</t>
  </si>
  <si>
    <t xml:space="preserve">Gate Settlement Gain/(Loss)  </t>
  </si>
  <si>
    <t>Bar Sales 100%</t>
  </si>
  <si>
    <t>Show Gross Proceeds (before COGS, Labor, &amp; Facility Costs)</t>
  </si>
  <si>
    <t>Bar Sales 70%</t>
  </si>
  <si>
    <t>Bar  COGS, Labor &amp; Facility Costs 35%</t>
  </si>
  <si>
    <t>Show Gross Proceeds</t>
  </si>
  <si>
    <t>Bar Sales 30%</t>
  </si>
  <si>
    <t>INPUT - Total Gate Settlement</t>
  </si>
  <si>
    <t>TOTALS</t>
  </si>
  <si>
    <t>AVERAGES</t>
  </si>
  <si>
    <t>Wooli</t>
  </si>
  <si>
    <t>Cory &amp; the Wongnotes</t>
  </si>
  <si>
    <t>Dabin</t>
  </si>
  <si>
    <t>Wale</t>
  </si>
  <si>
    <t>LSDream</t>
  </si>
  <si>
    <t>Lucy Dacus</t>
  </si>
  <si>
    <t>Bad Suns</t>
  </si>
  <si>
    <t>Cordae</t>
  </si>
  <si>
    <t>Cannibal Corpse</t>
  </si>
  <si>
    <t>Jacqueline Novak</t>
  </si>
  <si>
    <t>Badbadnotgood</t>
  </si>
  <si>
    <t>Sammy Rae</t>
  </si>
  <si>
    <t>Parcels</t>
  </si>
  <si>
    <t>Half Alive</t>
  </si>
  <si>
    <t>The Midnight</t>
  </si>
  <si>
    <t>Animal Collective</t>
  </si>
  <si>
    <t>Car Seat Headrest</t>
  </si>
  <si>
    <t>Eric Bellinger</t>
  </si>
  <si>
    <t>Girl In Red</t>
  </si>
  <si>
    <t>Black Midi</t>
  </si>
  <si>
    <t>Droeloe</t>
  </si>
  <si>
    <t>The Darkness</t>
  </si>
  <si>
    <t>Meute</t>
  </si>
  <si>
    <t>Mayhem</t>
  </si>
  <si>
    <t>Chris Fleming</t>
  </si>
  <si>
    <t>Said The Sky</t>
  </si>
  <si>
    <t>Brian Jonestown Massacre</t>
  </si>
  <si>
    <t>Watch What Crappens</t>
  </si>
  <si>
    <t>Twiddle</t>
  </si>
  <si>
    <t>Peach Pit</t>
  </si>
  <si>
    <t>Lucky Daye</t>
  </si>
  <si>
    <t>Latto</t>
  </si>
  <si>
    <t>Black Tiger Sex Machine</t>
  </si>
  <si>
    <t>G. Jones</t>
  </si>
  <si>
    <t>Ben De La Crème</t>
  </si>
  <si>
    <t>Big KRIT</t>
  </si>
  <si>
    <t>Mxmtoon</t>
  </si>
  <si>
    <t>Lights</t>
  </si>
  <si>
    <t>070 Shake</t>
  </si>
  <si>
    <t>Omar Apollo</t>
  </si>
  <si>
    <t>NoCap</t>
  </si>
  <si>
    <t>Testament</t>
  </si>
  <si>
    <t>Pineapple Thief</t>
  </si>
  <si>
    <t>Jacob Collier</t>
  </si>
  <si>
    <t>Sinisterhood Podcast</t>
  </si>
  <si>
    <t>Turnstile</t>
  </si>
  <si>
    <t>Symphony X</t>
  </si>
  <si>
    <t>Hayden James</t>
  </si>
  <si>
    <t>Nothing Nowhere</t>
  </si>
  <si>
    <t>Freddie Gibbs</t>
  </si>
  <si>
    <t>Arkells</t>
  </si>
  <si>
    <t>Aurora</t>
  </si>
  <si>
    <t>Aly &amp; AJ</t>
  </si>
  <si>
    <t>Pusha T</t>
  </si>
  <si>
    <t>Hari Kondabolu</t>
  </si>
  <si>
    <t>Reality Gays</t>
  </si>
  <si>
    <t>Pinegrove</t>
  </si>
  <si>
    <t>The Devil Wears Prada</t>
  </si>
  <si>
    <t>Doughboys</t>
  </si>
  <si>
    <t>Joyce Manor</t>
  </si>
  <si>
    <t>Polyphia</t>
  </si>
  <si>
    <t>CAM</t>
  </si>
  <si>
    <t>Midnight Tyrannosaurus</t>
  </si>
  <si>
    <t>James Bay</t>
  </si>
  <si>
    <t>Snail Mail</t>
  </si>
  <si>
    <t>Golden Features</t>
  </si>
  <si>
    <t>Bomba Estereo</t>
  </si>
  <si>
    <t>Amyl and the Sniffers</t>
  </si>
  <si>
    <t>Stereolab</t>
  </si>
  <si>
    <t>Two Feet</t>
  </si>
  <si>
    <t>Muna</t>
  </si>
  <si>
    <t>Deorro</t>
  </si>
  <si>
    <t>Black Angels</t>
  </si>
  <si>
    <t>Monolink</t>
  </si>
  <si>
    <t>SG Lewis</t>
  </si>
  <si>
    <t>The Knocks</t>
  </si>
  <si>
    <t>Sofi Tukker</t>
  </si>
  <si>
    <t>Yung Bae</t>
  </si>
  <si>
    <t>Lucero</t>
  </si>
  <si>
    <t>Kameron Marlowe</t>
  </si>
  <si>
    <t>Tegan and Sara</t>
  </si>
  <si>
    <t xml:space="preserve">Alex G </t>
  </si>
  <si>
    <t>Too Many Zoos</t>
  </si>
  <si>
    <t>Godspeed You! Black Emperor</t>
  </si>
  <si>
    <t>Men I Trust</t>
  </si>
  <si>
    <t>Jake Scott</t>
  </si>
  <si>
    <t>AFI</t>
  </si>
  <si>
    <t>Plains</t>
  </si>
  <si>
    <t>Chloe Moriondo</t>
  </si>
  <si>
    <t>Charley Crocket</t>
  </si>
  <si>
    <t>Trampled by Turtles</t>
  </si>
  <si>
    <t xml:space="preserve">Destroy Lonely </t>
  </si>
  <si>
    <t>Sunn 0))</t>
  </si>
  <si>
    <t>Sevendust</t>
  </si>
  <si>
    <t>Dinosaur Jr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</si>
</sst>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_(&quot;$&quot;* #,##0_);_(&quot;$&quot;* \(#,##0\);_(&quot;$&quot;* &quot;-&quot;??_);_(@_)"/>
    <numFmt numFmtId="167" formatCode="_(&quot;$&quot;* #,##0.00_);_(&quot;$&quot;* \(#,##0.00\);_(&quot;$&quot;* &quot;-&quot;??_);_(@_)"/>
    <numFmt numFmtId="168" formatCode="m/d/yy"/>
    <numFmt numFmtId="169" formatCode="ddd"/>
    <numFmt numFmtId="170" formatCode="_(* #,##0_);_(* \(#,##0\);_(* &quot;-&quot;_);_(@_)"/>
  </numFmts>
  <fonts count="11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0"/>
      <name val="Calibri"/>
    </font>
    <font/>
    <font>
      <b/>
      <sz val="11.0"/>
      <color theme="1"/>
      <name val="Calibri"/>
    </font>
    <font>
      <b/>
      <sz val="11.0"/>
      <color theme="1"/>
      <name val="Times New Roman"/>
    </font>
    <font>
      <b/>
      <sz val="11.0"/>
      <color rgb="FFFF0000"/>
      <name val="Times New Roman"/>
    </font>
    <font>
      <b/>
      <sz val="11.0"/>
      <color rgb="FFFF0000"/>
      <name val="Calibri"/>
    </font>
    <font>
      <sz val="10.0"/>
      <color theme="1"/>
      <name val="Times New Roman"/>
    </font>
    <font>
      <sz val="10.0"/>
      <color rgb="FFFF0000"/>
      <name val="Times New Roman"/>
    </font>
    <font>
      <sz val="11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</fills>
  <borders count="2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/>
      <top/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9" xfId="0" applyFont="1" applyNumberForma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1" fillId="3" fontId="2" numFmtId="0" xfId="0" applyAlignment="1" applyBorder="1" applyFill="1" applyFont="1">
      <alignment horizontal="center"/>
    </xf>
    <xf borderId="0" fillId="0" fontId="4" numFmtId="0" xfId="0" applyFont="1"/>
    <xf borderId="1" fillId="4" fontId="4" numFmtId="0" xfId="0" applyAlignment="1" applyBorder="1" applyFill="1" applyFont="1">
      <alignment horizontal="center"/>
    </xf>
    <xf borderId="1" fillId="5" fontId="4" numFmtId="0" xfId="0" applyAlignment="1" applyBorder="1" applyFill="1" applyFont="1">
      <alignment horizontal="center"/>
    </xf>
    <xf borderId="1" fillId="6" fontId="4" numFmtId="0" xfId="0" applyAlignment="1" applyBorder="1" applyFill="1" applyFont="1">
      <alignment horizontal="center"/>
    </xf>
    <xf borderId="4" fillId="7" fontId="5" numFmtId="0" xfId="0" applyAlignment="1" applyBorder="1" applyFill="1" applyFont="1">
      <alignment horizontal="center" shrinkToFit="0" wrapText="1"/>
    </xf>
    <xf borderId="5" fillId="7" fontId="5" numFmtId="0" xfId="0" applyAlignment="1" applyBorder="1" applyFont="1">
      <alignment horizontal="center" shrinkToFit="0" wrapText="1"/>
    </xf>
    <xf borderId="5" fillId="7" fontId="5" numFmtId="164" xfId="0" applyAlignment="1" applyBorder="1" applyFont="1" applyNumberFormat="1">
      <alignment horizontal="center" shrinkToFit="0" wrapText="1"/>
    </xf>
    <xf borderId="6" fillId="7" fontId="5" numFmtId="0" xfId="0" applyAlignment="1" applyBorder="1" applyFont="1">
      <alignment horizontal="center" shrinkToFit="0" wrapText="1"/>
    </xf>
    <xf borderId="7" fillId="7" fontId="5" numFmtId="0" xfId="0" applyAlignment="1" applyBorder="1" applyFont="1">
      <alignment horizontal="center" shrinkToFit="0" wrapText="1"/>
    </xf>
    <xf borderId="8" fillId="7" fontId="5" numFmtId="0" xfId="0" applyAlignment="1" applyBorder="1" applyFont="1">
      <alignment horizontal="center" shrinkToFit="0" wrapText="1"/>
    </xf>
    <xf borderId="9" fillId="7" fontId="5" numFmtId="0" xfId="0" applyAlignment="1" applyBorder="1" applyFont="1">
      <alignment horizontal="center" shrinkToFit="0" wrapText="1"/>
    </xf>
    <xf borderId="10" fillId="7" fontId="6" numFmtId="0" xfId="0" applyAlignment="1" applyBorder="1" applyFont="1">
      <alignment horizontal="center" shrinkToFit="0" wrapText="1"/>
    </xf>
    <xf borderId="11" fillId="0" fontId="4" numFmtId="165" xfId="0" applyAlignment="1" applyBorder="1" applyFont="1" applyNumberFormat="1">
      <alignment horizontal="center" shrinkToFit="0" wrapText="1"/>
    </xf>
    <xf borderId="12" fillId="4" fontId="5" numFmtId="0" xfId="0" applyBorder="1" applyFont="1"/>
    <xf borderId="13" fillId="4" fontId="4" numFmtId="0" xfId="0" applyBorder="1" applyFont="1"/>
    <xf borderId="13" fillId="4" fontId="5" numFmtId="164" xfId="0" applyBorder="1" applyFont="1" applyNumberFormat="1"/>
    <xf borderId="13" fillId="2" fontId="5" numFmtId="164" xfId="0" applyBorder="1" applyFont="1" applyNumberFormat="1"/>
    <xf borderId="13" fillId="4" fontId="5" numFmtId="166" xfId="0" applyBorder="1" applyFont="1" applyNumberFormat="1"/>
    <xf borderId="14" fillId="2" fontId="5" numFmtId="166" xfId="0" applyBorder="1" applyFont="1" applyNumberFormat="1"/>
    <xf borderId="12" fillId="4" fontId="5" numFmtId="166" xfId="0" applyBorder="1" applyFont="1" applyNumberFormat="1"/>
    <xf borderId="14" fillId="4" fontId="5" numFmtId="166" xfId="0" applyBorder="1" applyFont="1" applyNumberFormat="1"/>
    <xf borderId="13" fillId="4" fontId="6" numFmtId="166" xfId="0" applyBorder="1" applyFont="1" applyNumberFormat="1"/>
    <xf borderId="13" fillId="4" fontId="5" numFmtId="10" xfId="0" applyBorder="1" applyFont="1" applyNumberFormat="1"/>
    <xf borderId="13" fillId="4" fontId="5" numFmtId="167" xfId="0" applyBorder="1" applyFont="1" applyNumberFormat="1"/>
    <xf borderId="14" fillId="4" fontId="5" numFmtId="10" xfId="0" applyBorder="1" applyFont="1" applyNumberFormat="1"/>
    <xf borderId="15" fillId="0" fontId="4" numFmtId="0" xfId="0" applyBorder="1" applyFont="1"/>
    <xf borderId="16" fillId="0" fontId="4" numFmtId="0" xfId="0" applyBorder="1" applyFont="1"/>
    <xf borderId="16" fillId="0" fontId="4" numFmtId="165" xfId="0" applyBorder="1" applyFont="1" applyNumberFormat="1"/>
    <xf borderId="16" fillId="0" fontId="4" numFmtId="164" xfId="0" applyBorder="1" applyFont="1" applyNumberFormat="1"/>
    <xf borderId="17" fillId="0" fontId="4" numFmtId="165" xfId="0" applyBorder="1" applyFont="1" applyNumberFormat="1"/>
    <xf borderId="15" fillId="0" fontId="4" numFmtId="165" xfId="0" applyBorder="1" applyFont="1" applyNumberFormat="1"/>
    <xf borderId="16" fillId="0" fontId="7" numFmtId="165" xfId="0" applyBorder="1" applyFont="1" applyNumberFormat="1"/>
    <xf borderId="18" fillId="7" fontId="8" numFmtId="0" xfId="0" applyBorder="1" applyFont="1"/>
    <xf borderId="19" fillId="7" fontId="8" numFmtId="0" xfId="0" applyBorder="1" applyFont="1"/>
    <xf borderId="18" fillId="7" fontId="8" numFmtId="168" xfId="0" applyAlignment="1" applyBorder="1" applyFont="1" applyNumberFormat="1">
      <alignment horizontal="center"/>
    </xf>
    <xf borderId="18" fillId="7" fontId="8" numFmtId="169" xfId="0" applyAlignment="1" applyBorder="1" applyFont="1" applyNumberFormat="1">
      <alignment horizontal="center"/>
    </xf>
    <xf borderId="18" fillId="7" fontId="8" numFmtId="164" xfId="0" applyBorder="1" applyFont="1" applyNumberFormat="1"/>
    <xf borderId="18" fillId="7" fontId="8" numFmtId="9" xfId="0" applyBorder="1" applyFont="1" applyNumberFormat="1"/>
    <xf borderId="18" fillId="7" fontId="8" numFmtId="166" xfId="0" applyBorder="1" applyFont="1" applyNumberFormat="1"/>
    <xf borderId="18" fillId="7" fontId="8" numFmtId="167" xfId="0" applyBorder="1" applyFont="1" applyNumberFormat="1"/>
    <xf borderId="20" fillId="7" fontId="8" numFmtId="9" xfId="0" applyBorder="1" applyFont="1" applyNumberFormat="1"/>
    <xf borderId="19" fillId="7" fontId="8" numFmtId="166" xfId="0" applyBorder="1" applyFont="1" applyNumberFormat="1"/>
    <xf borderId="20" fillId="7" fontId="8" numFmtId="166" xfId="0" applyBorder="1" applyFont="1" applyNumberFormat="1"/>
    <xf borderId="19" fillId="7" fontId="8" numFmtId="170" xfId="0" applyBorder="1" applyFont="1" applyNumberFormat="1"/>
    <xf borderId="18" fillId="7" fontId="8" numFmtId="170" xfId="0" applyBorder="1" applyFont="1" applyNumberFormat="1"/>
    <xf borderId="18" fillId="7" fontId="9" numFmtId="170" xfId="0" applyBorder="1" applyFont="1" applyNumberFormat="1"/>
    <xf borderId="20" fillId="7" fontId="8" numFmtId="170" xfId="0" applyBorder="1" applyFont="1" applyNumberFormat="1"/>
    <xf borderId="0" fillId="0" fontId="4" numFmtId="165" xfId="0" applyFont="1" applyNumberFormat="1"/>
    <xf borderId="0" fillId="0" fontId="8" numFmtId="0" xfId="0" applyFont="1"/>
    <xf borderId="21" fillId="0" fontId="8" numFmtId="0" xfId="0" applyBorder="1" applyFont="1"/>
    <xf borderId="0" fillId="0" fontId="8" numFmtId="168" xfId="0" applyAlignment="1" applyFont="1" applyNumberFormat="1">
      <alignment horizontal="center"/>
    </xf>
    <xf borderId="0" fillId="0" fontId="8" numFmtId="169" xfId="0" applyAlignment="1" applyFont="1" applyNumberFormat="1">
      <alignment horizontal="center"/>
    </xf>
    <xf borderId="0" fillId="0" fontId="8" numFmtId="164" xfId="0" applyFont="1" applyNumberFormat="1"/>
    <xf borderId="0" fillId="0" fontId="8" numFmtId="9" xfId="0" applyFont="1" applyNumberFormat="1"/>
    <xf borderId="0" fillId="0" fontId="8" numFmtId="165" xfId="0" applyFont="1" applyNumberFormat="1"/>
    <xf borderId="22" fillId="0" fontId="8" numFmtId="9" xfId="0" applyBorder="1" applyFont="1" applyNumberFormat="1"/>
    <xf borderId="21" fillId="0" fontId="8" numFmtId="164" xfId="0" applyBorder="1" applyFont="1" applyNumberFormat="1"/>
    <xf borderId="22" fillId="0" fontId="8" numFmtId="164" xfId="0" applyBorder="1" applyFont="1" applyNumberFormat="1"/>
    <xf borderId="21" fillId="0" fontId="8" numFmtId="170" xfId="0" applyBorder="1" applyFont="1" applyNumberFormat="1"/>
    <xf borderId="0" fillId="0" fontId="8" numFmtId="170" xfId="0" applyFont="1" applyNumberFormat="1"/>
    <xf borderId="0" fillId="0" fontId="9" numFmtId="170" xfId="0" applyFont="1" applyNumberFormat="1"/>
    <xf borderId="22" fillId="0" fontId="8" numFmtId="170" xfId="0" applyBorder="1" applyFont="1" applyNumberFormat="1"/>
    <xf borderId="18" fillId="7" fontId="8" numFmtId="165" xfId="0" applyBorder="1" applyFont="1" applyNumberFormat="1"/>
    <xf borderId="19" fillId="7" fontId="8" numFmtId="164" xfId="0" applyBorder="1" applyFont="1" applyNumberFormat="1"/>
    <xf borderId="20" fillId="7" fontId="8" numFmtId="164" xfId="0" applyBorder="1" applyFont="1" applyNumberFormat="1"/>
    <xf borderId="18" fillId="8" fontId="4" numFmtId="165" xfId="0" applyBorder="1" applyFill="1" applyFont="1" applyNumberFormat="1"/>
    <xf borderId="0" fillId="0" fontId="1" numFmtId="165" xfId="0" applyFont="1" applyNumberFormat="1"/>
    <xf borderId="19" fillId="7" fontId="8" numFmtId="0" xfId="0" applyAlignment="1" applyBorder="1" applyFont="1">
      <alignment readingOrder="0"/>
    </xf>
    <xf borderId="18" fillId="7" fontId="8" numFmtId="168" xfId="0" applyAlignment="1" applyBorder="1" applyFont="1" applyNumberFormat="1">
      <alignment horizontal="center" readingOrder="0"/>
    </xf>
    <xf borderId="18" fillId="7" fontId="8" numFmtId="164" xfId="0" applyAlignment="1" applyBorder="1" applyFont="1" applyNumberFormat="1">
      <alignment readingOrder="0"/>
    </xf>
    <xf borderId="0" fillId="0" fontId="4" numFmtId="165" xfId="0" applyAlignment="1" applyFont="1" applyNumberFormat="1">
      <alignment readingOrder="0"/>
    </xf>
    <xf borderId="21" fillId="0" fontId="8" numFmtId="0" xfId="0" applyAlignment="1" applyBorder="1" applyFont="1">
      <alignment readingOrder="0"/>
    </xf>
    <xf borderId="0" fillId="0" fontId="8" numFmtId="168" xfId="0" applyAlignment="1" applyFont="1" applyNumberFormat="1">
      <alignment horizontal="center" readingOrder="0"/>
    </xf>
    <xf borderId="0" fillId="0" fontId="8" numFmtId="164" xfId="0" applyAlignment="1" applyFont="1" applyNumberFormat="1">
      <alignment readingOrder="0"/>
    </xf>
    <xf borderId="23" fillId="0" fontId="8" numFmtId="0" xfId="0" applyBorder="1" applyFont="1"/>
    <xf borderId="24" fillId="0" fontId="8" numFmtId="168" xfId="0" applyAlignment="1" applyBorder="1" applyFont="1" applyNumberFormat="1">
      <alignment horizontal="center"/>
    </xf>
    <xf borderId="24" fillId="0" fontId="8" numFmtId="169" xfId="0" applyAlignment="1" applyBorder="1" applyFont="1" applyNumberFormat="1">
      <alignment horizontal="center"/>
    </xf>
    <xf borderId="24" fillId="0" fontId="8" numFmtId="164" xfId="0" applyBorder="1" applyFont="1" applyNumberFormat="1"/>
    <xf borderId="24" fillId="0" fontId="8" numFmtId="165" xfId="0" applyBorder="1" applyFont="1" applyNumberFormat="1"/>
    <xf borderId="24" fillId="0" fontId="8" numFmtId="9" xfId="0" applyBorder="1" applyFont="1" applyNumberFormat="1"/>
    <xf borderId="23" fillId="0" fontId="8" numFmtId="164" xfId="0" applyBorder="1" applyFont="1" applyNumberFormat="1"/>
    <xf borderId="25" fillId="0" fontId="8" numFmtId="164" xfId="0" applyBorder="1" applyFont="1" applyNumberFormat="1"/>
    <xf borderId="23" fillId="0" fontId="8" numFmtId="170" xfId="0" applyBorder="1" applyFont="1" applyNumberFormat="1"/>
    <xf borderId="24" fillId="0" fontId="8" numFmtId="170" xfId="0" applyBorder="1" applyFont="1" applyNumberFormat="1"/>
    <xf borderId="24" fillId="0" fontId="9" numFmtId="170" xfId="0" applyBorder="1" applyFont="1" applyNumberFormat="1"/>
    <xf borderId="25" fillId="0" fontId="8" numFmtId="170" xfId="0" applyBorder="1" applyFont="1" applyNumberForma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.0"/>
    <col customWidth="1" min="2" max="2" width="34.29"/>
    <col customWidth="1" min="3" max="3" width="8.14"/>
    <col customWidth="1" min="4" max="4" width="6.0"/>
    <col customWidth="1" min="5" max="6" width="8.71"/>
    <col customWidth="1" min="7" max="7" width="9.29"/>
    <col customWidth="1" min="8" max="8" width="12.43"/>
    <col customWidth="1" min="9" max="9" width="10.86"/>
    <col customWidth="1" min="10" max="10" width="11.0"/>
    <col customWidth="1" min="11" max="11" width="9.71"/>
    <col customWidth="1" min="12" max="12" width="11.43"/>
    <col customWidth="1" min="13" max="13" width="9.14"/>
    <col customWidth="1" min="14" max="14" width="11.71"/>
    <col customWidth="1" min="15" max="15" width="11.0"/>
    <col customWidth="1" min="16" max="16" width="13.71"/>
    <col customWidth="1" min="17" max="17" width="12.29"/>
    <col customWidth="1" min="18" max="19" width="11.0"/>
    <col customWidth="1" min="20" max="20" width="11.29"/>
    <col customWidth="1" min="21" max="21" width="12.14"/>
    <col customWidth="1" min="22" max="22" width="11.0"/>
    <col customWidth="1" min="23" max="23" width="11.29"/>
    <col customWidth="1" min="24" max="24" width="11.43"/>
    <col customWidth="1" min="25" max="25" width="11.0"/>
    <col customWidth="1" min="26" max="26" width="10.43"/>
  </cols>
  <sheetData>
    <row r="1">
      <c r="M1" s="1"/>
      <c r="N1" s="2" t="s">
        <v>0</v>
      </c>
      <c r="O1" s="3"/>
      <c r="P1" s="4"/>
      <c r="Q1" s="5" t="s">
        <v>1</v>
      </c>
      <c r="R1" s="3"/>
      <c r="S1" s="3"/>
      <c r="T1" s="3"/>
      <c r="U1" s="3"/>
      <c r="V1" s="3"/>
      <c r="W1" s="4"/>
      <c r="X1" s="6"/>
    </row>
    <row r="2">
      <c r="B2" s="7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8" t="s">
        <v>3</v>
      </c>
      <c r="O2" s="3"/>
      <c r="P2" s="4"/>
      <c r="Q2" s="8" t="s">
        <v>4</v>
      </c>
      <c r="R2" s="3"/>
      <c r="S2" s="3"/>
      <c r="T2" s="4"/>
      <c r="U2" s="9" t="s">
        <v>5</v>
      </c>
      <c r="V2" s="3"/>
      <c r="W2" s="4"/>
      <c r="X2" s="6"/>
    </row>
    <row r="3">
      <c r="B3" s="10" t="s">
        <v>6</v>
      </c>
      <c r="C3" s="11" t="s">
        <v>7</v>
      </c>
      <c r="D3" s="11" t="s">
        <v>8</v>
      </c>
      <c r="E3" s="12" t="s">
        <v>9</v>
      </c>
      <c r="F3" s="12" t="s">
        <v>10</v>
      </c>
      <c r="G3" s="12" t="s">
        <v>11</v>
      </c>
      <c r="H3" s="11" t="s">
        <v>12</v>
      </c>
      <c r="I3" s="11" t="s">
        <v>13</v>
      </c>
      <c r="J3" s="11" t="s">
        <v>14</v>
      </c>
      <c r="K3" s="11" t="s">
        <v>15</v>
      </c>
      <c r="L3" s="11" t="s">
        <v>16</v>
      </c>
      <c r="M3" s="13" t="s">
        <v>17</v>
      </c>
      <c r="N3" s="14" t="s">
        <v>18</v>
      </c>
      <c r="O3" s="15" t="s">
        <v>19</v>
      </c>
      <c r="P3" s="16" t="s">
        <v>20</v>
      </c>
      <c r="Q3" s="14" t="s">
        <v>18</v>
      </c>
      <c r="R3" s="15" t="s">
        <v>21</v>
      </c>
      <c r="S3" s="17" t="s">
        <v>22</v>
      </c>
      <c r="T3" s="16" t="s">
        <v>23</v>
      </c>
      <c r="U3" s="14" t="s">
        <v>18</v>
      </c>
      <c r="V3" s="15" t="s">
        <v>24</v>
      </c>
      <c r="W3" s="16" t="s">
        <v>23</v>
      </c>
      <c r="X3" s="18" t="s">
        <v>25</v>
      </c>
    </row>
    <row r="4">
      <c r="B4" s="19" t="s">
        <v>26</v>
      </c>
      <c r="C4" s="20"/>
      <c r="D4" s="20"/>
      <c r="E4" s="21">
        <f t="shared" ref="E4:F4" si="1">SUM(E7:E126)</f>
        <v>70133</v>
      </c>
      <c r="F4" s="21">
        <f t="shared" si="1"/>
        <v>98200</v>
      </c>
      <c r="G4" s="22"/>
      <c r="H4" s="23">
        <f>SUM(H7:H126)</f>
        <v>2505785.33</v>
      </c>
      <c r="I4" s="22"/>
      <c r="J4" s="23">
        <f>SUM(J7:J126)</f>
        <v>881949.57</v>
      </c>
      <c r="K4" s="22"/>
      <c r="L4" s="23">
        <f t="shared" ref="L4:W4" si="2">SUM(L7:L126)</f>
        <v>1152968.09</v>
      </c>
      <c r="M4" s="24">
        <f t="shared" si="2"/>
        <v>44.37729789</v>
      </c>
      <c r="N4" s="25">
        <f t="shared" si="2"/>
        <v>484750.95</v>
      </c>
      <c r="O4" s="23">
        <f t="shared" si="2"/>
        <v>881949.57</v>
      </c>
      <c r="P4" s="26">
        <f t="shared" si="2"/>
        <v>1366700.52</v>
      </c>
      <c r="Q4" s="25">
        <f t="shared" si="2"/>
        <v>242375.475</v>
      </c>
      <c r="R4" s="23">
        <f t="shared" si="2"/>
        <v>617364.699</v>
      </c>
      <c r="S4" s="27">
        <f t="shared" si="2"/>
        <v>308682.3495</v>
      </c>
      <c r="T4" s="26">
        <f t="shared" si="2"/>
        <v>551057.8245</v>
      </c>
      <c r="U4" s="25">
        <f t="shared" si="2"/>
        <v>242375.475</v>
      </c>
      <c r="V4" s="23">
        <f t="shared" si="2"/>
        <v>264584.871</v>
      </c>
      <c r="W4" s="26">
        <f t="shared" si="2"/>
        <v>506960.346</v>
      </c>
      <c r="X4" s="6"/>
    </row>
    <row r="5">
      <c r="B5" s="19" t="s">
        <v>27</v>
      </c>
      <c r="C5" s="20"/>
      <c r="D5" s="20"/>
      <c r="E5" s="21">
        <f t="shared" ref="E5:F5" si="3">E4/COUNTA(E7:E126)</f>
        <v>738.2421053</v>
      </c>
      <c r="F5" s="21">
        <f t="shared" si="3"/>
        <v>1033.684211</v>
      </c>
      <c r="G5" s="28">
        <f>E4/F4</f>
        <v>0.714185336</v>
      </c>
      <c r="H5" s="23">
        <f>H4/COUNTA(H7:H126)</f>
        <v>26376.68768</v>
      </c>
      <c r="I5" s="29">
        <f>H4/E4</f>
        <v>35.72904809</v>
      </c>
      <c r="J5" s="23">
        <f>J4/COUNTA(J7:J126)</f>
        <v>9283.679684</v>
      </c>
      <c r="K5" s="29">
        <f>J4/E4</f>
        <v>12.57538634</v>
      </c>
      <c r="L5" s="23">
        <f>L4/COUNTA(L7:L126)</f>
        <v>12136.50621</v>
      </c>
      <c r="M5" s="30">
        <f>L4/H4</f>
        <v>0.4601224519</v>
      </c>
      <c r="N5" s="25">
        <f t="shared" ref="N5:W5" si="4">N4/COUNTIF(N7:N123,"&lt;&gt;0")</f>
        <v>5102.641579</v>
      </c>
      <c r="O5" s="23">
        <f t="shared" si="4"/>
        <v>9283.679684</v>
      </c>
      <c r="P5" s="26">
        <f t="shared" si="4"/>
        <v>14386.32126</v>
      </c>
      <c r="Q5" s="25">
        <f t="shared" si="4"/>
        <v>2551.320789</v>
      </c>
      <c r="R5" s="23">
        <f t="shared" si="4"/>
        <v>6498.575779</v>
      </c>
      <c r="S5" s="27">
        <f t="shared" si="4"/>
        <v>3249.287889</v>
      </c>
      <c r="T5" s="26">
        <f t="shared" si="4"/>
        <v>5800.608679</v>
      </c>
      <c r="U5" s="25">
        <f t="shared" si="4"/>
        <v>2551.320789</v>
      </c>
      <c r="V5" s="23">
        <f t="shared" si="4"/>
        <v>2785.103905</v>
      </c>
      <c r="W5" s="26">
        <f t="shared" si="4"/>
        <v>5336.424695</v>
      </c>
      <c r="X5" s="6"/>
    </row>
    <row r="6">
      <c r="B6" s="31"/>
      <c r="C6" s="32"/>
      <c r="D6" s="32"/>
      <c r="E6" s="33"/>
      <c r="F6" s="33"/>
      <c r="G6" s="33"/>
      <c r="H6" s="33"/>
      <c r="I6" s="34"/>
      <c r="J6" s="33"/>
      <c r="K6" s="34"/>
      <c r="L6" s="33"/>
      <c r="M6" s="35"/>
      <c r="N6" s="36"/>
      <c r="O6" s="33"/>
      <c r="P6" s="35"/>
      <c r="Q6" s="36"/>
      <c r="R6" s="33"/>
      <c r="S6" s="37"/>
      <c r="T6" s="35"/>
      <c r="U6" s="36"/>
      <c r="V6" s="33"/>
      <c r="W6" s="35"/>
      <c r="X6" s="6"/>
    </row>
    <row r="7">
      <c r="A7" s="38">
        <v>1.0</v>
      </c>
      <c r="B7" s="39" t="s">
        <v>28</v>
      </c>
      <c r="C7" s="40">
        <v>44583.0</v>
      </c>
      <c r="D7" s="41">
        <f t="shared" ref="D7:D48" si="6">C7</f>
        <v>44583</v>
      </c>
      <c r="E7" s="42">
        <v>835.0</v>
      </c>
      <c r="F7" s="42">
        <v>1100.0</v>
      </c>
      <c r="G7" s="43">
        <f t="shared" ref="G7:G107" si="7">IFERROR(E7/F7,"")</f>
        <v>0.7590909091</v>
      </c>
      <c r="H7" s="44">
        <v>21383.0</v>
      </c>
      <c r="I7" s="45">
        <f t="shared" ref="I7:I87" si="8">IFERROR(H7/E7,"")</f>
        <v>25.60838323</v>
      </c>
      <c r="J7" s="44">
        <v>13945.19</v>
      </c>
      <c r="K7" s="45">
        <f t="shared" ref="K7:K87" si="9">IFERROR(J7/E7,"")</f>
        <v>16.70082635</v>
      </c>
      <c r="L7" s="44">
        <f>2000+35.35+1000+2000</f>
        <v>5035.35</v>
      </c>
      <c r="M7" s="46">
        <f t="shared" ref="M7:M12" si="10">L7/H7</f>
        <v>0.2354837955</v>
      </c>
      <c r="N7" s="47">
        <f t="shared" ref="N7:O7" si="5">Q7+U7</f>
        <v>8805.43</v>
      </c>
      <c r="O7" s="44">
        <f t="shared" si="5"/>
        <v>13945.19</v>
      </c>
      <c r="P7" s="48">
        <f t="shared" ref="P7:P123" si="12">N7+O7</f>
        <v>22750.62</v>
      </c>
      <c r="Q7" s="49">
        <f t="shared" ref="Q7:Q126" si="13">X7*0.5</f>
        <v>4402.715</v>
      </c>
      <c r="R7" s="50">
        <f t="shared" ref="R7:R123" si="14">J7*70%</f>
        <v>9761.633</v>
      </c>
      <c r="S7" s="51">
        <f t="shared" ref="S7:S126" si="15">J7*0.35</f>
        <v>4880.8165</v>
      </c>
      <c r="T7" s="52">
        <f t="shared" ref="T7:T126" si="16">Q7+R7-S7</f>
        <v>9283.5315</v>
      </c>
      <c r="U7" s="47">
        <f t="shared" ref="U7:U123" si="17">Q7</f>
        <v>4402.715</v>
      </c>
      <c r="V7" s="44">
        <f t="shared" ref="V7:V123" si="18">J7*30%</f>
        <v>4183.557</v>
      </c>
      <c r="W7" s="48">
        <f t="shared" ref="W7:W123" si="19">U7+V7</f>
        <v>8586.272</v>
      </c>
      <c r="X7" s="53">
        <v>8805.43</v>
      </c>
    </row>
    <row r="8">
      <c r="A8" s="54">
        <v>2.0</v>
      </c>
      <c r="B8" s="55" t="s">
        <v>29</v>
      </c>
      <c r="C8" s="56">
        <v>44588.0</v>
      </c>
      <c r="D8" s="57">
        <f t="shared" si="6"/>
        <v>44588</v>
      </c>
      <c r="E8" s="58">
        <v>713.0</v>
      </c>
      <c r="F8" s="58">
        <v>1100.0</v>
      </c>
      <c r="G8" s="59">
        <f t="shared" si="7"/>
        <v>0.6481818182</v>
      </c>
      <c r="H8" s="58">
        <v>21836.5</v>
      </c>
      <c r="I8" s="60">
        <f t="shared" si="8"/>
        <v>30.62622721</v>
      </c>
      <c r="J8" s="58">
        <v>7732.27</v>
      </c>
      <c r="K8" s="60">
        <f t="shared" si="9"/>
        <v>10.84469846</v>
      </c>
      <c r="L8" s="58">
        <f>9095.4+500+1000</f>
        <v>10595.4</v>
      </c>
      <c r="M8" s="61">
        <f t="shared" si="10"/>
        <v>0.4852151215</v>
      </c>
      <c r="N8" s="62">
        <f t="shared" ref="N8:O8" si="11">Q8+U8</f>
        <v>4985.13</v>
      </c>
      <c r="O8" s="58">
        <f t="shared" si="11"/>
        <v>7732.27</v>
      </c>
      <c r="P8" s="63">
        <f t="shared" si="12"/>
        <v>12717.4</v>
      </c>
      <c r="Q8" s="64">
        <f t="shared" si="13"/>
        <v>2492.565</v>
      </c>
      <c r="R8" s="65">
        <f t="shared" si="14"/>
        <v>5412.589</v>
      </c>
      <c r="S8" s="66">
        <f t="shared" si="15"/>
        <v>2706.2945</v>
      </c>
      <c r="T8" s="67">
        <f t="shared" si="16"/>
        <v>5198.8595</v>
      </c>
      <c r="U8" s="62">
        <f t="shared" si="17"/>
        <v>2492.565</v>
      </c>
      <c r="V8" s="58">
        <f t="shared" si="18"/>
        <v>2319.681</v>
      </c>
      <c r="W8" s="63">
        <f t="shared" si="19"/>
        <v>4812.246</v>
      </c>
      <c r="X8" s="53">
        <v>4985.13</v>
      </c>
    </row>
    <row r="9">
      <c r="A9" s="38">
        <v>3.0</v>
      </c>
      <c r="B9" s="39" t="s">
        <v>30</v>
      </c>
      <c r="C9" s="40">
        <v>44589.0</v>
      </c>
      <c r="D9" s="41">
        <f t="shared" si="6"/>
        <v>44589</v>
      </c>
      <c r="E9" s="42">
        <v>652.0</v>
      </c>
      <c r="F9" s="42">
        <v>1100.0</v>
      </c>
      <c r="G9" s="43">
        <f t="shared" si="7"/>
        <v>0.5927272727</v>
      </c>
      <c r="H9" s="42">
        <v>17805.0</v>
      </c>
      <c r="I9" s="68">
        <f t="shared" si="8"/>
        <v>27.30828221</v>
      </c>
      <c r="J9" s="42">
        <v>11070.59</v>
      </c>
      <c r="K9" s="68">
        <f t="shared" si="9"/>
        <v>16.97943252</v>
      </c>
      <c r="L9" s="42">
        <f>4000+100</f>
        <v>4100</v>
      </c>
      <c r="M9" s="46">
        <f t="shared" si="10"/>
        <v>0.2302723954</v>
      </c>
      <c r="N9" s="69">
        <f t="shared" ref="N9:O9" si="20">Q9+U9</f>
        <v>5531.36</v>
      </c>
      <c r="O9" s="42">
        <f t="shared" si="20"/>
        <v>11070.59</v>
      </c>
      <c r="P9" s="70">
        <f t="shared" si="12"/>
        <v>16601.95</v>
      </c>
      <c r="Q9" s="49">
        <f t="shared" si="13"/>
        <v>2765.68</v>
      </c>
      <c r="R9" s="50">
        <f t="shared" si="14"/>
        <v>7749.413</v>
      </c>
      <c r="S9" s="51">
        <f t="shared" si="15"/>
        <v>3874.7065</v>
      </c>
      <c r="T9" s="52">
        <f t="shared" si="16"/>
        <v>6640.3865</v>
      </c>
      <c r="U9" s="69">
        <f t="shared" si="17"/>
        <v>2765.68</v>
      </c>
      <c r="V9" s="42">
        <f t="shared" si="18"/>
        <v>3321.177</v>
      </c>
      <c r="W9" s="70">
        <f t="shared" si="19"/>
        <v>6086.857</v>
      </c>
      <c r="X9" s="53">
        <v>5531.36</v>
      </c>
    </row>
    <row r="10">
      <c r="A10" s="54">
        <v>4.0</v>
      </c>
      <c r="B10" s="55" t="s">
        <v>31</v>
      </c>
      <c r="C10" s="56">
        <v>44590.0</v>
      </c>
      <c r="D10" s="57">
        <f t="shared" si="6"/>
        <v>44590</v>
      </c>
      <c r="E10" s="58">
        <v>997.0</v>
      </c>
      <c r="F10" s="58">
        <v>1100.0</v>
      </c>
      <c r="G10" s="59">
        <f t="shared" si="7"/>
        <v>0.9063636364</v>
      </c>
      <c r="H10" s="58">
        <f>43010.21-791</f>
        <v>42219.21</v>
      </c>
      <c r="I10" s="60">
        <f t="shared" si="8"/>
        <v>42.34624875</v>
      </c>
      <c r="J10" s="58">
        <v>12889.15</v>
      </c>
      <c r="K10" s="60">
        <f t="shared" si="9"/>
        <v>12.9279338</v>
      </c>
      <c r="L10" s="58">
        <f>14000+1243.69+1000</f>
        <v>16243.69</v>
      </c>
      <c r="M10" s="61">
        <f t="shared" si="10"/>
        <v>0.3847464223</v>
      </c>
      <c r="N10" s="62">
        <f t="shared" ref="N10:O10" si="21">Q10+U10</f>
        <v>12660.56</v>
      </c>
      <c r="O10" s="58">
        <f t="shared" si="21"/>
        <v>12889.15</v>
      </c>
      <c r="P10" s="63">
        <f t="shared" si="12"/>
        <v>25549.71</v>
      </c>
      <c r="Q10" s="64">
        <f t="shared" si="13"/>
        <v>6330.28</v>
      </c>
      <c r="R10" s="65">
        <f t="shared" si="14"/>
        <v>9022.405</v>
      </c>
      <c r="S10" s="66">
        <f t="shared" si="15"/>
        <v>4511.2025</v>
      </c>
      <c r="T10" s="67">
        <f t="shared" si="16"/>
        <v>10841.4825</v>
      </c>
      <c r="U10" s="62">
        <f t="shared" si="17"/>
        <v>6330.28</v>
      </c>
      <c r="V10" s="58">
        <f t="shared" si="18"/>
        <v>3866.745</v>
      </c>
      <c r="W10" s="63">
        <f t="shared" si="19"/>
        <v>10197.025</v>
      </c>
      <c r="X10" s="53">
        <v>12660.56</v>
      </c>
    </row>
    <row r="11">
      <c r="A11" s="38">
        <v>5.0</v>
      </c>
      <c r="B11" s="39" t="s">
        <v>32</v>
      </c>
      <c r="C11" s="40">
        <v>44596.0</v>
      </c>
      <c r="D11" s="41">
        <f t="shared" si="6"/>
        <v>44596</v>
      </c>
      <c r="E11" s="42">
        <v>1100.0</v>
      </c>
      <c r="F11" s="42">
        <v>1100.0</v>
      </c>
      <c r="G11" s="43">
        <f t="shared" si="7"/>
        <v>1</v>
      </c>
      <c r="H11" s="42">
        <f>35604.5-836</f>
        <v>34768.5</v>
      </c>
      <c r="I11" s="68">
        <f t="shared" si="8"/>
        <v>31.60772727</v>
      </c>
      <c r="J11" s="42">
        <v>18354.38</v>
      </c>
      <c r="K11" s="68">
        <f t="shared" si="9"/>
        <v>16.6858</v>
      </c>
      <c r="L11" s="42">
        <f>7000+4194.41+500+100+1500</f>
        <v>13294.41</v>
      </c>
      <c r="M11" s="46">
        <f t="shared" si="10"/>
        <v>0.3823693861</v>
      </c>
      <c r="N11" s="69">
        <f t="shared" ref="N11:O11" si="22">Q11+U11</f>
        <v>11331.58</v>
      </c>
      <c r="O11" s="42">
        <f t="shared" si="22"/>
        <v>18354.38</v>
      </c>
      <c r="P11" s="70">
        <f t="shared" si="12"/>
        <v>29685.96</v>
      </c>
      <c r="Q11" s="49">
        <f t="shared" si="13"/>
        <v>5665.79</v>
      </c>
      <c r="R11" s="50">
        <f t="shared" si="14"/>
        <v>12848.066</v>
      </c>
      <c r="S11" s="51">
        <f t="shared" si="15"/>
        <v>6424.033</v>
      </c>
      <c r="T11" s="52">
        <f t="shared" si="16"/>
        <v>12089.823</v>
      </c>
      <c r="U11" s="69">
        <f t="shared" si="17"/>
        <v>5665.79</v>
      </c>
      <c r="V11" s="42">
        <f t="shared" si="18"/>
        <v>5506.314</v>
      </c>
      <c r="W11" s="70">
        <f t="shared" si="19"/>
        <v>11172.104</v>
      </c>
      <c r="X11" s="53">
        <v>11331.58</v>
      </c>
    </row>
    <row r="12">
      <c r="A12" s="54">
        <v>6.0</v>
      </c>
      <c r="B12" s="55" t="s">
        <v>33</v>
      </c>
      <c r="C12" s="56">
        <v>44602.0</v>
      </c>
      <c r="D12" s="57">
        <f t="shared" si="6"/>
        <v>44602</v>
      </c>
      <c r="E12" s="58">
        <v>1118.0</v>
      </c>
      <c r="F12" s="58">
        <v>1100.0</v>
      </c>
      <c r="G12" s="59">
        <f t="shared" si="7"/>
        <v>1.016363636</v>
      </c>
      <c r="H12" s="58">
        <f>37745-2628</f>
        <v>35117</v>
      </c>
      <c r="I12" s="60">
        <f t="shared" si="8"/>
        <v>31.41055456</v>
      </c>
      <c r="J12" s="58">
        <v>7645.19</v>
      </c>
      <c r="K12" s="60">
        <f t="shared" si="9"/>
        <v>6.838273703</v>
      </c>
      <c r="L12" s="58">
        <f>7000+7131.49+1000</f>
        <v>15131.49</v>
      </c>
      <c r="M12" s="61">
        <f t="shared" si="10"/>
        <v>0.4308878891</v>
      </c>
      <c r="N12" s="62">
        <f t="shared" ref="N12:O12" si="23">Q12+U12</f>
        <v>14488.49</v>
      </c>
      <c r="O12" s="58">
        <f t="shared" si="23"/>
        <v>7645.19</v>
      </c>
      <c r="P12" s="63">
        <f t="shared" si="12"/>
        <v>22133.68</v>
      </c>
      <c r="Q12" s="64">
        <f t="shared" si="13"/>
        <v>7244.245</v>
      </c>
      <c r="R12" s="65">
        <f t="shared" si="14"/>
        <v>5351.633</v>
      </c>
      <c r="S12" s="66">
        <f t="shared" si="15"/>
        <v>2675.8165</v>
      </c>
      <c r="T12" s="67">
        <f t="shared" si="16"/>
        <v>9920.0615</v>
      </c>
      <c r="U12" s="62">
        <f t="shared" si="17"/>
        <v>7244.245</v>
      </c>
      <c r="V12" s="58">
        <f t="shared" si="18"/>
        <v>2293.557</v>
      </c>
      <c r="W12" s="63">
        <f t="shared" si="19"/>
        <v>9537.802</v>
      </c>
      <c r="X12" s="53">
        <v>14488.49</v>
      </c>
    </row>
    <row r="13">
      <c r="A13" s="38">
        <v>7.0</v>
      </c>
      <c r="B13" s="39" t="s">
        <v>34</v>
      </c>
      <c r="C13" s="40">
        <v>44604.0</v>
      </c>
      <c r="D13" s="41">
        <f t="shared" si="6"/>
        <v>44604</v>
      </c>
      <c r="E13" s="42">
        <v>704.0</v>
      </c>
      <c r="F13" s="42">
        <v>1100.0</v>
      </c>
      <c r="G13" s="43">
        <f t="shared" si="7"/>
        <v>0.64</v>
      </c>
      <c r="H13" s="42">
        <f>28261-1347</f>
        <v>26914</v>
      </c>
      <c r="I13" s="68">
        <f t="shared" si="8"/>
        <v>38.23011364</v>
      </c>
      <c r="J13" s="42">
        <v>9141.18</v>
      </c>
      <c r="K13" s="68">
        <f t="shared" si="9"/>
        <v>12.98463068</v>
      </c>
      <c r="L13" s="42">
        <f>12150+500+350</f>
        <v>13000</v>
      </c>
      <c r="M13" s="46">
        <f t="shared" ref="M13:M123" si="25">IFERROR(L13/H13,"")</f>
        <v>0.4830199896</v>
      </c>
      <c r="N13" s="69">
        <f t="shared" ref="N13:O13" si="24">Q13+U13</f>
        <v>3262.57</v>
      </c>
      <c r="O13" s="42">
        <f t="shared" si="24"/>
        <v>9141.18</v>
      </c>
      <c r="P13" s="70">
        <f t="shared" si="12"/>
        <v>12403.75</v>
      </c>
      <c r="Q13" s="49">
        <f t="shared" si="13"/>
        <v>1631.285</v>
      </c>
      <c r="R13" s="50">
        <f t="shared" si="14"/>
        <v>6398.826</v>
      </c>
      <c r="S13" s="51">
        <f t="shared" si="15"/>
        <v>3199.413</v>
      </c>
      <c r="T13" s="52">
        <f t="shared" si="16"/>
        <v>4830.698</v>
      </c>
      <c r="U13" s="69">
        <f t="shared" si="17"/>
        <v>1631.285</v>
      </c>
      <c r="V13" s="42">
        <f t="shared" si="18"/>
        <v>2742.354</v>
      </c>
      <c r="W13" s="70">
        <f t="shared" si="19"/>
        <v>4373.639</v>
      </c>
      <c r="X13" s="53">
        <v>3262.57</v>
      </c>
    </row>
    <row r="14">
      <c r="A14" s="54">
        <v>8.0</v>
      </c>
      <c r="B14" s="55" t="s">
        <v>35</v>
      </c>
      <c r="C14" s="56">
        <v>44618.0</v>
      </c>
      <c r="D14" s="57">
        <f t="shared" si="6"/>
        <v>44618</v>
      </c>
      <c r="E14" s="58">
        <v>823.0</v>
      </c>
      <c r="F14" s="58">
        <v>1100.0</v>
      </c>
      <c r="G14" s="59">
        <f t="shared" si="7"/>
        <v>0.7481818182</v>
      </c>
      <c r="H14" s="58">
        <f>32975.5-1100</f>
        <v>31875.5</v>
      </c>
      <c r="I14" s="60">
        <f t="shared" si="8"/>
        <v>38.7308627</v>
      </c>
      <c r="J14" s="58">
        <v>8467.06</v>
      </c>
      <c r="K14" s="60">
        <f t="shared" si="9"/>
        <v>10.28804374</v>
      </c>
      <c r="L14" s="58">
        <v>14000.0</v>
      </c>
      <c r="M14" s="61">
        <f t="shared" si="25"/>
        <v>0.4392087967</v>
      </c>
      <c r="N14" s="62">
        <f t="shared" ref="N14:O14" si="26">Q14+U14</f>
        <v>7041.73</v>
      </c>
      <c r="O14" s="58">
        <f t="shared" si="26"/>
        <v>8467.06</v>
      </c>
      <c r="P14" s="63">
        <f t="shared" si="12"/>
        <v>15508.79</v>
      </c>
      <c r="Q14" s="64">
        <f t="shared" si="13"/>
        <v>3520.865</v>
      </c>
      <c r="R14" s="65">
        <f t="shared" si="14"/>
        <v>5926.942</v>
      </c>
      <c r="S14" s="66">
        <f t="shared" si="15"/>
        <v>2963.471</v>
      </c>
      <c r="T14" s="67">
        <f t="shared" si="16"/>
        <v>6484.336</v>
      </c>
      <c r="U14" s="62">
        <f t="shared" si="17"/>
        <v>3520.865</v>
      </c>
      <c r="V14" s="58">
        <f t="shared" si="18"/>
        <v>2540.118</v>
      </c>
      <c r="W14" s="63">
        <f t="shared" si="19"/>
        <v>6060.983</v>
      </c>
      <c r="X14" s="53">
        <v>7041.73</v>
      </c>
    </row>
    <row r="15">
      <c r="A15" s="38">
        <v>9.0</v>
      </c>
      <c r="B15" s="39" t="s">
        <v>36</v>
      </c>
      <c r="C15" s="40">
        <v>44620.0</v>
      </c>
      <c r="D15" s="41">
        <f t="shared" si="6"/>
        <v>44620</v>
      </c>
      <c r="E15" s="42">
        <v>1100.0</v>
      </c>
      <c r="F15" s="42">
        <v>1100.0</v>
      </c>
      <c r="G15" s="43">
        <f t="shared" si="7"/>
        <v>1</v>
      </c>
      <c r="H15" s="42">
        <f>41036.5-3760</f>
        <v>37276.5</v>
      </c>
      <c r="I15" s="68">
        <f t="shared" si="8"/>
        <v>33.88772727</v>
      </c>
      <c r="J15" s="42">
        <v>15712.29</v>
      </c>
      <c r="K15" s="68">
        <f t="shared" si="9"/>
        <v>14.2839</v>
      </c>
      <c r="L15" s="42">
        <f>10500+342.35+1500+500+5000</f>
        <v>17842.35</v>
      </c>
      <c r="M15" s="46">
        <f t="shared" si="25"/>
        <v>0.4786487465</v>
      </c>
      <c r="N15" s="69">
        <f t="shared" ref="N15:O15" si="27">Q15+U15</f>
        <v>13970.85</v>
      </c>
      <c r="O15" s="42">
        <f t="shared" si="27"/>
        <v>15712.29</v>
      </c>
      <c r="P15" s="70">
        <f t="shared" si="12"/>
        <v>29683.14</v>
      </c>
      <c r="Q15" s="49">
        <f t="shared" si="13"/>
        <v>6985.425</v>
      </c>
      <c r="R15" s="50">
        <f t="shared" si="14"/>
        <v>10998.603</v>
      </c>
      <c r="S15" s="51">
        <f t="shared" si="15"/>
        <v>5499.3015</v>
      </c>
      <c r="T15" s="52">
        <f t="shared" si="16"/>
        <v>12484.7265</v>
      </c>
      <c r="U15" s="69">
        <f t="shared" si="17"/>
        <v>6985.425</v>
      </c>
      <c r="V15" s="42">
        <f t="shared" si="18"/>
        <v>4713.687</v>
      </c>
      <c r="W15" s="70">
        <f t="shared" si="19"/>
        <v>11699.112</v>
      </c>
      <c r="X15" s="53">
        <v>13970.85</v>
      </c>
    </row>
    <row r="16">
      <c r="A16" s="54">
        <v>10.0</v>
      </c>
      <c r="B16" s="55" t="s">
        <v>37</v>
      </c>
      <c r="C16" s="56">
        <v>44630.0</v>
      </c>
      <c r="D16" s="57">
        <f t="shared" si="6"/>
        <v>44630</v>
      </c>
      <c r="E16" s="58">
        <v>199.0</v>
      </c>
      <c r="F16" s="58">
        <v>400.0</v>
      </c>
      <c r="G16" s="59">
        <f t="shared" si="7"/>
        <v>0.4975</v>
      </c>
      <c r="H16" s="58">
        <v>8461.0</v>
      </c>
      <c r="I16" s="60">
        <f t="shared" si="8"/>
        <v>42.51758794</v>
      </c>
      <c r="J16" s="58">
        <v>1265.6</v>
      </c>
      <c r="K16" s="60">
        <f t="shared" si="9"/>
        <v>6.359798995</v>
      </c>
      <c r="L16" s="58">
        <v>4000.0</v>
      </c>
      <c r="M16" s="61">
        <f t="shared" si="25"/>
        <v>0.4727573573</v>
      </c>
      <c r="N16" s="62">
        <f t="shared" ref="N16:O16" si="28">Q16+U16</f>
        <v>-295.51</v>
      </c>
      <c r="O16" s="58">
        <f t="shared" si="28"/>
        <v>1265.6</v>
      </c>
      <c r="P16" s="63">
        <f t="shared" si="12"/>
        <v>970.09</v>
      </c>
      <c r="Q16" s="64">
        <f t="shared" si="13"/>
        <v>-147.755</v>
      </c>
      <c r="R16" s="65">
        <f t="shared" si="14"/>
        <v>885.92</v>
      </c>
      <c r="S16" s="66">
        <f t="shared" si="15"/>
        <v>442.96</v>
      </c>
      <c r="T16" s="67">
        <f t="shared" si="16"/>
        <v>295.205</v>
      </c>
      <c r="U16" s="62">
        <f t="shared" si="17"/>
        <v>-147.755</v>
      </c>
      <c r="V16" s="58">
        <f t="shared" si="18"/>
        <v>379.68</v>
      </c>
      <c r="W16" s="63">
        <f t="shared" si="19"/>
        <v>231.925</v>
      </c>
      <c r="X16" s="71">
        <v>-295.51</v>
      </c>
    </row>
    <row r="17">
      <c r="A17" s="38">
        <v>11.0</v>
      </c>
      <c r="B17" s="39" t="s">
        <v>38</v>
      </c>
      <c r="C17" s="40">
        <v>44631.0</v>
      </c>
      <c r="D17" s="41">
        <f t="shared" si="6"/>
        <v>44631</v>
      </c>
      <c r="E17" s="42">
        <v>1101.0</v>
      </c>
      <c r="F17" s="42">
        <v>1100.0</v>
      </c>
      <c r="G17" s="43">
        <f t="shared" si="7"/>
        <v>1.000909091</v>
      </c>
      <c r="H17" s="42">
        <f>34871.16-995.66</f>
        <v>33875.5</v>
      </c>
      <c r="I17" s="68">
        <f t="shared" si="8"/>
        <v>30.76793824</v>
      </c>
      <c r="J17" s="42">
        <v>13610.04</v>
      </c>
      <c r="K17" s="68">
        <f t="shared" si="9"/>
        <v>12.36152589</v>
      </c>
      <c r="L17" s="42">
        <f>13546.1+500</f>
        <v>14046.1</v>
      </c>
      <c r="M17" s="46">
        <f t="shared" si="25"/>
        <v>0.4146388983</v>
      </c>
      <c r="N17" s="69">
        <f t="shared" ref="N17:O17" si="29">Q17+U17</f>
        <v>10323.32</v>
      </c>
      <c r="O17" s="42">
        <f t="shared" si="29"/>
        <v>13610.04</v>
      </c>
      <c r="P17" s="70">
        <f t="shared" si="12"/>
        <v>23933.36</v>
      </c>
      <c r="Q17" s="49">
        <f t="shared" si="13"/>
        <v>5161.66</v>
      </c>
      <c r="R17" s="50">
        <f t="shared" si="14"/>
        <v>9527.028</v>
      </c>
      <c r="S17" s="51">
        <f t="shared" si="15"/>
        <v>4763.514</v>
      </c>
      <c r="T17" s="52">
        <f t="shared" si="16"/>
        <v>9925.174</v>
      </c>
      <c r="U17" s="69">
        <f t="shared" si="17"/>
        <v>5161.66</v>
      </c>
      <c r="V17" s="42">
        <f t="shared" si="18"/>
        <v>4083.012</v>
      </c>
      <c r="W17" s="70">
        <f t="shared" si="19"/>
        <v>9244.672</v>
      </c>
      <c r="X17" s="53">
        <v>10323.32</v>
      </c>
    </row>
    <row r="18">
      <c r="A18" s="54">
        <v>12.0</v>
      </c>
      <c r="B18" s="55" t="s">
        <v>39</v>
      </c>
      <c r="C18" s="56">
        <v>44633.0</v>
      </c>
      <c r="D18" s="57">
        <f t="shared" si="6"/>
        <v>44633</v>
      </c>
      <c r="E18" s="58">
        <v>694.0</v>
      </c>
      <c r="F18" s="58">
        <v>1100.0</v>
      </c>
      <c r="G18" s="59">
        <f t="shared" si="7"/>
        <v>0.6309090909</v>
      </c>
      <c r="H18" s="58">
        <f>19534.5-1418</f>
        <v>18116.5</v>
      </c>
      <c r="I18" s="60">
        <f t="shared" si="8"/>
        <v>26.10446686</v>
      </c>
      <c r="J18" s="58">
        <v>6465.97</v>
      </c>
      <c r="K18" s="60">
        <f t="shared" si="9"/>
        <v>9.316959654</v>
      </c>
      <c r="L18" s="58">
        <v>8500.0</v>
      </c>
      <c r="M18" s="61">
        <f t="shared" si="25"/>
        <v>0.4691855491</v>
      </c>
      <c r="N18" s="62">
        <f t="shared" ref="N18:O18" si="30">Q18+U18</f>
        <v>3205.2</v>
      </c>
      <c r="O18" s="58">
        <f t="shared" si="30"/>
        <v>6465.97</v>
      </c>
      <c r="P18" s="63">
        <f t="shared" si="12"/>
        <v>9671.17</v>
      </c>
      <c r="Q18" s="64">
        <f t="shared" si="13"/>
        <v>1602.6</v>
      </c>
      <c r="R18" s="65">
        <f t="shared" si="14"/>
        <v>4526.179</v>
      </c>
      <c r="S18" s="66">
        <f t="shared" si="15"/>
        <v>2263.0895</v>
      </c>
      <c r="T18" s="67">
        <f t="shared" si="16"/>
        <v>3865.6895</v>
      </c>
      <c r="U18" s="62">
        <f t="shared" si="17"/>
        <v>1602.6</v>
      </c>
      <c r="V18" s="58">
        <f t="shared" si="18"/>
        <v>1939.791</v>
      </c>
      <c r="W18" s="63">
        <f t="shared" si="19"/>
        <v>3542.391</v>
      </c>
      <c r="X18" s="53">
        <v>3205.2</v>
      </c>
    </row>
    <row r="19">
      <c r="A19" s="38">
        <v>13.0</v>
      </c>
      <c r="B19" s="39" t="s">
        <v>40</v>
      </c>
      <c r="C19" s="40">
        <v>44635.0</v>
      </c>
      <c r="D19" s="41">
        <f t="shared" si="6"/>
        <v>44635</v>
      </c>
      <c r="E19" s="42">
        <v>978.0</v>
      </c>
      <c r="F19" s="42">
        <v>1100.0</v>
      </c>
      <c r="G19" s="43">
        <f t="shared" si="7"/>
        <v>0.8890909091</v>
      </c>
      <c r="H19" s="42">
        <v>27129.5</v>
      </c>
      <c r="I19" s="68">
        <f t="shared" si="8"/>
        <v>27.73977505</v>
      </c>
      <c r="J19" s="42">
        <v>12473.7</v>
      </c>
      <c r="K19" s="68">
        <f t="shared" si="9"/>
        <v>12.75429448</v>
      </c>
      <c r="L19" s="42">
        <f>9042.78+500</f>
        <v>9542.78</v>
      </c>
      <c r="M19" s="46">
        <f t="shared" si="25"/>
        <v>0.3517492029</v>
      </c>
      <c r="N19" s="69">
        <f t="shared" ref="N19:O19" si="31">Q19+U19</f>
        <v>9297.78</v>
      </c>
      <c r="O19" s="42">
        <f t="shared" si="31"/>
        <v>12473.7</v>
      </c>
      <c r="P19" s="70">
        <f t="shared" si="12"/>
        <v>21771.48</v>
      </c>
      <c r="Q19" s="49">
        <f t="shared" si="13"/>
        <v>4648.89</v>
      </c>
      <c r="R19" s="50">
        <f t="shared" si="14"/>
        <v>8731.59</v>
      </c>
      <c r="S19" s="51">
        <f t="shared" si="15"/>
        <v>4365.795</v>
      </c>
      <c r="T19" s="52">
        <f t="shared" si="16"/>
        <v>9014.685</v>
      </c>
      <c r="U19" s="69">
        <f t="shared" si="17"/>
        <v>4648.89</v>
      </c>
      <c r="V19" s="42">
        <f t="shared" si="18"/>
        <v>3742.11</v>
      </c>
      <c r="W19" s="70">
        <f t="shared" si="19"/>
        <v>8391</v>
      </c>
      <c r="X19" s="53">
        <v>9297.78</v>
      </c>
    </row>
    <row r="20">
      <c r="A20" s="54">
        <v>14.0</v>
      </c>
      <c r="B20" s="55" t="s">
        <v>41</v>
      </c>
      <c r="C20" s="56">
        <v>44636.0</v>
      </c>
      <c r="D20" s="57">
        <f t="shared" si="6"/>
        <v>44636</v>
      </c>
      <c r="E20" s="58">
        <v>775.0</v>
      </c>
      <c r="F20" s="58">
        <v>1100.0</v>
      </c>
      <c r="G20" s="59">
        <f t="shared" si="7"/>
        <v>0.7045454545</v>
      </c>
      <c r="H20" s="58">
        <v>26276.11</v>
      </c>
      <c r="I20" s="60">
        <f t="shared" si="8"/>
        <v>33.90465806</v>
      </c>
      <c r="J20" s="58">
        <v>4716.21</v>
      </c>
      <c r="K20" s="60">
        <f t="shared" si="9"/>
        <v>6.085432258</v>
      </c>
      <c r="L20" s="58">
        <f>10000+500</f>
        <v>10500</v>
      </c>
      <c r="M20" s="61">
        <f t="shared" si="25"/>
        <v>0.3996025287</v>
      </c>
      <c r="N20" s="62">
        <f t="shared" ref="N20:O20" si="32">Q20+U20</f>
        <v>8118.25</v>
      </c>
      <c r="O20" s="58">
        <f t="shared" si="32"/>
        <v>4716.21</v>
      </c>
      <c r="P20" s="63">
        <f t="shared" si="12"/>
        <v>12834.46</v>
      </c>
      <c r="Q20" s="64">
        <f t="shared" si="13"/>
        <v>4059.125</v>
      </c>
      <c r="R20" s="65">
        <f t="shared" si="14"/>
        <v>3301.347</v>
      </c>
      <c r="S20" s="66">
        <f t="shared" si="15"/>
        <v>1650.6735</v>
      </c>
      <c r="T20" s="67">
        <f t="shared" si="16"/>
        <v>5709.7985</v>
      </c>
      <c r="U20" s="62">
        <f t="shared" si="17"/>
        <v>4059.125</v>
      </c>
      <c r="V20" s="58">
        <f t="shared" si="18"/>
        <v>1414.863</v>
      </c>
      <c r="W20" s="63">
        <f t="shared" si="19"/>
        <v>5473.988</v>
      </c>
      <c r="X20" s="53">
        <v>8118.25</v>
      </c>
    </row>
    <row r="21" ht="15.75" customHeight="1">
      <c r="A21" s="38">
        <v>15.0</v>
      </c>
      <c r="B21" s="39" t="s">
        <v>42</v>
      </c>
      <c r="C21" s="40">
        <v>44638.0</v>
      </c>
      <c r="D21" s="41">
        <f t="shared" si="6"/>
        <v>44638</v>
      </c>
      <c r="E21" s="42">
        <v>1100.0</v>
      </c>
      <c r="F21" s="42">
        <v>1100.0</v>
      </c>
      <c r="G21" s="43">
        <f t="shared" si="7"/>
        <v>1</v>
      </c>
      <c r="H21" s="42">
        <f>43490-2675</f>
        <v>40815</v>
      </c>
      <c r="I21" s="68">
        <f t="shared" si="8"/>
        <v>37.10454545</v>
      </c>
      <c r="J21" s="42">
        <v>16088.45</v>
      </c>
      <c r="K21" s="68">
        <f t="shared" si="9"/>
        <v>14.62586364</v>
      </c>
      <c r="L21" s="42">
        <f>19250+750</f>
        <v>20000</v>
      </c>
      <c r="M21" s="46">
        <f t="shared" si="25"/>
        <v>0.4900159255</v>
      </c>
      <c r="N21" s="69">
        <f t="shared" ref="N21:O21" si="33">Q21+U21</f>
        <v>9379.78</v>
      </c>
      <c r="O21" s="42">
        <f t="shared" si="33"/>
        <v>16088.45</v>
      </c>
      <c r="P21" s="70">
        <f t="shared" si="12"/>
        <v>25468.23</v>
      </c>
      <c r="Q21" s="49">
        <f t="shared" si="13"/>
        <v>4689.89</v>
      </c>
      <c r="R21" s="50">
        <f t="shared" si="14"/>
        <v>11261.915</v>
      </c>
      <c r="S21" s="51">
        <f t="shared" si="15"/>
        <v>5630.9575</v>
      </c>
      <c r="T21" s="52">
        <f t="shared" si="16"/>
        <v>10320.8475</v>
      </c>
      <c r="U21" s="69">
        <f t="shared" si="17"/>
        <v>4689.89</v>
      </c>
      <c r="V21" s="42">
        <f t="shared" si="18"/>
        <v>4826.535</v>
      </c>
      <c r="W21" s="70">
        <f t="shared" si="19"/>
        <v>9516.425</v>
      </c>
      <c r="X21" s="53">
        <v>9379.78</v>
      </c>
    </row>
    <row r="22" ht="15.75" customHeight="1">
      <c r="A22" s="54">
        <v>16.0</v>
      </c>
      <c r="B22" s="55" t="s">
        <v>43</v>
      </c>
      <c r="C22" s="56">
        <v>44639.0</v>
      </c>
      <c r="D22" s="57">
        <f t="shared" si="6"/>
        <v>44639</v>
      </c>
      <c r="E22" s="58">
        <v>1063.0</v>
      </c>
      <c r="F22" s="58">
        <v>1100.0</v>
      </c>
      <c r="G22" s="59">
        <f t="shared" si="7"/>
        <v>0.9663636364</v>
      </c>
      <c r="H22" s="58">
        <f>40834-1644</f>
        <v>39190</v>
      </c>
      <c r="I22" s="60">
        <f t="shared" si="8"/>
        <v>36.86735654</v>
      </c>
      <c r="J22" s="58">
        <v>13171.04</v>
      </c>
      <c r="K22" s="60">
        <f t="shared" si="9"/>
        <v>12.39044214</v>
      </c>
      <c r="L22" s="58">
        <f>25000+500</f>
        <v>25500</v>
      </c>
      <c r="M22" s="61">
        <f t="shared" si="25"/>
        <v>0.6506761929</v>
      </c>
      <c r="N22" s="62">
        <f t="shared" ref="N22:O22" si="34">Q22+U22</f>
        <v>6622.18</v>
      </c>
      <c r="O22" s="58">
        <f t="shared" si="34"/>
        <v>13171.04</v>
      </c>
      <c r="P22" s="63">
        <f t="shared" si="12"/>
        <v>19793.22</v>
      </c>
      <c r="Q22" s="64">
        <f t="shared" si="13"/>
        <v>3311.09</v>
      </c>
      <c r="R22" s="65">
        <f t="shared" si="14"/>
        <v>9219.728</v>
      </c>
      <c r="S22" s="66">
        <f t="shared" si="15"/>
        <v>4609.864</v>
      </c>
      <c r="T22" s="67">
        <f t="shared" si="16"/>
        <v>7920.954</v>
      </c>
      <c r="U22" s="62">
        <f t="shared" si="17"/>
        <v>3311.09</v>
      </c>
      <c r="V22" s="58">
        <f t="shared" si="18"/>
        <v>3951.312</v>
      </c>
      <c r="W22" s="63">
        <f t="shared" si="19"/>
        <v>7262.402</v>
      </c>
      <c r="X22" s="53">
        <v>6622.18</v>
      </c>
    </row>
    <row r="23" ht="15.75" customHeight="1">
      <c r="A23" s="38">
        <v>17.0</v>
      </c>
      <c r="B23" s="39" t="s">
        <v>44</v>
      </c>
      <c r="C23" s="40">
        <v>44640.0</v>
      </c>
      <c r="D23" s="41">
        <f t="shared" si="6"/>
        <v>44640</v>
      </c>
      <c r="E23" s="42">
        <v>1100.0</v>
      </c>
      <c r="F23" s="42">
        <v>1100.0</v>
      </c>
      <c r="G23" s="43">
        <f t="shared" si="7"/>
        <v>1</v>
      </c>
      <c r="H23" s="42">
        <f>36721.42-2857.92</f>
        <v>33863.5</v>
      </c>
      <c r="I23" s="68">
        <f t="shared" si="8"/>
        <v>30.785</v>
      </c>
      <c r="J23" s="42">
        <v>6166.18</v>
      </c>
      <c r="K23" s="68">
        <f t="shared" si="9"/>
        <v>5.605618182</v>
      </c>
      <c r="L23" s="42">
        <f>14573.26+1000</f>
        <v>15573.26</v>
      </c>
      <c r="M23" s="46">
        <f t="shared" si="25"/>
        <v>0.4598833552</v>
      </c>
      <c r="N23" s="69">
        <f t="shared" ref="N23:O23" si="35">Q23+U23</f>
        <v>13941.98</v>
      </c>
      <c r="O23" s="42">
        <f t="shared" si="35"/>
        <v>6166.18</v>
      </c>
      <c r="P23" s="70">
        <f t="shared" si="12"/>
        <v>20108.16</v>
      </c>
      <c r="Q23" s="49">
        <f t="shared" si="13"/>
        <v>6970.99</v>
      </c>
      <c r="R23" s="50">
        <f t="shared" si="14"/>
        <v>4316.326</v>
      </c>
      <c r="S23" s="51">
        <f t="shared" si="15"/>
        <v>2158.163</v>
      </c>
      <c r="T23" s="52">
        <f t="shared" si="16"/>
        <v>9129.153</v>
      </c>
      <c r="U23" s="69">
        <f t="shared" si="17"/>
        <v>6970.99</v>
      </c>
      <c r="V23" s="42">
        <f t="shared" si="18"/>
        <v>1849.854</v>
      </c>
      <c r="W23" s="70">
        <f t="shared" si="19"/>
        <v>8820.844</v>
      </c>
      <c r="X23" s="53">
        <v>13941.98</v>
      </c>
    </row>
    <row r="24" ht="15.75" customHeight="1">
      <c r="A24" s="54">
        <v>18.0</v>
      </c>
      <c r="B24" s="55" t="s">
        <v>45</v>
      </c>
      <c r="C24" s="56">
        <v>44641.0</v>
      </c>
      <c r="D24" s="57">
        <f t="shared" si="6"/>
        <v>44641</v>
      </c>
      <c r="E24" s="58">
        <v>684.0</v>
      </c>
      <c r="F24" s="58">
        <v>1100.0</v>
      </c>
      <c r="G24" s="59">
        <f t="shared" si="7"/>
        <v>0.6218181818</v>
      </c>
      <c r="H24" s="58">
        <f>35851-276</f>
        <v>35575</v>
      </c>
      <c r="I24" s="60">
        <f t="shared" si="8"/>
        <v>52.01023392</v>
      </c>
      <c r="J24" s="58">
        <v>9361.6</v>
      </c>
      <c r="K24" s="60">
        <f t="shared" si="9"/>
        <v>13.68654971</v>
      </c>
      <c r="L24" s="58">
        <v>12500.0</v>
      </c>
      <c r="M24" s="61">
        <f t="shared" si="25"/>
        <v>0.3513703443</v>
      </c>
      <c r="N24" s="62">
        <f t="shared" ref="N24:O24" si="36">Q24+U24</f>
        <v>5741.4</v>
      </c>
      <c r="O24" s="58">
        <f t="shared" si="36"/>
        <v>9361.6</v>
      </c>
      <c r="P24" s="63">
        <f t="shared" si="12"/>
        <v>15103</v>
      </c>
      <c r="Q24" s="64">
        <f t="shared" si="13"/>
        <v>2870.7</v>
      </c>
      <c r="R24" s="65">
        <f t="shared" si="14"/>
        <v>6553.12</v>
      </c>
      <c r="S24" s="66">
        <f t="shared" si="15"/>
        <v>3276.56</v>
      </c>
      <c r="T24" s="67">
        <f t="shared" si="16"/>
        <v>6147.26</v>
      </c>
      <c r="U24" s="62">
        <f t="shared" si="17"/>
        <v>2870.7</v>
      </c>
      <c r="V24" s="58">
        <f t="shared" si="18"/>
        <v>2808.48</v>
      </c>
      <c r="W24" s="63">
        <f t="shared" si="19"/>
        <v>5679.18</v>
      </c>
      <c r="X24" s="53">
        <v>5741.4</v>
      </c>
    </row>
    <row r="25" ht="15.75" customHeight="1">
      <c r="A25" s="38">
        <v>19.0</v>
      </c>
      <c r="B25" s="39" t="s">
        <v>46</v>
      </c>
      <c r="C25" s="40">
        <v>44642.0</v>
      </c>
      <c r="D25" s="41">
        <f t="shared" si="6"/>
        <v>44642</v>
      </c>
      <c r="E25" s="42">
        <v>1100.0</v>
      </c>
      <c r="F25" s="42">
        <v>1100.0</v>
      </c>
      <c r="G25" s="43">
        <f t="shared" si="7"/>
        <v>1</v>
      </c>
      <c r="H25" s="42">
        <f>35049.5-2935</f>
        <v>32114.5</v>
      </c>
      <c r="I25" s="68">
        <f t="shared" si="8"/>
        <v>29.195</v>
      </c>
      <c r="J25" s="42">
        <v>4921.7</v>
      </c>
      <c r="K25" s="68">
        <f t="shared" si="9"/>
        <v>4.474272727</v>
      </c>
      <c r="L25" s="42">
        <f>8430.58+6500+500</f>
        <v>15430.58</v>
      </c>
      <c r="M25" s="46">
        <f t="shared" si="25"/>
        <v>0.4804863847</v>
      </c>
      <c r="N25" s="69">
        <f t="shared" ref="N25:O25" si="37">Q25+U25</f>
        <v>11923.25</v>
      </c>
      <c r="O25" s="42">
        <f t="shared" si="37"/>
        <v>4921.7</v>
      </c>
      <c r="P25" s="70">
        <f t="shared" si="12"/>
        <v>16844.95</v>
      </c>
      <c r="Q25" s="49">
        <f t="shared" si="13"/>
        <v>5961.625</v>
      </c>
      <c r="R25" s="50">
        <f t="shared" si="14"/>
        <v>3445.19</v>
      </c>
      <c r="S25" s="51">
        <f t="shared" si="15"/>
        <v>1722.595</v>
      </c>
      <c r="T25" s="52">
        <f t="shared" si="16"/>
        <v>7684.22</v>
      </c>
      <c r="U25" s="69">
        <f t="shared" si="17"/>
        <v>5961.625</v>
      </c>
      <c r="V25" s="42">
        <f t="shared" si="18"/>
        <v>1476.51</v>
      </c>
      <c r="W25" s="70">
        <f t="shared" si="19"/>
        <v>7438.135</v>
      </c>
      <c r="X25" s="53">
        <v>11923.25</v>
      </c>
    </row>
    <row r="26" ht="15.75" customHeight="1">
      <c r="A26" s="54">
        <v>20.0</v>
      </c>
      <c r="B26" s="55" t="s">
        <v>47</v>
      </c>
      <c r="C26" s="56">
        <v>44645.0</v>
      </c>
      <c r="D26" s="57">
        <f t="shared" si="6"/>
        <v>44645</v>
      </c>
      <c r="E26" s="58">
        <v>657.0</v>
      </c>
      <c r="F26" s="58">
        <v>1100.0</v>
      </c>
      <c r="G26" s="59">
        <f t="shared" si="7"/>
        <v>0.5972727273</v>
      </c>
      <c r="H26" s="58">
        <f>18477.5-1466</f>
        <v>17011.5</v>
      </c>
      <c r="I26" s="60">
        <f t="shared" si="8"/>
        <v>25.89269406</v>
      </c>
      <c r="J26" s="58">
        <v>5452.9</v>
      </c>
      <c r="K26" s="60">
        <f t="shared" si="9"/>
        <v>8.299695586</v>
      </c>
      <c r="L26" s="58">
        <f>6830.87+500</f>
        <v>7330.87</v>
      </c>
      <c r="M26" s="61">
        <f t="shared" si="25"/>
        <v>0.4309361314</v>
      </c>
      <c r="N26" s="62">
        <f t="shared" ref="N26:O26" si="38">Q26+U26</f>
        <v>4049.1</v>
      </c>
      <c r="O26" s="58">
        <f t="shared" si="38"/>
        <v>5452.9</v>
      </c>
      <c r="P26" s="63">
        <f t="shared" si="12"/>
        <v>9502</v>
      </c>
      <c r="Q26" s="64">
        <f t="shared" si="13"/>
        <v>2024.55</v>
      </c>
      <c r="R26" s="65">
        <f t="shared" si="14"/>
        <v>3817.03</v>
      </c>
      <c r="S26" s="66">
        <f t="shared" si="15"/>
        <v>1908.515</v>
      </c>
      <c r="T26" s="67">
        <f t="shared" si="16"/>
        <v>3933.065</v>
      </c>
      <c r="U26" s="62">
        <f t="shared" si="17"/>
        <v>2024.55</v>
      </c>
      <c r="V26" s="58">
        <f t="shared" si="18"/>
        <v>1635.87</v>
      </c>
      <c r="W26" s="63">
        <f t="shared" si="19"/>
        <v>3660.42</v>
      </c>
      <c r="X26" s="53">
        <v>4049.1</v>
      </c>
    </row>
    <row r="27" ht="15.75" customHeight="1">
      <c r="A27" s="38">
        <v>21.0</v>
      </c>
      <c r="B27" s="39" t="s">
        <v>48</v>
      </c>
      <c r="C27" s="40">
        <v>44646.0</v>
      </c>
      <c r="D27" s="41">
        <f t="shared" si="6"/>
        <v>44646</v>
      </c>
      <c r="E27" s="42">
        <v>356.0</v>
      </c>
      <c r="F27" s="42">
        <v>1100.0</v>
      </c>
      <c r="G27" s="43">
        <f t="shared" si="7"/>
        <v>0.3236363636</v>
      </c>
      <c r="H27" s="42">
        <f>10235-451</f>
        <v>9784</v>
      </c>
      <c r="I27" s="68">
        <f t="shared" si="8"/>
        <v>27.48314607</v>
      </c>
      <c r="J27" s="42">
        <v>5956.25</v>
      </c>
      <c r="K27" s="68">
        <f t="shared" si="9"/>
        <v>16.73103933</v>
      </c>
      <c r="L27" s="42">
        <f>8500+650+250</f>
        <v>9400</v>
      </c>
      <c r="M27" s="46">
        <f t="shared" si="25"/>
        <v>0.9607522486</v>
      </c>
      <c r="N27" s="69">
        <f t="shared" ref="N27:O27" si="39">Q27+U27</f>
        <v>-5984.81</v>
      </c>
      <c r="O27" s="42">
        <f t="shared" si="39"/>
        <v>5956.25</v>
      </c>
      <c r="P27" s="70">
        <f t="shared" si="12"/>
        <v>-28.56</v>
      </c>
      <c r="Q27" s="49">
        <f t="shared" si="13"/>
        <v>-2992.405</v>
      </c>
      <c r="R27" s="50">
        <f t="shared" si="14"/>
        <v>4169.375</v>
      </c>
      <c r="S27" s="51">
        <f t="shared" si="15"/>
        <v>2084.6875</v>
      </c>
      <c r="T27" s="52">
        <f t="shared" si="16"/>
        <v>-907.7175</v>
      </c>
      <c r="U27" s="69">
        <f t="shared" si="17"/>
        <v>-2992.405</v>
      </c>
      <c r="V27" s="42">
        <f t="shared" si="18"/>
        <v>1786.875</v>
      </c>
      <c r="W27" s="70">
        <f t="shared" si="19"/>
        <v>-1205.53</v>
      </c>
      <c r="X27" s="71">
        <v>-5984.81</v>
      </c>
    </row>
    <row r="28" ht="15.75" customHeight="1">
      <c r="A28" s="54">
        <v>22.0</v>
      </c>
      <c r="B28" s="55" t="s">
        <v>49</v>
      </c>
      <c r="C28" s="56">
        <v>44649.0</v>
      </c>
      <c r="D28" s="57">
        <f t="shared" si="6"/>
        <v>44649</v>
      </c>
      <c r="E28" s="58">
        <v>494.0</v>
      </c>
      <c r="F28" s="58">
        <v>1100.0</v>
      </c>
      <c r="G28" s="59">
        <f t="shared" si="7"/>
        <v>0.4490909091</v>
      </c>
      <c r="H28" s="58">
        <f>17947.5-1256</f>
        <v>16691.5</v>
      </c>
      <c r="I28" s="60">
        <f t="shared" si="8"/>
        <v>33.78846154</v>
      </c>
      <c r="J28" s="58">
        <v>9607.76</v>
      </c>
      <c r="K28" s="60">
        <f t="shared" si="9"/>
        <v>19.44890688</v>
      </c>
      <c r="L28" s="58">
        <f>12000+500</f>
        <v>12500</v>
      </c>
      <c r="M28" s="61">
        <f t="shared" si="25"/>
        <v>0.7488841626</v>
      </c>
      <c r="N28" s="62">
        <f t="shared" ref="N28:O28" si="40">Q28+U28</f>
        <v>-1842.07</v>
      </c>
      <c r="O28" s="58">
        <f t="shared" si="40"/>
        <v>9607.76</v>
      </c>
      <c r="P28" s="63">
        <f t="shared" si="12"/>
        <v>7765.69</v>
      </c>
      <c r="Q28" s="64">
        <f t="shared" si="13"/>
        <v>-921.035</v>
      </c>
      <c r="R28" s="65">
        <f t="shared" si="14"/>
        <v>6725.432</v>
      </c>
      <c r="S28" s="66">
        <f t="shared" si="15"/>
        <v>3362.716</v>
      </c>
      <c r="T28" s="67">
        <f t="shared" si="16"/>
        <v>2441.681</v>
      </c>
      <c r="U28" s="62">
        <f t="shared" si="17"/>
        <v>-921.035</v>
      </c>
      <c r="V28" s="58">
        <f t="shared" si="18"/>
        <v>2882.328</v>
      </c>
      <c r="W28" s="63">
        <f t="shared" si="19"/>
        <v>1961.293</v>
      </c>
      <c r="X28" s="71">
        <v>-1842.07</v>
      </c>
    </row>
    <row r="29" ht="15.75" customHeight="1">
      <c r="A29" s="38">
        <v>23.0</v>
      </c>
      <c r="B29" s="39" t="s">
        <v>50</v>
      </c>
      <c r="C29" s="40">
        <v>44650.0</v>
      </c>
      <c r="D29" s="41">
        <f t="shared" si="6"/>
        <v>44650</v>
      </c>
      <c r="E29" s="42">
        <v>497.0</v>
      </c>
      <c r="F29" s="42">
        <v>1100.0</v>
      </c>
      <c r="G29" s="43">
        <f t="shared" si="7"/>
        <v>0.4518181818</v>
      </c>
      <c r="H29" s="42">
        <f>14118-332</f>
        <v>13786</v>
      </c>
      <c r="I29" s="68">
        <f t="shared" si="8"/>
        <v>27.73843058</v>
      </c>
      <c r="J29" s="42">
        <v>8977.25</v>
      </c>
      <c r="K29" s="68">
        <f t="shared" si="9"/>
        <v>18.06287726</v>
      </c>
      <c r="L29" s="42">
        <f>9750+100</f>
        <v>9850</v>
      </c>
      <c r="M29" s="46">
        <f t="shared" si="25"/>
        <v>0.7144929639</v>
      </c>
      <c r="N29" s="69">
        <f t="shared" ref="N29:O29" si="41">Q29+U29</f>
        <v>-2861.25</v>
      </c>
      <c r="O29" s="42">
        <f t="shared" si="41"/>
        <v>8977.25</v>
      </c>
      <c r="P29" s="70">
        <f t="shared" si="12"/>
        <v>6116</v>
      </c>
      <c r="Q29" s="49">
        <f t="shared" si="13"/>
        <v>-1430.625</v>
      </c>
      <c r="R29" s="50">
        <f t="shared" si="14"/>
        <v>6284.075</v>
      </c>
      <c r="S29" s="51">
        <f t="shared" si="15"/>
        <v>3142.0375</v>
      </c>
      <c r="T29" s="52">
        <f t="shared" si="16"/>
        <v>1711.4125</v>
      </c>
      <c r="U29" s="69">
        <f t="shared" si="17"/>
        <v>-1430.625</v>
      </c>
      <c r="V29" s="42">
        <f t="shared" si="18"/>
        <v>2693.175</v>
      </c>
      <c r="W29" s="70">
        <f t="shared" si="19"/>
        <v>1262.55</v>
      </c>
      <c r="X29" s="71">
        <v>-2861.25</v>
      </c>
    </row>
    <row r="30" ht="15.75" customHeight="1">
      <c r="A30" s="54">
        <v>24.0</v>
      </c>
      <c r="B30" s="55" t="s">
        <v>51</v>
      </c>
      <c r="C30" s="56">
        <v>44651.0</v>
      </c>
      <c r="D30" s="57">
        <f t="shared" si="6"/>
        <v>44651</v>
      </c>
      <c r="E30" s="58">
        <v>536.0</v>
      </c>
      <c r="F30" s="58">
        <v>1100.0</v>
      </c>
      <c r="G30" s="59">
        <f t="shared" si="7"/>
        <v>0.4872727273</v>
      </c>
      <c r="H30" s="58">
        <f>24245-1384</f>
        <v>22861</v>
      </c>
      <c r="I30" s="60">
        <f t="shared" si="8"/>
        <v>42.6511194</v>
      </c>
      <c r="J30" s="58">
        <v>8977.36</v>
      </c>
      <c r="K30" s="60">
        <f t="shared" si="9"/>
        <v>16.74880597</v>
      </c>
      <c r="L30" s="58">
        <f>10440+2000</f>
        <v>12440</v>
      </c>
      <c r="M30" s="61">
        <f t="shared" si="25"/>
        <v>0.5441581733</v>
      </c>
      <c r="N30" s="62">
        <f t="shared" ref="N30:O30" si="42">Q30+U30</f>
        <v>3199.89</v>
      </c>
      <c r="O30" s="58">
        <f t="shared" si="42"/>
        <v>8977.36</v>
      </c>
      <c r="P30" s="63">
        <f t="shared" si="12"/>
        <v>12177.25</v>
      </c>
      <c r="Q30" s="64">
        <f t="shared" si="13"/>
        <v>1599.945</v>
      </c>
      <c r="R30" s="65">
        <f t="shared" si="14"/>
        <v>6284.152</v>
      </c>
      <c r="S30" s="66">
        <f t="shared" si="15"/>
        <v>3142.076</v>
      </c>
      <c r="T30" s="67">
        <f t="shared" si="16"/>
        <v>4742.021</v>
      </c>
      <c r="U30" s="62">
        <f t="shared" si="17"/>
        <v>1599.945</v>
      </c>
      <c r="V30" s="58">
        <f t="shared" si="18"/>
        <v>2693.208</v>
      </c>
      <c r="W30" s="63">
        <f t="shared" si="19"/>
        <v>4293.153</v>
      </c>
      <c r="X30" s="53">
        <v>3199.89</v>
      </c>
    </row>
    <row r="31" ht="15.75" customHeight="1">
      <c r="A31" s="38">
        <v>25.0</v>
      </c>
      <c r="B31" s="39" t="s">
        <v>52</v>
      </c>
      <c r="C31" s="40">
        <v>44653.0</v>
      </c>
      <c r="D31" s="41">
        <f t="shared" si="6"/>
        <v>44653</v>
      </c>
      <c r="E31" s="42">
        <v>311.0</v>
      </c>
      <c r="F31" s="42">
        <v>400.0</v>
      </c>
      <c r="G31" s="43">
        <f t="shared" si="7"/>
        <v>0.7775</v>
      </c>
      <c r="H31" s="42">
        <v>14307.0</v>
      </c>
      <c r="I31" s="68">
        <f t="shared" si="8"/>
        <v>46.00321543</v>
      </c>
      <c r="J31" s="42">
        <v>2216.07</v>
      </c>
      <c r="K31" s="68">
        <f t="shared" si="9"/>
        <v>7.12562701</v>
      </c>
      <c r="L31" s="42">
        <v>5000.0</v>
      </c>
      <c r="M31" s="46">
        <f t="shared" si="25"/>
        <v>0.3494792759</v>
      </c>
      <c r="N31" s="69">
        <f t="shared" ref="N31:O31" si="43">Q31+U31</f>
        <v>1907.41</v>
      </c>
      <c r="O31" s="42">
        <f t="shared" si="43"/>
        <v>2216.07</v>
      </c>
      <c r="P31" s="70">
        <f t="shared" si="12"/>
        <v>4123.48</v>
      </c>
      <c r="Q31" s="49">
        <f t="shared" si="13"/>
        <v>953.705</v>
      </c>
      <c r="R31" s="50">
        <f t="shared" si="14"/>
        <v>1551.249</v>
      </c>
      <c r="S31" s="51">
        <f t="shared" si="15"/>
        <v>775.6245</v>
      </c>
      <c r="T31" s="52">
        <f t="shared" si="16"/>
        <v>1729.3295</v>
      </c>
      <c r="U31" s="69">
        <f t="shared" si="17"/>
        <v>953.705</v>
      </c>
      <c r="V31" s="42">
        <f t="shared" si="18"/>
        <v>664.821</v>
      </c>
      <c r="W31" s="70">
        <f t="shared" si="19"/>
        <v>1618.526</v>
      </c>
      <c r="X31" s="53">
        <v>1907.41</v>
      </c>
    </row>
    <row r="32" ht="15.75" customHeight="1">
      <c r="A32" s="54">
        <v>26.0</v>
      </c>
      <c r="B32" s="55" t="s">
        <v>53</v>
      </c>
      <c r="C32" s="56">
        <v>44654.0</v>
      </c>
      <c r="D32" s="57">
        <f t="shared" si="6"/>
        <v>44654</v>
      </c>
      <c r="E32" s="58">
        <v>614.0</v>
      </c>
      <c r="F32" s="58">
        <v>1100.0</v>
      </c>
      <c r="G32" s="59">
        <f t="shared" si="7"/>
        <v>0.5581818182</v>
      </c>
      <c r="H32" s="58">
        <f>18366.5-1313</f>
        <v>17053.5</v>
      </c>
      <c r="I32" s="60">
        <f t="shared" si="8"/>
        <v>27.77442997</v>
      </c>
      <c r="J32" s="58">
        <v>11981.13</v>
      </c>
      <c r="K32" s="60">
        <f t="shared" si="9"/>
        <v>19.51324104</v>
      </c>
      <c r="L32" s="58">
        <f>5400-1750-350</f>
        <v>3300</v>
      </c>
      <c r="M32" s="61">
        <f t="shared" si="25"/>
        <v>0.1935086639</v>
      </c>
      <c r="N32" s="62">
        <f t="shared" ref="N32:O32" si="44">Q32+U32</f>
        <v>2861.74</v>
      </c>
      <c r="O32" s="58">
        <f t="shared" si="44"/>
        <v>11981.13</v>
      </c>
      <c r="P32" s="63">
        <f t="shared" si="12"/>
        <v>14842.87</v>
      </c>
      <c r="Q32" s="64">
        <f t="shared" si="13"/>
        <v>1430.87</v>
      </c>
      <c r="R32" s="65">
        <f t="shared" si="14"/>
        <v>8386.791</v>
      </c>
      <c r="S32" s="66">
        <f t="shared" si="15"/>
        <v>4193.3955</v>
      </c>
      <c r="T32" s="67">
        <f t="shared" si="16"/>
        <v>5624.2655</v>
      </c>
      <c r="U32" s="62">
        <f t="shared" si="17"/>
        <v>1430.87</v>
      </c>
      <c r="V32" s="58">
        <f t="shared" si="18"/>
        <v>3594.339</v>
      </c>
      <c r="W32" s="63">
        <f t="shared" si="19"/>
        <v>5025.209</v>
      </c>
      <c r="X32" s="53">
        <v>2861.74</v>
      </c>
    </row>
    <row r="33" ht="15.75" customHeight="1">
      <c r="A33" s="38">
        <v>27.0</v>
      </c>
      <c r="B33" s="39" t="s">
        <v>54</v>
      </c>
      <c r="C33" s="40">
        <v>44656.0</v>
      </c>
      <c r="D33" s="41">
        <f t="shared" si="6"/>
        <v>44656</v>
      </c>
      <c r="E33" s="42">
        <v>699.0</v>
      </c>
      <c r="F33" s="42">
        <v>1100.0</v>
      </c>
      <c r="G33" s="43">
        <f t="shared" si="7"/>
        <v>0.6354545455</v>
      </c>
      <c r="H33" s="42">
        <f>22861-1250</f>
        <v>21611</v>
      </c>
      <c r="I33" s="68">
        <f t="shared" si="8"/>
        <v>30.91702432</v>
      </c>
      <c r="J33" s="42">
        <v>13047.03</v>
      </c>
      <c r="K33" s="68">
        <f t="shared" si="9"/>
        <v>18.66527897</v>
      </c>
      <c r="L33" s="42">
        <f>7500+200</f>
        <v>7700</v>
      </c>
      <c r="M33" s="46">
        <f t="shared" si="25"/>
        <v>0.3563000324</v>
      </c>
      <c r="N33" s="69">
        <f t="shared" ref="N33:O33" si="45">Q33+U33</f>
        <v>7240.13</v>
      </c>
      <c r="O33" s="42">
        <f t="shared" si="45"/>
        <v>13047.03</v>
      </c>
      <c r="P33" s="70">
        <f t="shared" si="12"/>
        <v>20287.16</v>
      </c>
      <c r="Q33" s="49">
        <f t="shared" si="13"/>
        <v>3620.065</v>
      </c>
      <c r="R33" s="50">
        <f t="shared" si="14"/>
        <v>9132.921</v>
      </c>
      <c r="S33" s="51">
        <f t="shared" si="15"/>
        <v>4566.4605</v>
      </c>
      <c r="T33" s="52">
        <f t="shared" si="16"/>
        <v>8186.5255</v>
      </c>
      <c r="U33" s="69">
        <f t="shared" si="17"/>
        <v>3620.065</v>
      </c>
      <c r="V33" s="42">
        <f t="shared" si="18"/>
        <v>3914.109</v>
      </c>
      <c r="W33" s="70">
        <f t="shared" si="19"/>
        <v>7534.174</v>
      </c>
      <c r="X33" s="53">
        <v>7240.13</v>
      </c>
    </row>
    <row r="34" ht="15.75" customHeight="1">
      <c r="A34" s="54">
        <v>28.0</v>
      </c>
      <c r="B34" s="55" t="s">
        <v>55</v>
      </c>
      <c r="C34" s="56">
        <v>44658.0</v>
      </c>
      <c r="D34" s="57">
        <f t="shared" si="6"/>
        <v>44658</v>
      </c>
      <c r="E34" s="58">
        <v>208.0</v>
      </c>
      <c r="F34" s="58">
        <v>400.0</v>
      </c>
      <c r="G34" s="59">
        <f t="shared" si="7"/>
        <v>0.52</v>
      </c>
      <c r="H34" s="58">
        <f>11581-53</f>
        <v>11528</v>
      </c>
      <c r="I34" s="60">
        <f t="shared" si="8"/>
        <v>55.42307692</v>
      </c>
      <c r="J34" s="58">
        <v>3141.53</v>
      </c>
      <c r="K34" s="60">
        <f t="shared" si="9"/>
        <v>15.10350962</v>
      </c>
      <c r="L34" s="58">
        <v>5000.0</v>
      </c>
      <c r="M34" s="61">
        <f t="shared" si="25"/>
        <v>0.4337265788</v>
      </c>
      <c r="N34" s="62">
        <f t="shared" ref="N34:O34" si="46">Q34+U34</f>
        <v>-516.87</v>
      </c>
      <c r="O34" s="58">
        <f t="shared" si="46"/>
        <v>3141.53</v>
      </c>
      <c r="P34" s="63">
        <f t="shared" si="12"/>
        <v>2624.66</v>
      </c>
      <c r="Q34" s="64">
        <f t="shared" si="13"/>
        <v>-258.435</v>
      </c>
      <c r="R34" s="65">
        <f t="shared" si="14"/>
        <v>2199.071</v>
      </c>
      <c r="S34" s="66">
        <f t="shared" si="15"/>
        <v>1099.5355</v>
      </c>
      <c r="T34" s="67">
        <f t="shared" si="16"/>
        <v>841.1005</v>
      </c>
      <c r="U34" s="62">
        <f t="shared" si="17"/>
        <v>-258.435</v>
      </c>
      <c r="V34" s="58">
        <f t="shared" si="18"/>
        <v>942.459</v>
      </c>
      <c r="W34" s="63">
        <f t="shared" si="19"/>
        <v>684.024</v>
      </c>
      <c r="X34" s="71">
        <v>-516.87</v>
      </c>
    </row>
    <row r="35" ht="15.75" customHeight="1">
      <c r="A35" s="38">
        <v>29.0</v>
      </c>
      <c r="B35" s="39" t="s">
        <v>56</v>
      </c>
      <c r="C35" s="40">
        <v>44660.0</v>
      </c>
      <c r="D35" s="41">
        <f t="shared" si="6"/>
        <v>44660</v>
      </c>
      <c r="E35" s="42">
        <v>584.0</v>
      </c>
      <c r="F35" s="42">
        <v>1100.0</v>
      </c>
      <c r="G35" s="43">
        <f t="shared" si="7"/>
        <v>0.5309090909</v>
      </c>
      <c r="H35" s="42">
        <f>19231-1094</f>
        <v>18137</v>
      </c>
      <c r="I35" s="68">
        <f t="shared" si="8"/>
        <v>31.05650685</v>
      </c>
      <c r="J35" s="42">
        <v>14966.75</v>
      </c>
      <c r="K35" s="68">
        <f t="shared" si="9"/>
        <v>25.62799658</v>
      </c>
      <c r="L35" s="42">
        <f>5000+2500</f>
        <v>7500</v>
      </c>
      <c r="M35" s="46">
        <f t="shared" si="25"/>
        <v>0.4135193251</v>
      </c>
      <c r="N35" s="69">
        <f t="shared" ref="N35:O35" si="47">Q35+U35</f>
        <v>3134.81</v>
      </c>
      <c r="O35" s="42">
        <f t="shared" si="47"/>
        <v>14966.75</v>
      </c>
      <c r="P35" s="70">
        <f t="shared" si="12"/>
        <v>18101.56</v>
      </c>
      <c r="Q35" s="49">
        <f t="shared" si="13"/>
        <v>1567.405</v>
      </c>
      <c r="R35" s="50">
        <f t="shared" si="14"/>
        <v>10476.725</v>
      </c>
      <c r="S35" s="51">
        <f t="shared" si="15"/>
        <v>5238.3625</v>
      </c>
      <c r="T35" s="52">
        <f t="shared" si="16"/>
        <v>6805.7675</v>
      </c>
      <c r="U35" s="69">
        <f t="shared" si="17"/>
        <v>1567.405</v>
      </c>
      <c r="V35" s="42">
        <f t="shared" si="18"/>
        <v>4490.025</v>
      </c>
      <c r="W35" s="70">
        <f t="shared" si="19"/>
        <v>6057.43</v>
      </c>
      <c r="X35" s="53">
        <v>3134.81</v>
      </c>
    </row>
    <row r="36" ht="15.75" customHeight="1">
      <c r="A36" s="54">
        <v>30.0</v>
      </c>
      <c r="B36" s="55" t="s">
        <v>57</v>
      </c>
      <c r="C36" s="56">
        <v>44662.0</v>
      </c>
      <c r="D36" s="57">
        <f t="shared" si="6"/>
        <v>44662</v>
      </c>
      <c r="E36" s="58">
        <v>1100.0</v>
      </c>
      <c r="F36" s="58">
        <v>1100.0</v>
      </c>
      <c r="G36" s="59">
        <f t="shared" si="7"/>
        <v>1</v>
      </c>
      <c r="H36" s="58">
        <f>44313-2725</f>
        <v>41588</v>
      </c>
      <c r="I36" s="60">
        <f t="shared" si="8"/>
        <v>37.80727273</v>
      </c>
      <c r="J36" s="58">
        <v>7023.16</v>
      </c>
      <c r="K36" s="60">
        <f t="shared" si="9"/>
        <v>6.384690909</v>
      </c>
      <c r="L36" s="58">
        <f>7500+6826.96+500</f>
        <v>14826.96</v>
      </c>
      <c r="M36" s="61">
        <f t="shared" si="25"/>
        <v>0.35652015</v>
      </c>
      <c r="N36" s="62">
        <f t="shared" ref="N36:O36" si="48">Q36+U36</f>
        <v>7216.04</v>
      </c>
      <c r="O36" s="58">
        <f t="shared" si="48"/>
        <v>7023.16</v>
      </c>
      <c r="P36" s="63">
        <f t="shared" si="12"/>
        <v>14239.2</v>
      </c>
      <c r="Q36" s="64">
        <f t="shared" si="13"/>
        <v>3608.02</v>
      </c>
      <c r="R36" s="65">
        <f t="shared" si="14"/>
        <v>4916.212</v>
      </c>
      <c r="S36" s="66">
        <f t="shared" si="15"/>
        <v>2458.106</v>
      </c>
      <c r="T36" s="67">
        <f t="shared" si="16"/>
        <v>6066.126</v>
      </c>
      <c r="U36" s="62">
        <f t="shared" si="17"/>
        <v>3608.02</v>
      </c>
      <c r="V36" s="58">
        <f t="shared" si="18"/>
        <v>2106.948</v>
      </c>
      <c r="W36" s="63">
        <f t="shared" si="19"/>
        <v>5714.968</v>
      </c>
      <c r="X36" s="53">
        <v>7216.04</v>
      </c>
    </row>
    <row r="37" ht="15.75" customHeight="1">
      <c r="A37" s="38">
        <v>31.0</v>
      </c>
      <c r="B37" s="39" t="s">
        <v>58</v>
      </c>
      <c r="C37" s="40">
        <v>44663.0</v>
      </c>
      <c r="D37" s="41">
        <f t="shared" si="6"/>
        <v>44663</v>
      </c>
      <c r="E37" s="42">
        <v>1100.0</v>
      </c>
      <c r="F37" s="42">
        <v>1100.0</v>
      </c>
      <c r="G37" s="43">
        <f t="shared" si="7"/>
        <v>1</v>
      </c>
      <c r="H37" s="42">
        <f>43585.5-1258-4675</f>
        <v>37652.5</v>
      </c>
      <c r="I37" s="68">
        <f t="shared" si="8"/>
        <v>34.22954545</v>
      </c>
      <c r="J37" s="42">
        <v>10571.42</v>
      </c>
      <c r="K37" s="68">
        <f t="shared" si="9"/>
        <v>9.610381818</v>
      </c>
      <c r="L37" s="42">
        <f>11500+4703.53+1750</f>
        <v>17953.53</v>
      </c>
      <c r="M37" s="46">
        <f t="shared" si="25"/>
        <v>0.476821725</v>
      </c>
      <c r="N37" s="69">
        <f t="shared" ref="N37:O37" si="49">Q37+U37</f>
        <v>13391.95</v>
      </c>
      <c r="O37" s="42">
        <f t="shared" si="49"/>
        <v>10571.42</v>
      </c>
      <c r="P37" s="70">
        <f t="shared" si="12"/>
        <v>23963.37</v>
      </c>
      <c r="Q37" s="49">
        <f t="shared" si="13"/>
        <v>6695.975</v>
      </c>
      <c r="R37" s="50">
        <f t="shared" si="14"/>
        <v>7399.994</v>
      </c>
      <c r="S37" s="51">
        <f t="shared" si="15"/>
        <v>3699.997</v>
      </c>
      <c r="T37" s="52">
        <f t="shared" si="16"/>
        <v>10395.972</v>
      </c>
      <c r="U37" s="69">
        <f t="shared" si="17"/>
        <v>6695.975</v>
      </c>
      <c r="V37" s="42">
        <f t="shared" si="18"/>
        <v>3171.426</v>
      </c>
      <c r="W37" s="70">
        <f t="shared" si="19"/>
        <v>9867.401</v>
      </c>
      <c r="X37" s="53">
        <v>13391.95</v>
      </c>
    </row>
    <row r="38" ht="15.75" customHeight="1">
      <c r="A38" s="54">
        <v>32.0</v>
      </c>
      <c r="B38" s="55" t="s">
        <v>59</v>
      </c>
      <c r="C38" s="56">
        <v>44664.0</v>
      </c>
      <c r="D38" s="57">
        <f t="shared" si="6"/>
        <v>44664</v>
      </c>
      <c r="E38" s="58">
        <v>1100.0</v>
      </c>
      <c r="F38" s="58">
        <v>1100.0</v>
      </c>
      <c r="G38" s="59">
        <f t="shared" si="7"/>
        <v>1</v>
      </c>
      <c r="H38" s="58">
        <f>60845-814-24600</f>
        <v>35431</v>
      </c>
      <c r="I38" s="60">
        <f t="shared" si="8"/>
        <v>32.21</v>
      </c>
      <c r="J38" s="58">
        <v>12642.16</v>
      </c>
      <c r="K38" s="60">
        <f t="shared" si="9"/>
        <v>11.49287273</v>
      </c>
      <c r="L38" s="58">
        <f>8000+7610.64+500</f>
        <v>16110.64</v>
      </c>
      <c r="M38" s="61">
        <f t="shared" si="25"/>
        <v>0.4547046372</v>
      </c>
      <c r="N38" s="62">
        <f t="shared" ref="N38:O38" si="50">Q38+U38</f>
        <v>10429.01</v>
      </c>
      <c r="O38" s="58">
        <f t="shared" si="50"/>
        <v>12642.16</v>
      </c>
      <c r="P38" s="63">
        <f t="shared" si="12"/>
        <v>23071.17</v>
      </c>
      <c r="Q38" s="64">
        <f t="shared" si="13"/>
        <v>5214.505</v>
      </c>
      <c r="R38" s="65">
        <f t="shared" si="14"/>
        <v>8849.512</v>
      </c>
      <c r="S38" s="66">
        <f t="shared" si="15"/>
        <v>4424.756</v>
      </c>
      <c r="T38" s="67">
        <f t="shared" si="16"/>
        <v>9639.261</v>
      </c>
      <c r="U38" s="62">
        <f t="shared" si="17"/>
        <v>5214.505</v>
      </c>
      <c r="V38" s="58">
        <f t="shared" si="18"/>
        <v>3792.648</v>
      </c>
      <c r="W38" s="63">
        <f t="shared" si="19"/>
        <v>9007.153</v>
      </c>
      <c r="X38" s="53">
        <v>10429.01</v>
      </c>
    </row>
    <row r="39" ht="15.75" customHeight="1">
      <c r="A39" s="38">
        <v>33.0</v>
      </c>
      <c r="B39" s="39" t="s">
        <v>60</v>
      </c>
      <c r="C39" s="40">
        <v>44665.0</v>
      </c>
      <c r="D39" s="41">
        <f t="shared" si="6"/>
        <v>44665</v>
      </c>
      <c r="E39" s="42">
        <v>1100.0</v>
      </c>
      <c r="F39" s="42">
        <v>1100.0</v>
      </c>
      <c r="G39" s="43">
        <f t="shared" si="7"/>
        <v>1</v>
      </c>
      <c r="H39" s="42">
        <f>43894.41-3826.41</f>
        <v>40068</v>
      </c>
      <c r="I39" s="68">
        <f t="shared" si="8"/>
        <v>36.42545455</v>
      </c>
      <c r="J39" s="42">
        <v>19373.59</v>
      </c>
      <c r="K39" s="68">
        <f t="shared" si="9"/>
        <v>17.61235455</v>
      </c>
      <c r="L39" s="42">
        <f>16297.54+1000+700+500</f>
        <v>18497.54</v>
      </c>
      <c r="M39" s="46">
        <f t="shared" si="25"/>
        <v>0.4616536887</v>
      </c>
      <c r="N39" s="69">
        <f t="shared" ref="N39:O39" si="51">Q39+U39</f>
        <v>14873.14</v>
      </c>
      <c r="O39" s="42">
        <f t="shared" si="51"/>
        <v>19373.59</v>
      </c>
      <c r="P39" s="70">
        <f t="shared" si="12"/>
        <v>34246.73</v>
      </c>
      <c r="Q39" s="49">
        <f t="shared" si="13"/>
        <v>7436.57</v>
      </c>
      <c r="R39" s="50">
        <f t="shared" si="14"/>
        <v>13561.513</v>
      </c>
      <c r="S39" s="51">
        <f t="shared" si="15"/>
        <v>6780.7565</v>
      </c>
      <c r="T39" s="52">
        <f t="shared" si="16"/>
        <v>14217.3265</v>
      </c>
      <c r="U39" s="69">
        <f t="shared" si="17"/>
        <v>7436.57</v>
      </c>
      <c r="V39" s="42">
        <f t="shared" si="18"/>
        <v>5812.077</v>
      </c>
      <c r="W39" s="70">
        <f t="shared" si="19"/>
        <v>13248.647</v>
      </c>
      <c r="X39" s="53">
        <v>14873.14</v>
      </c>
    </row>
    <row r="40" ht="15.75" customHeight="1">
      <c r="A40" s="54">
        <v>34.0</v>
      </c>
      <c r="B40" s="55" t="s">
        <v>61</v>
      </c>
      <c r="C40" s="56">
        <v>44666.0</v>
      </c>
      <c r="D40" s="57">
        <f t="shared" si="6"/>
        <v>44666</v>
      </c>
      <c r="E40" s="58">
        <v>1108.0</v>
      </c>
      <c r="F40" s="58">
        <v>1100.0</v>
      </c>
      <c r="G40" s="59">
        <f t="shared" si="7"/>
        <v>1.007272727</v>
      </c>
      <c r="H40" s="58">
        <f>36772-1317</f>
        <v>35455</v>
      </c>
      <c r="I40" s="60">
        <f t="shared" si="8"/>
        <v>31.99909747</v>
      </c>
      <c r="J40" s="58">
        <v>19939.52</v>
      </c>
      <c r="K40" s="60">
        <f t="shared" si="9"/>
        <v>17.99595668</v>
      </c>
      <c r="L40" s="58">
        <f>9578.57+4000+2000+100</f>
        <v>15678.57</v>
      </c>
      <c r="M40" s="61">
        <f t="shared" si="25"/>
        <v>0.4422104076</v>
      </c>
      <c r="N40" s="62">
        <f t="shared" ref="N40:O40" si="52">Q40+U40</f>
        <v>10967.88</v>
      </c>
      <c r="O40" s="58">
        <f t="shared" si="52"/>
        <v>19939.52</v>
      </c>
      <c r="P40" s="63">
        <f t="shared" si="12"/>
        <v>30907.4</v>
      </c>
      <c r="Q40" s="64">
        <f t="shared" si="13"/>
        <v>5483.94</v>
      </c>
      <c r="R40" s="65">
        <f t="shared" si="14"/>
        <v>13957.664</v>
      </c>
      <c r="S40" s="66">
        <f t="shared" si="15"/>
        <v>6978.832</v>
      </c>
      <c r="T40" s="67">
        <f t="shared" si="16"/>
        <v>12462.772</v>
      </c>
      <c r="U40" s="62">
        <f t="shared" si="17"/>
        <v>5483.94</v>
      </c>
      <c r="V40" s="58">
        <f t="shared" si="18"/>
        <v>5981.856</v>
      </c>
      <c r="W40" s="63">
        <f t="shared" si="19"/>
        <v>11465.796</v>
      </c>
      <c r="X40" s="53">
        <v>10967.88</v>
      </c>
      <c r="Y40" s="72"/>
      <c r="Z40" s="72"/>
    </row>
    <row r="41" ht="15.75" customHeight="1">
      <c r="A41" s="38">
        <v>35.0</v>
      </c>
      <c r="B41" s="39" t="s">
        <v>62</v>
      </c>
      <c r="C41" s="40">
        <v>44681.0</v>
      </c>
      <c r="D41" s="41">
        <f t="shared" si="6"/>
        <v>44681</v>
      </c>
      <c r="E41" s="42">
        <v>285.0</v>
      </c>
      <c r="F41" s="42">
        <v>400.0</v>
      </c>
      <c r="G41" s="43">
        <f t="shared" si="7"/>
        <v>0.7125</v>
      </c>
      <c r="H41" s="42">
        <f>20140-388</f>
        <v>19752</v>
      </c>
      <c r="I41" s="68">
        <f t="shared" si="8"/>
        <v>69.30526316</v>
      </c>
      <c r="J41" s="42">
        <v>2888.66</v>
      </c>
      <c r="K41" s="68">
        <f t="shared" si="9"/>
        <v>10.13564912</v>
      </c>
      <c r="L41" s="42">
        <v>9447.32</v>
      </c>
      <c r="M41" s="46">
        <f t="shared" si="25"/>
        <v>0.4782968813</v>
      </c>
      <c r="N41" s="69">
        <f t="shared" ref="N41:O41" si="53">Q41+U41</f>
        <v>4098.08</v>
      </c>
      <c r="O41" s="42">
        <f t="shared" si="53"/>
        <v>2888.66</v>
      </c>
      <c r="P41" s="70">
        <f t="shared" si="12"/>
        <v>6986.74</v>
      </c>
      <c r="Q41" s="49">
        <f t="shared" si="13"/>
        <v>2049.04</v>
      </c>
      <c r="R41" s="50">
        <f t="shared" si="14"/>
        <v>2022.062</v>
      </c>
      <c r="S41" s="51">
        <f t="shared" si="15"/>
        <v>1011.031</v>
      </c>
      <c r="T41" s="52">
        <f t="shared" si="16"/>
        <v>3060.071</v>
      </c>
      <c r="U41" s="69">
        <f t="shared" si="17"/>
        <v>2049.04</v>
      </c>
      <c r="V41" s="42">
        <f t="shared" si="18"/>
        <v>866.598</v>
      </c>
      <c r="W41" s="70">
        <f t="shared" si="19"/>
        <v>2915.638</v>
      </c>
      <c r="X41" s="53">
        <v>4098.08</v>
      </c>
    </row>
    <row r="42" ht="15.75" customHeight="1">
      <c r="A42" s="54">
        <v>36.0</v>
      </c>
      <c r="B42" s="55" t="s">
        <v>63</v>
      </c>
      <c r="C42" s="56">
        <v>44685.0</v>
      </c>
      <c r="D42" s="57">
        <f t="shared" si="6"/>
        <v>44685</v>
      </c>
      <c r="E42" s="58">
        <v>410.0</v>
      </c>
      <c r="F42" s="58">
        <v>1100.0</v>
      </c>
      <c r="G42" s="59">
        <f t="shared" si="7"/>
        <v>0.3727272727</v>
      </c>
      <c r="H42" s="58">
        <v>20092.5</v>
      </c>
      <c r="I42" s="60">
        <f t="shared" si="8"/>
        <v>49.00609756</v>
      </c>
      <c r="J42" s="58">
        <v>7025.53</v>
      </c>
      <c r="K42" s="60">
        <f t="shared" si="9"/>
        <v>17.13543902</v>
      </c>
      <c r="L42" s="58">
        <f>10000+1500</f>
        <v>11500</v>
      </c>
      <c r="M42" s="61">
        <f t="shared" si="25"/>
        <v>0.572352868</v>
      </c>
      <c r="N42" s="62">
        <f t="shared" ref="N42:O42" si="54">Q42+U42</f>
        <v>-3866.76</v>
      </c>
      <c r="O42" s="58">
        <f t="shared" si="54"/>
        <v>7025.53</v>
      </c>
      <c r="P42" s="63">
        <f t="shared" si="12"/>
        <v>3158.77</v>
      </c>
      <c r="Q42" s="64">
        <f t="shared" si="13"/>
        <v>-1933.38</v>
      </c>
      <c r="R42" s="65">
        <f t="shared" si="14"/>
        <v>4917.871</v>
      </c>
      <c r="S42" s="66">
        <f t="shared" si="15"/>
        <v>2458.9355</v>
      </c>
      <c r="T42" s="67">
        <f t="shared" si="16"/>
        <v>525.5555</v>
      </c>
      <c r="U42" s="62">
        <f t="shared" si="17"/>
        <v>-1933.38</v>
      </c>
      <c r="V42" s="58">
        <f t="shared" si="18"/>
        <v>2107.659</v>
      </c>
      <c r="W42" s="63">
        <f t="shared" si="19"/>
        <v>174.279</v>
      </c>
      <c r="X42" s="71">
        <v>-3866.76</v>
      </c>
    </row>
    <row r="43" ht="15.75" customHeight="1">
      <c r="A43" s="38">
        <v>37.0</v>
      </c>
      <c r="B43" s="39" t="s">
        <v>64</v>
      </c>
      <c r="C43" s="40">
        <v>44686.0</v>
      </c>
      <c r="D43" s="41">
        <f t="shared" si="6"/>
        <v>44686</v>
      </c>
      <c r="E43" s="42">
        <v>701.0</v>
      </c>
      <c r="F43" s="42">
        <v>1100.0</v>
      </c>
      <c r="G43" s="43">
        <f t="shared" si="7"/>
        <v>0.6372727273</v>
      </c>
      <c r="H43" s="42">
        <f>29044-2614</f>
        <v>26430</v>
      </c>
      <c r="I43" s="68">
        <f t="shared" si="8"/>
        <v>37.70328103</v>
      </c>
      <c r="J43" s="42">
        <v>2280.43</v>
      </c>
      <c r="K43" s="68">
        <f t="shared" si="9"/>
        <v>3.253109843</v>
      </c>
      <c r="L43" s="42">
        <f>10500+2000</f>
        <v>12500</v>
      </c>
      <c r="M43" s="46">
        <f t="shared" si="25"/>
        <v>0.4729474082</v>
      </c>
      <c r="N43" s="69">
        <f t="shared" ref="N43:O43" si="55">Q43+U43</f>
        <v>4229.87</v>
      </c>
      <c r="O43" s="42">
        <f t="shared" si="55"/>
        <v>2280.43</v>
      </c>
      <c r="P43" s="70">
        <f t="shared" si="12"/>
        <v>6510.3</v>
      </c>
      <c r="Q43" s="49">
        <f t="shared" si="13"/>
        <v>2114.935</v>
      </c>
      <c r="R43" s="50">
        <f t="shared" si="14"/>
        <v>1596.301</v>
      </c>
      <c r="S43" s="51">
        <f t="shared" si="15"/>
        <v>798.1505</v>
      </c>
      <c r="T43" s="52">
        <f t="shared" si="16"/>
        <v>2913.0855</v>
      </c>
      <c r="U43" s="69">
        <f t="shared" si="17"/>
        <v>2114.935</v>
      </c>
      <c r="V43" s="42">
        <f t="shared" si="18"/>
        <v>684.129</v>
      </c>
      <c r="W43" s="70">
        <f t="shared" si="19"/>
        <v>2799.064</v>
      </c>
      <c r="X43" s="53">
        <f>4229.87</f>
        <v>4229.87</v>
      </c>
    </row>
    <row r="44" ht="15.75" customHeight="1">
      <c r="A44" s="54">
        <v>38.0</v>
      </c>
      <c r="B44" s="55" t="s">
        <v>65</v>
      </c>
      <c r="C44" s="56">
        <v>44687.0</v>
      </c>
      <c r="D44" s="57">
        <f t="shared" si="6"/>
        <v>44687</v>
      </c>
      <c r="E44" s="58">
        <v>608.0</v>
      </c>
      <c r="F44" s="58">
        <v>1100.0</v>
      </c>
      <c r="G44" s="59">
        <f t="shared" si="7"/>
        <v>0.5527272727</v>
      </c>
      <c r="H44" s="58">
        <f>22102.01-2358.01</f>
        <v>19744</v>
      </c>
      <c r="I44" s="60">
        <f t="shared" si="8"/>
        <v>32.47368421</v>
      </c>
      <c r="J44" s="58">
        <v>7813.79</v>
      </c>
      <c r="K44" s="60">
        <f t="shared" si="9"/>
        <v>12.85162829</v>
      </c>
      <c r="L44" s="58">
        <f>14100+400</f>
        <v>14500</v>
      </c>
      <c r="M44" s="61">
        <f t="shared" si="25"/>
        <v>0.7344003241</v>
      </c>
      <c r="N44" s="62">
        <f t="shared" ref="N44:O44" si="56">Q44+U44</f>
        <v>281.71</v>
      </c>
      <c r="O44" s="58">
        <f t="shared" si="56"/>
        <v>7813.79</v>
      </c>
      <c r="P44" s="63">
        <f t="shared" si="12"/>
        <v>8095.5</v>
      </c>
      <c r="Q44" s="64">
        <f t="shared" si="13"/>
        <v>140.855</v>
      </c>
      <c r="R44" s="65">
        <f t="shared" si="14"/>
        <v>5469.653</v>
      </c>
      <c r="S44" s="66">
        <f t="shared" si="15"/>
        <v>2734.8265</v>
      </c>
      <c r="T44" s="67">
        <f t="shared" si="16"/>
        <v>2875.6815</v>
      </c>
      <c r="U44" s="62">
        <f t="shared" si="17"/>
        <v>140.855</v>
      </c>
      <c r="V44" s="58">
        <f t="shared" si="18"/>
        <v>2344.137</v>
      </c>
      <c r="W44" s="63">
        <f t="shared" si="19"/>
        <v>2484.992</v>
      </c>
      <c r="X44" s="53">
        <v>281.71</v>
      </c>
    </row>
    <row r="45" ht="15.75" customHeight="1">
      <c r="A45" s="38">
        <v>39.0</v>
      </c>
      <c r="B45" s="39" t="s">
        <v>66</v>
      </c>
      <c r="C45" s="40">
        <v>44688.0</v>
      </c>
      <c r="D45" s="41">
        <f t="shared" si="6"/>
        <v>44688</v>
      </c>
      <c r="E45" s="42">
        <v>633.0</v>
      </c>
      <c r="F45" s="42">
        <v>1100.0</v>
      </c>
      <c r="G45" s="43">
        <f t="shared" si="7"/>
        <v>0.5754545455</v>
      </c>
      <c r="H45" s="42">
        <f>25546.58+2045.58</f>
        <v>27592.16</v>
      </c>
      <c r="I45" s="68">
        <f t="shared" si="8"/>
        <v>43.58951027</v>
      </c>
      <c r="J45" s="42">
        <v>5635.87</v>
      </c>
      <c r="K45" s="68">
        <f t="shared" si="9"/>
        <v>8.90342812</v>
      </c>
      <c r="L45" s="42">
        <f>12500+500</f>
        <v>13000</v>
      </c>
      <c r="M45" s="46">
        <f t="shared" si="25"/>
        <v>0.4711483262</v>
      </c>
      <c r="N45" s="69">
        <f t="shared" ref="N45:O45" si="57">Q45+U45</f>
        <v>1277.82</v>
      </c>
      <c r="O45" s="42">
        <f t="shared" si="57"/>
        <v>5635.87</v>
      </c>
      <c r="P45" s="70">
        <f t="shared" si="12"/>
        <v>6913.69</v>
      </c>
      <c r="Q45" s="49">
        <f t="shared" si="13"/>
        <v>638.91</v>
      </c>
      <c r="R45" s="50">
        <f t="shared" si="14"/>
        <v>3945.109</v>
      </c>
      <c r="S45" s="51">
        <f t="shared" si="15"/>
        <v>1972.5545</v>
      </c>
      <c r="T45" s="52">
        <f t="shared" si="16"/>
        <v>2611.4645</v>
      </c>
      <c r="U45" s="69">
        <f t="shared" si="17"/>
        <v>638.91</v>
      </c>
      <c r="V45" s="42">
        <f t="shared" si="18"/>
        <v>1690.761</v>
      </c>
      <c r="W45" s="70">
        <f t="shared" si="19"/>
        <v>2329.671</v>
      </c>
      <c r="X45" s="53">
        <v>1277.82</v>
      </c>
    </row>
    <row r="46" ht="15.75" customHeight="1">
      <c r="A46" s="54">
        <v>40.0</v>
      </c>
      <c r="B46" s="55" t="s">
        <v>67</v>
      </c>
      <c r="C46" s="56">
        <v>44689.0</v>
      </c>
      <c r="D46" s="57">
        <f t="shared" si="6"/>
        <v>44689</v>
      </c>
      <c r="E46" s="58">
        <v>916.0</v>
      </c>
      <c r="F46" s="58">
        <v>1100.0</v>
      </c>
      <c r="G46" s="59">
        <f t="shared" si="7"/>
        <v>0.8327272727</v>
      </c>
      <c r="H46" s="58">
        <f>34339.75-1473.25</f>
        <v>32866.5</v>
      </c>
      <c r="I46" s="60">
        <f t="shared" si="8"/>
        <v>35.88045852</v>
      </c>
      <c r="J46" s="58">
        <v>6095.93</v>
      </c>
      <c r="K46" s="60">
        <f t="shared" si="9"/>
        <v>6.654945415</v>
      </c>
      <c r="L46" s="58">
        <v>11007.0</v>
      </c>
      <c r="M46" s="61">
        <f t="shared" si="25"/>
        <v>0.3349002784</v>
      </c>
      <c r="N46" s="62">
        <f t="shared" ref="N46:O46" si="58">Q46+U46</f>
        <v>9603.85</v>
      </c>
      <c r="O46" s="58">
        <f t="shared" si="58"/>
        <v>6095.93</v>
      </c>
      <c r="P46" s="63">
        <f t="shared" si="12"/>
        <v>15699.78</v>
      </c>
      <c r="Q46" s="64">
        <f t="shared" si="13"/>
        <v>4801.925</v>
      </c>
      <c r="R46" s="65">
        <f t="shared" si="14"/>
        <v>4267.151</v>
      </c>
      <c r="S46" s="66">
        <f t="shared" si="15"/>
        <v>2133.5755</v>
      </c>
      <c r="T46" s="67">
        <f t="shared" si="16"/>
        <v>6935.5005</v>
      </c>
      <c r="U46" s="62">
        <f t="shared" si="17"/>
        <v>4801.925</v>
      </c>
      <c r="V46" s="58">
        <f t="shared" si="18"/>
        <v>1828.779</v>
      </c>
      <c r="W46" s="63">
        <f t="shared" si="19"/>
        <v>6630.704</v>
      </c>
      <c r="X46" s="53">
        <v>9603.85</v>
      </c>
    </row>
    <row r="47" ht="15.75" customHeight="1">
      <c r="A47" s="38">
        <v>41.0</v>
      </c>
      <c r="B47" s="39" t="s">
        <v>68</v>
      </c>
      <c r="C47" s="40">
        <v>44691.0</v>
      </c>
      <c r="D47" s="41">
        <f t="shared" si="6"/>
        <v>44691</v>
      </c>
      <c r="E47" s="42">
        <v>1100.0</v>
      </c>
      <c r="F47" s="42">
        <v>1100.0</v>
      </c>
      <c r="G47" s="43">
        <f t="shared" si="7"/>
        <v>1</v>
      </c>
      <c r="H47" s="42">
        <v>35316.5</v>
      </c>
      <c r="I47" s="68">
        <f t="shared" si="8"/>
        <v>32.10590909</v>
      </c>
      <c r="J47" s="42">
        <v>7698.3</v>
      </c>
      <c r="K47" s="68">
        <f t="shared" si="9"/>
        <v>6.998454545</v>
      </c>
      <c r="L47" s="42">
        <v>15500.0</v>
      </c>
      <c r="M47" s="46">
        <f t="shared" si="25"/>
        <v>0.4388883383</v>
      </c>
      <c r="N47" s="69">
        <f t="shared" ref="N47:O47" si="59">Q47+U47</f>
        <v>11466.08</v>
      </c>
      <c r="O47" s="42">
        <f t="shared" si="59"/>
        <v>7698.3</v>
      </c>
      <c r="P47" s="70">
        <f t="shared" si="12"/>
        <v>19164.38</v>
      </c>
      <c r="Q47" s="49">
        <f t="shared" si="13"/>
        <v>5733.04</v>
      </c>
      <c r="R47" s="50">
        <f t="shared" si="14"/>
        <v>5388.81</v>
      </c>
      <c r="S47" s="51">
        <f t="shared" si="15"/>
        <v>2694.405</v>
      </c>
      <c r="T47" s="52">
        <f t="shared" si="16"/>
        <v>8427.445</v>
      </c>
      <c r="U47" s="69">
        <f t="shared" si="17"/>
        <v>5733.04</v>
      </c>
      <c r="V47" s="42">
        <f t="shared" si="18"/>
        <v>2309.49</v>
      </c>
      <c r="W47" s="70">
        <f t="shared" si="19"/>
        <v>8042.53</v>
      </c>
      <c r="X47" s="53">
        <v>11466.08</v>
      </c>
    </row>
    <row r="48" ht="15.75" customHeight="1">
      <c r="A48" s="54">
        <v>42.0</v>
      </c>
      <c r="B48" s="55" t="s">
        <v>69</v>
      </c>
      <c r="C48" s="56">
        <v>44693.0</v>
      </c>
      <c r="D48" s="57">
        <f t="shared" si="6"/>
        <v>44693</v>
      </c>
      <c r="E48" s="58">
        <v>1100.0</v>
      </c>
      <c r="F48" s="58">
        <v>1100.0</v>
      </c>
      <c r="G48" s="59">
        <f t="shared" si="7"/>
        <v>1</v>
      </c>
      <c r="H48" s="58">
        <f>44019-4089</f>
        <v>39930</v>
      </c>
      <c r="I48" s="60">
        <f t="shared" si="8"/>
        <v>36.3</v>
      </c>
      <c r="J48" s="58">
        <v>17738.44</v>
      </c>
      <c r="K48" s="60">
        <f t="shared" si="9"/>
        <v>16.12585455</v>
      </c>
      <c r="L48" s="58">
        <v>19241.87</v>
      </c>
      <c r="M48" s="61">
        <f t="shared" si="25"/>
        <v>0.4818900576</v>
      </c>
      <c r="N48" s="62">
        <f t="shared" ref="N48:O48" si="60">Q48+U48</f>
        <v>13747.35</v>
      </c>
      <c r="O48" s="58">
        <f t="shared" si="60"/>
        <v>17738.44</v>
      </c>
      <c r="P48" s="63">
        <f t="shared" si="12"/>
        <v>31485.79</v>
      </c>
      <c r="Q48" s="64">
        <f t="shared" si="13"/>
        <v>6873.675</v>
      </c>
      <c r="R48" s="65">
        <f t="shared" si="14"/>
        <v>12416.908</v>
      </c>
      <c r="S48" s="66">
        <f t="shared" si="15"/>
        <v>6208.454</v>
      </c>
      <c r="T48" s="67">
        <f t="shared" si="16"/>
        <v>13082.129</v>
      </c>
      <c r="U48" s="62">
        <f t="shared" si="17"/>
        <v>6873.675</v>
      </c>
      <c r="V48" s="58">
        <f t="shared" si="18"/>
        <v>5321.532</v>
      </c>
      <c r="W48" s="63">
        <f t="shared" si="19"/>
        <v>12195.207</v>
      </c>
      <c r="X48" s="53">
        <v>13747.35</v>
      </c>
    </row>
    <row r="49" ht="15.75" customHeight="1">
      <c r="A49" s="38">
        <v>43.0</v>
      </c>
      <c r="B49" s="39" t="s">
        <v>70</v>
      </c>
      <c r="C49" s="40">
        <v>44694.0</v>
      </c>
      <c r="D49" s="41">
        <v>193.0</v>
      </c>
      <c r="E49" s="42">
        <v>193.0</v>
      </c>
      <c r="F49" s="42">
        <v>400.0</v>
      </c>
      <c r="G49" s="43">
        <f t="shared" si="7"/>
        <v>0.4825</v>
      </c>
      <c r="H49" s="42">
        <f>8714.56-501.56</f>
        <v>8213</v>
      </c>
      <c r="I49" s="68">
        <f t="shared" si="8"/>
        <v>42.55440415</v>
      </c>
      <c r="J49" s="42">
        <v>1958.91</v>
      </c>
      <c r="K49" s="68">
        <f t="shared" si="9"/>
        <v>10.14979275</v>
      </c>
      <c r="L49" s="42">
        <v>5000.0</v>
      </c>
      <c r="M49" s="46">
        <f t="shared" si="25"/>
        <v>0.6087909412</v>
      </c>
      <c r="N49" s="69">
        <f t="shared" ref="N49:O49" si="61">Q49+U49</f>
        <v>-2494.44</v>
      </c>
      <c r="O49" s="42">
        <f t="shared" si="61"/>
        <v>1958.91</v>
      </c>
      <c r="P49" s="70">
        <f t="shared" si="12"/>
        <v>-535.53</v>
      </c>
      <c r="Q49" s="49">
        <f t="shared" si="13"/>
        <v>-1247.22</v>
      </c>
      <c r="R49" s="50">
        <f t="shared" si="14"/>
        <v>1371.237</v>
      </c>
      <c r="S49" s="51">
        <f t="shared" si="15"/>
        <v>685.6185</v>
      </c>
      <c r="T49" s="52">
        <f t="shared" si="16"/>
        <v>-561.6015</v>
      </c>
      <c r="U49" s="69">
        <f t="shared" si="17"/>
        <v>-1247.22</v>
      </c>
      <c r="V49" s="42">
        <f t="shared" si="18"/>
        <v>587.673</v>
      </c>
      <c r="W49" s="70">
        <f t="shared" si="19"/>
        <v>-659.547</v>
      </c>
      <c r="X49" s="71">
        <v>-2494.44</v>
      </c>
    </row>
    <row r="50" ht="15.75" customHeight="1">
      <c r="A50" s="54">
        <v>44.0</v>
      </c>
      <c r="B50" s="55" t="s">
        <v>71</v>
      </c>
      <c r="C50" s="56">
        <v>44695.0</v>
      </c>
      <c r="D50" s="57">
        <f t="shared" ref="D50:D123" si="63">C50</f>
        <v>44695</v>
      </c>
      <c r="E50" s="58">
        <v>1200.0</v>
      </c>
      <c r="F50" s="58">
        <v>1100.0</v>
      </c>
      <c r="G50" s="59">
        <f t="shared" si="7"/>
        <v>1.090909091</v>
      </c>
      <c r="H50" s="58">
        <f>55071-1872</f>
        <v>53199</v>
      </c>
      <c r="I50" s="60">
        <f t="shared" si="8"/>
        <v>44.3325</v>
      </c>
      <c r="J50" s="58">
        <v>5539.43</v>
      </c>
      <c r="K50" s="60">
        <f t="shared" si="9"/>
        <v>4.616191667</v>
      </c>
      <c r="L50" s="58">
        <f>18000+5159.13</f>
        <v>23159.13</v>
      </c>
      <c r="M50" s="61">
        <f t="shared" si="25"/>
        <v>0.4353301754</v>
      </c>
      <c r="N50" s="62">
        <f t="shared" ref="N50:O50" si="62">Q50+U50</f>
        <v>16454.91</v>
      </c>
      <c r="O50" s="58">
        <f t="shared" si="62"/>
        <v>5539.43</v>
      </c>
      <c r="P50" s="63">
        <f t="shared" si="12"/>
        <v>21994.34</v>
      </c>
      <c r="Q50" s="64">
        <f t="shared" si="13"/>
        <v>8227.455</v>
      </c>
      <c r="R50" s="65">
        <f t="shared" si="14"/>
        <v>3877.601</v>
      </c>
      <c r="S50" s="66">
        <f t="shared" si="15"/>
        <v>1938.8005</v>
      </c>
      <c r="T50" s="67">
        <f t="shared" si="16"/>
        <v>10166.2555</v>
      </c>
      <c r="U50" s="62">
        <f t="shared" si="17"/>
        <v>8227.455</v>
      </c>
      <c r="V50" s="58">
        <f t="shared" si="18"/>
        <v>1661.829</v>
      </c>
      <c r="W50" s="63">
        <f t="shared" si="19"/>
        <v>9889.284</v>
      </c>
      <c r="X50" s="53">
        <v>16454.91</v>
      </c>
    </row>
    <row r="51" ht="15.75" customHeight="1">
      <c r="A51" s="38">
        <v>45.0</v>
      </c>
      <c r="B51" s="39" t="s">
        <v>72</v>
      </c>
      <c r="C51" s="40">
        <v>44696.0</v>
      </c>
      <c r="D51" s="41">
        <f t="shared" si="63"/>
        <v>44696</v>
      </c>
      <c r="E51" s="42">
        <v>122.0</v>
      </c>
      <c r="F51" s="42">
        <v>400.0</v>
      </c>
      <c r="G51" s="43">
        <f t="shared" si="7"/>
        <v>0.305</v>
      </c>
      <c r="H51" s="42">
        <v>5543.0</v>
      </c>
      <c r="I51" s="68">
        <f t="shared" si="8"/>
        <v>45.43442623</v>
      </c>
      <c r="J51" s="42">
        <v>1616.15</v>
      </c>
      <c r="K51" s="68">
        <f t="shared" si="9"/>
        <v>13.24713115</v>
      </c>
      <c r="L51" s="42">
        <v>2000.0</v>
      </c>
      <c r="M51" s="46">
        <f t="shared" si="25"/>
        <v>0.3608154429</v>
      </c>
      <c r="N51" s="69">
        <f t="shared" ref="N51:O51" si="64">Q51+U51</f>
        <v>-2248.88</v>
      </c>
      <c r="O51" s="42">
        <f t="shared" si="64"/>
        <v>1616.15</v>
      </c>
      <c r="P51" s="70">
        <f t="shared" si="12"/>
        <v>-632.73</v>
      </c>
      <c r="Q51" s="49">
        <f t="shared" si="13"/>
        <v>-1124.44</v>
      </c>
      <c r="R51" s="50">
        <f t="shared" si="14"/>
        <v>1131.305</v>
      </c>
      <c r="S51" s="51">
        <f t="shared" si="15"/>
        <v>565.6525</v>
      </c>
      <c r="T51" s="52">
        <f t="shared" si="16"/>
        <v>-558.7875</v>
      </c>
      <c r="U51" s="69">
        <f t="shared" si="17"/>
        <v>-1124.44</v>
      </c>
      <c r="V51" s="42">
        <f t="shared" si="18"/>
        <v>484.845</v>
      </c>
      <c r="W51" s="70">
        <f t="shared" si="19"/>
        <v>-639.595</v>
      </c>
      <c r="X51" s="71">
        <v>-2248.88</v>
      </c>
    </row>
    <row r="52" ht="15.75" customHeight="1">
      <c r="A52" s="54">
        <v>46.0</v>
      </c>
      <c r="B52" s="55" t="s">
        <v>73</v>
      </c>
      <c r="C52" s="56">
        <v>44698.0</v>
      </c>
      <c r="D52" s="57">
        <f t="shared" si="63"/>
        <v>44698</v>
      </c>
      <c r="E52" s="58">
        <v>1100.0</v>
      </c>
      <c r="F52" s="58">
        <v>1100.0</v>
      </c>
      <c r="G52" s="59">
        <f t="shared" si="7"/>
        <v>1</v>
      </c>
      <c r="H52" s="58">
        <f>35437.5-820</f>
        <v>34617.5</v>
      </c>
      <c r="I52" s="60">
        <f t="shared" si="8"/>
        <v>31.47045455</v>
      </c>
      <c r="J52" s="58">
        <v>18185.81</v>
      </c>
      <c r="K52" s="60">
        <f t="shared" si="9"/>
        <v>16.53255455</v>
      </c>
      <c r="L52" s="58">
        <f>11700+1500+3000+500+300</f>
        <v>17000</v>
      </c>
      <c r="M52" s="61">
        <f t="shared" si="25"/>
        <v>0.4910811006</v>
      </c>
      <c r="N52" s="62">
        <f t="shared" ref="N52:O52" si="65">Q52+U52</f>
        <v>10246.15</v>
      </c>
      <c r="O52" s="58">
        <f t="shared" si="65"/>
        <v>18185.81</v>
      </c>
      <c r="P52" s="63">
        <f t="shared" si="12"/>
        <v>28431.96</v>
      </c>
      <c r="Q52" s="64">
        <f t="shared" si="13"/>
        <v>5123.075</v>
      </c>
      <c r="R52" s="65">
        <f t="shared" si="14"/>
        <v>12730.067</v>
      </c>
      <c r="S52" s="66">
        <f t="shared" si="15"/>
        <v>6365.0335</v>
      </c>
      <c r="T52" s="67">
        <f t="shared" si="16"/>
        <v>11488.1085</v>
      </c>
      <c r="U52" s="62">
        <f t="shared" si="17"/>
        <v>5123.075</v>
      </c>
      <c r="V52" s="58">
        <f t="shared" si="18"/>
        <v>5455.743</v>
      </c>
      <c r="W52" s="63">
        <f t="shared" si="19"/>
        <v>10578.818</v>
      </c>
      <c r="X52" s="53">
        <v>10246.15</v>
      </c>
    </row>
    <row r="53" ht="15.75" customHeight="1">
      <c r="A53" s="38">
        <v>47.0</v>
      </c>
      <c r="B53" s="39" t="s">
        <v>74</v>
      </c>
      <c r="C53" s="40">
        <v>44699.0</v>
      </c>
      <c r="D53" s="41">
        <f t="shared" si="63"/>
        <v>44699</v>
      </c>
      <c r="E53" s="42">
        <v>399.0</v>
      </c>
      <c r="F53" s="42">
        <v>1100.0</v>
      </c>
      <c r="G53" s="43">
        <f t="shared" si="7"/>
        <v>0.3627272727</v>
      </c>
      <c r="H53" s="42">
        <f>15816-1123</f>
        <v>14693</v>
      </c>
      <c r="I53" s="68">
        <f t="shared" si="8"/>
        <v>36.8245614</v>
      </c>
      <c r="J53" s="42">
        <v>4528.59</v>
      </c>
      <c r="K53" s="68">
        <f t="shared" si="9"/>
        <v>11.34984962</v>
      </c>
      <c r="L53" s="42">
        <v>12000.0</v>
      </c>
      <c r="M53" s="46">
        <f t="shared" si="25"/>
        <v>0.8167154427</v>
      </c>
      <c r="N53" s="69">
        <f t="shared" ref="N53:O53" si="66">Q53+U53</f>
        <v>-3001.62</v>
      </c>
      <c r="O53" s="42">
        <f t="shared" si="66"/>
        <v>4528.59</v>
      </c>
      <c r="P53" s="70">
        <f t="shared" si="12"/>
        <v>1526.97</v>
      </c>
      <c r="Q53" s="49">
        <f t="shared" si="13"/>
        <v>-1500.81</v>
      </c>
      <c r="R53" s="50">
        <f t="shared" si="14"/>
        <v>3170.013</v>
      </c>
      <c r="S53" s="51">
        <f t="shared" si="15"/>
        <v>1585.0065</v>
      </c>
      <c r="T53" s="52">
        <f t="shared" si="16"/>
        <v>84.1965</v>
      </c>
      <c r="U53" s="69">
        <f t="shared" si="17"/>
        <v>-1500.81</v>
      </c>
      <c r="V53" s="42">
        <f t="shared" si="18"/>
        <v>1358.577</v>
      </c>
      <c r="W53" s="70">
        <f t="shared" si="19"/>
        <v>-142.233</v>
      </c>
      <c r="X53" s="71">
        <v>-3001.62</v>
      </c>
    </row>
    <row r="54" ht="15.75" customHeight="1">
      <c r="A54" s="54">
        <v>48.0</v>
      </c>
      <c r="B54" s="55" t="s">
        <v>75</v>
      </c>
      <c r="C54" s="56">
        <v>44701.0</v>
      </c>
      <c r="D54" s="57">
        <f t="shared" si="63"/>
        <v>44701</v>
      </c>
      <c r="E54" s="58">
        <v>391.0</v>
      </c>
      <c r="F54" s="58">
        <v>1100.0</v>
      </c>
      <c r="G54" s="59">
        <f t="shared" si="7"/>
        <v>0.3554545455</v>
      </c>
      <c r="H54" s="58">
        <f>12237.5-28</f>
        <v>12209.5</v>
      </c>
      <c r="I54" s="60">
        <f t="shared" si="8"/>
        <v>31.22634271</v>
      </c>
      <c r="J54" s="58">
        <v>7700.45</v>
      </c>
      <c r="K54" s="60">
        <f t="shared" si="9"/>
        <v>19.69424552</v>
      </c>
      <c r="L54" s="58">
        <f>1000+7500</f>
        <v>8500</v>
      </c>
      <c r="M54" s="61">
        <f t="shared" si="25"/>
        <v>0.6961792047</v>
      </c>
      <c r="N54" s="62">
        <f t="shared" ref="N54:O54" si="67">Q54+U54</f>
        <v>-3457.5</v>
      </c>
      <c r="O54" s="58">
        <f t="shared" si="67"/>
        <v>7700.45</v>
      </c>
      <c r="P54" s="63">
        <f t="shared" si="12"/>
        <v>4242.95</v>
      </c>
      <c r="Q54" s="64">
        <f t="shared" si="13"/>
        <v>-1728.75</v>
      </c>
      <c r="R54" s="65">
        <f t="shared" si="14"/>
        <v>5390.315</v>
      </c>
      <c r="S54" s="66">
        <f t="shared" si="15"/>
        <v>2695.1575</v>
      </c>
      <c r="T54" s="67">
        <f t="shared" si="16"/>
        <v>966.4075</v>
      </c>
      <c r="U54" s="62">
        <f t="shared" si="17"/>
        <v>-1728.75</v>
      </c>
      <c r="V54" s="58">
        <f t="shared" si="18"/>
        <v>2310.135</v>
      </c>
      <c r="W54" s="63">
        <f t="shared" si="19"/>
        <v>581.385</v>
      </c>
      <c r="X54" s="71">
        <v>-3457.5</v>
      </c>
    </row>
    <row r="55" ht="15.75" customHeight="1">
      <c r="A55" s="38">
        <v>49.0</v>
      </c>
      <c r="B55" s="39" t="s">
        <v>76</v>
      </c>
      <c r="C55" s="40">
        <v>44702.0</v>
      </c>
      <c r="D55" s="41">
        <f t="shared" si="63"/>
        <v>44702</v>
      </c>
      <c r="E55" s="42">
        <v>575.0</v>
      </c>
      <c r="F55" s="42">
        <v>1100.0</v>
      </c>
      <c r="G55" s="43">
        <f t="shared" si="7"/>
        <v>0.5227272727</v>
      </c>
      <c r="H55" s="42">
        <f>18957-801</f>
        <v>18156</v>
      </c>
      <c r="I55" s="68">
        <f t="shared" si="8"/>
        <v>31.57565217</v>
      </c>
      <c r="J55" s="42">
        <v>8129.6</v>
      </c>
      <c r="K55" s="68">
        <f t="shared" si="9"/>
        <v>14.13843478</v>
      </c>
      <c r="L55" s="42">
        <f>13750+500+500+500+250</f>
        <v>15500</v>
      </c>
      <c r="M55" s="46">
        <f t="shared" si="25"/>
        <v>0.8537122714</v>
      </c>
      <c r="N55" s="69">
        <f t="shared" ref="N55:O55" si="68">Q55+U55</f>
        <v>-3719.16</v>
      </c>
      <c r="O55" s="42">
        <f t="shared" si="68"/>
        <v>8129.6</v>
      </c>
      <c r="P55" s="70">
        <f t="shared" si="12"/>
        <v>4410.44</v>
      </c>
      <c r="Q55" s="49">
        <f t="shared" si="13"/>
        <v>-1859.58</v>
      </c>
      <c r="R55" s="50">
        <f t="shared" si="14"/>
        <v>5690.72</v>
      </c>
      <c r="S55" s="51">
        <f t="shared" si="15"/>
        <v>2845.36</v>
      </c>
      <c r="T55" s="52">
        <f t="shared" si="16"/>
        <v>985.78</v>
      </c>
      <c r="U55" s="69">
        <f t="shared" si="17"/>
        <v>-1859.58</v>
      </c>
      <c r="V55" s="42">
        <f t="shared" si="18"/>
        <v>2438.88</v>
      </c>
      <c r="W55" s="70">
        <f t="shared" si="19"/>
        <v>579.3</v>
      </c>
      <c r="X55" s="71">
        <v>-3719.16</v>
      </c>
    </row>
    <row r="56" ht="15.75" customHeight="1">
      <c r="A56" s="54">
        <v>50.0</v>
      </c>
      <c r="B56" s="55" t="s">
        <v>77</v>
      </c>
      <c r="C56" s="56">
        <v>44705.0</v>
      </c>
      <c r="D56" s="57">
        <f t="shared" si="63"/>
        <v>44705</v>
      </c>
      <c r="E56" s="58">
        <v>1106.0</v>
      </c>
      <c r="F56" s="58">
        <v>1100.0</v>
      </c>
      <c r="G56" s="59">
        <f t="shared" si="7"/>
        <v>1.005454545</v>
      </c>
      <c r="H56" s="58">
        <f>40201.5-1548</f>
        <v>38653.5</v>
      </c>
      <c r="I56" s="60">
        <f t="shared" si="8"/>
        <v>34.94891501</v>
      </c>
      <c r="J56" s="58">
        <v>12626.41</v>
      </c>
      <c r="K56" s="60">
        <f t="shared" si="9"/>
        <v>11.41628391</v>
      </c>
      <c r="L56" s="58">
        <f>12000+3474.62+2000</f>
        <v>17474.62</v>
      </c>
      <c r="M56" s="61">
        <f t="shared" si="25"/>
        <v>0.4520837699</v>
      </c>
      <c r="N56" s="62">
        <f t="shared" ref="N56:O56" si="69">Q56+U56</f>
        <v>13012.79</v>
      </c>
      <c r="O56" s="58">
        <f t="shared" si="69"/>
        <v>12626.41</v>
      </c>
      <c r="P56" s="63">
        <f t="shared" si="12"/>
        <v>25639.2</v>
      </c>
      <c r="Q56" s="64">
        <f t="shared" si="13"/>
        <v>6506.395</v>
      </c>
      <c r="R56" s="65">
        <f t="shared" si="14"/>
        <v>8838.487</v>
      </c>
      <c r="S56" s="66">
        <f t="shared" si="15"/>
        <v>4419.2435</v>
      </c>
      <c r="T56" s="67">
        <f t="shared" si="16"/>
        <v>10925.6385</v>
      </c>
      <c r="U56" s="62">
        <f t="shared" si="17"/>
        <v>6506.395</v>
      </c>
      <c r="V56" s="58">
        <f t="shared" si="18"/>
        <v>3787.923</v>
      </c>
      <c r="W56" s="63">
        <f t="shared" si="19"/>
        <v>10294.318</v>
      </c>
      <c r="X56" s="53">
        <v>13012.79</v>
      </c>
    </row>
    <row r="57" ht="15.75" customHeight="1">
      <c r="A57" s="38">
        <v>51.0</v>
      </c>
      <c r="B57" s="39" t="s">
        <v>78</v>
      </c>
      <c r="C57" s="40">
        <v>44705.0</v>
      </c>
      <c r="D57" s="41">
        <f t="shared" si="63"/>
        <v>44705</v>
      </c>
      <c r="E57" s="42">
        <v>630.0</v>
      </c>
      <c r="F57" s="42">
        <v>1100.0</v>
      </c>
      <c r="G57" s="43">
        <f t="shared" si="7"/>
        <v>0.5727272727</v>
      </c>
      <c r="H57" s="42">
        <f>21015-628</f>
        <v>20387</v>
      </c>
      <c r="I57" s="68">
        <f t="shared" si="8"/>
        <v>32.36031746</v>
      </c>
      <c r="J57" s="42">
        <v>9662.27</v>
      </c>
      <c r="K57" s="68">
        <f t="shared" si="9"/>
        <v>15.33693651</v>
      </c>
      <c r="L57" s="42">
        <f>15000+500</f>
        <v>15500</v>
      </c>
      <c r="M57" s="46">
        <f t="shared" si="25"/>
        <v>0.7602884191</v>
      </c>
      <c r="N57" s="69">
        <f t="shared" ref="N57:O57" si="70">Q57+U57</f>
        <v>-2669.04</v>
      </c>
      <c r="O57" s="42">
        <f t="shared" si="70"/>
        <v>9662.27</v>
      </c>
      <c r="P57" s="70">
        <f t="shared" si="12"/>
        <v>6993.23</v>
      </c>
      <c r="Q57" s="49">
        <f t="shared" si="13"/>
        <v>-1334.52</v>
      </c>
      <c r="R57" s="50">
        <f t="shared" si="14"/>
        <v>6763.589</v>
      </c>
      <c r="S57" s="51">
        <f t="shared" si="15"/>
        <v>3381.7945</v>
      </c>
      <c r="T57" s="52">
        <f t="shared" si="16"/>
        <v>2047.2745</v>
      </c>
      <c r="U57" s="69">
        <f t="shared" si="17"/>
        <v>-1334.52</v>
      </c>
      <c r="V57" s="42">
        <f t="shared" si="18"/>
        <v>2898.681</v>
      </c>
      <c r="W57" s="70">
        <f t="shared" si="19"/>
        <v>1564.161</v>
      </c>
      <c r="X57" s="71">
        <v>-2669.04</v>
      </c>
    </row>
    <row r="58" ht="15.75" customHeight="1">
      <c r="A58" s="54">
        <v>52.0</v>
      </c>
      <c r="B58" s="55" t="s">
        <v>79</v>
      </c>
      <c r="C58" s="56">
        <v>44709.0</v>
      </c>
      <c r="D58" s="57">
        <f t="shared" si="63"/>
        <v>44709</v>
      </c>
      <c r="E58" s="58">
        <v>1100.0</v>
      </c>
      <c r="F58" s="58">
        <v>1100.0</v>
      </c>
      <c r="G58" s="59">
        <f t="shared" si="7"/>
        <v>1</v>
      </c>
      <c r="H58" s="58">
        <f>36635.3-1991.8</f>
        <v>34643.5</v>
      </c>
      <c r="I58" s="60">
        <f t="shared" si="8"/>
        <v>31.49409091</v>
      </c>
      <c r="J58" s="58">
        <v>5347.56</v>
      </c>
      <c r="K58" s="60">
        <f t="shared" si="9"/>
        <v>4.861418182</v>
      </c>
      <c r="L58" s="58">
        <f>15000+1000</f>
        <v>16000</v>
      </c>
      <c r="M58" s="61">
        <f t="shared" si="25"/>
        <v>0.4618470997</v>
      </c>
      <c r="N58" s="62">
        <f t="shared" ref="N58:O58" si="71">Q58+U58</f>
        <v>12990.6</v>
      </c>
      <c r="O58" s="58">
        <f t="shared" si="71"/>
        <v>5347.56</v>
      </c>
      <c r="P58" s="63">
        <f t="shared" si="12"/>
        <v>18338.16</v>
      </c>
      <c r="Q58" s="64">
        <f t="shared" si="13"/>
        <v>6495.3</v>
      </c>
      <c r="R58" s="65">
        <f t="shared" si="14"/>
        <v>3743.292</v>
      </c>
      <c r="S58" s="66">
        <f t="shared" si="15"/>
        <v>1871.646</v>
      </c>
      <c r="T58" s="67">
        <f t="shared" si="16"/>
        <v>8366.946</v>
      </c>
      <c r="U58" s="62">
        <f t="shared" si="17"/>
        <v>6495.3</v>
      </c>
      <c r="V58" s="58">
        <f t="shared" si="18"/>
        <v>1604.268</v>
      </c>
      <c r="W58" s="63">
        <f t="shared" si="19"/>
        <v>8099.568</v>
      </c>
      <c r="X58" s="53">
        <v>12990.6</v>
      </c>
    </row>
    <row r="59" ht="15.75" customHeight="1">
      <c r="A59" s="38">
        <v>53.0</v>
      </c>
      <c r="B59" s="39" t="s">
        <v>80</v>
      </c>
      <c r="C59" s="40">
        <v>44719.0</v>
      </c>
      <c r="D59" s="41">
        <f t="shared" si="63"/>
        <v>44719</v>
      </c>
      <c r="E59" s="42">
        <v>660.0</v>
      </c>
      <c r="F59" s="42">
        <v>1100.0</v>
      </c>
      <c r="G59" s="43">
        <f t="shared" si="7"/>
        <v>0.6</v>
      </c>
      <c r="H59" s="42">
        <f>34249.55-1204.55</f>
        <v>33045</v>
      </c>
      <c r="I59" s="68">
        <f t="shared" si="8"/>
        <v>50.06818182</v>
      </c>
      <c r="J59" s="42">
        <v>7297.85</v>
      </c>
      <c r="K59" s="68">
        <f t="shared" si="9"/>
        <v>11.05734848</v>
      </c>
      <c r="L59" s="42">
        <f>5500+2835.41+750</f>
        <v>9085.41</v>
      </c>
      <c r="M59" s="46">
        <f t="shared" si="25"/>
        <v>0.2749405356</v>
      </c>
      <c r="N59" s="69">
        <f t="shared" ref="N59:O59" si="72">Q59+U59</f>
        <v>8372.01</v>
      </c>
      <c r="O59" s="42">
        <f t="shared" si="72"/>
        <v>7297.85</v>
      </c>
      <c r="P59" s="70">
        <f t="shared" si="12"/>
        <v>15669.86</v>
      </c>
      <c r="Q59" s="49">
        <f t="shared" si="13"/>
        <v>4186.005</v>
      </c>
      <c r="R59" s="50">
        <f t="shared" si="14"/>
        <v>5108.495</v>
      </c>
      <c r="S59" s="51">
        <f t="shared" si="15"/>
        <v>2554.2475</v>
      </c>
      <c r="T59" s="52">
        <f t="shared" si="16"/>
        <v>6740.2525</v>
      </c>
      <c r="U59" s="69">
        <f t="shared" si="17"/>
        <v>4186.005</v>
      </c>
      <c r="V59" s="42">
        <f t="shared" si="18"/>
        <v>2189.355</v>
      </c>
      <c r="W59" s="70">
        <f t="shared" si="19"/>
        <v>6375.36</v>
      </c>
      <c r="X59" s="53">
        <v>8372.01</v>
      </c>
    </row>
    <row r="60" ht="15.75" customHeight="1">
      <c r="A60" s="54">
        <v>54.0</v>
      </c>
      <c r="B60" s="55" t="s">
        <v>81</v>
      </c>
      <c r="C60" s="56">
        <v>44720.0</v>
      </c>
      <c r="D60" s="57">
        <f t="shared" si="63"/>
        <v>44720</v>
      </c>
      <c r="E60" s="58">
        <v>1100.0</v>
      </c>
      <c r="F60" s="58">
        <v>1100.0</v>
      </c>
      <c r="G60" s="59">
        <f t="shared" si="7"/>
        <v>1</v>
      </c>
      <c r="H60" s="58">
        <f>48860-2320</f>
        <v>46540</v>
      </c>
      <c r="I60" s="60">
        <f t="shared" si="8"/>
        <v>42.30909091</v>
      </c>
      <c r="J60" s="58">
        <v>16732.78</v>
      </c>
      <c r="K60" s="60">
        <f t="shared" si="9"/>
        <v>15.21161818</v>
      </c>
      <c r="L60" s="58">
        <f>24750+250</f>
        <v>25000</v>
      </c>
      <c r="M60" s="61">
        <f t="shared" si="25"/>
        <v>0.5371723249</v>
      </c>
      <c r="N60" s="62">
        <f t="shared" ref="N60:O60" si="73">Q60+U60</f>
        <v>15453.43</v>
      </c>
      <c r="O60" s="58">
        <f t="shared" si="73"/>
        <v>16732.78</v>
      </c>
      <c r="P60" s="63">
        <f t="shared" si="12"/>
        <v>32186.21</v>
      </c>
      <c r="Q60" s="64">
        <f t="shared" si="13"/>
        <v>7726.715</v>
      </c>
      <c r="R60" s="65">
        <f t="shared" si="14"/>
        <v>11712.946</v>
      </c>
      <c r="S60" s="66">
        <f t="shared" si="15"/>
        <v>5856.473</v>
      </c>
      <c r="T60" s="67">
        <f t="shared" si="16"/>
        <v>13583.188</v>
      </c>
      <c r="U60" s="62">
        <f t="shared" si="17"/>
        <v>7726.715</v>
      </c>
      <c r="V60" s="58">
        <f t="shared" si="18"/>
        <v>5019.834</v>
      </c>
      <c r="W60" s="63">
        <f t="shared" si="19"/>
        <v>12746.549</v>
      </c>
      <c r="X60" s="53">
        <v>15453.43</v>
      </c>
    </row>
    <row r="61" ht="15.75" customHeight="1">
      <c r="A61" s="38">
        <f t="shared" ref="A61:A123" si="75">A60+1</f>
        <v>55</v>
      </c>
      <c r="B61" s="39" t="s">
        <v>82</v>
      </c>
      <c r="C61" s="40">
        <v>44723.0</v>
      </c>
      <c r="D61" s="41">
        <f t="shared" si="63"/>
        <v>44723</v>
      </c>
      <c r="E61" s="42">
        <v>166.0</v>
      </c>
      <c r="F61" s="42">
        <v>400.0</v>
      </c>
      <c r="G61" s="43">
        <f t="shared" si="7"/>
        <v>0.415</v>
      </c>
      <c r="H61" s="42">
        <v>5164.0</v>
      </c>
      <c r="I61" s="68">
        <f t="shared" si="8"/>
        <v>31.10843373</v>
      </c>
      <c r="J61" s="42">
        <v>1096.1</v>
      </c>
      <c r="K61" s="68">
        <f t="shared" si="9"/>
        <v>6.603012048</v>
      </c>
      <c r="L61" s="42">
        <f>1400+200</f>
        <v>1600</v>
      </c>
      <c r="M61" s="46">
        <f t="shared" si="25"/>
        <v>0.3098373354</v>
      </c>
      <c r="N61" s="69">
        <f t="shared" ref="N61:O61" si="74">Q61+U61</f>
        <v>-1757.8</v>
      </c>
      <c r="O61" s="42">
        <f t="shared" si="74"/>
        <v>1096.1</v>
      </c>
      <c r="P61" s="70">
        <f t="shared" si="12"/>
        <v>-661.7</v>
      </c>
      <c r="Q61" s="49">
        <f t="shared" si="13"/>
        <v>-878.9</v>
      </c>
      <c r="R61" s="50">
        <f t="shared" si="14"/>
        <v>767.27</v>
      </c>
      <c r="S61" s="51">
        <f t="shared" si="15"/>
        <v>383.635</v>
      </c>
      <c r="T61" s="52">
        <f t="shared" si="16"/>
        <v>-495.265</v>
      </c>
      <c r="U61" s="69">
        <f t="shared" si="17"/>
        <v>-878.9</v>
      </c>
      <c r="V61" s="42">
        <f t="shared" si="18"/>
        <v>328.83</v>
      </c>
      <c r="W61" s="70">
        <f t="shared" si="19"/>
        <v>-550.07</v>
      </c>
      <c r="X61" s="71">
        <v>-1757.8</v>
      </c>
    </row>
    <row r="62" ht="15.75" customHeight="1">
      <c r="A62" s="54">
        <f t="shared" si="75"/>
        <v>56</v>
      </c>
      <c r="B62" s="55" t="s">
        <v>83</v>
      </c>
      <c r="C62" s="56">
        <v>44729.0</v>
      </c>
      <c r="D62" s="57">
        <f t="shared" si="63"/>
        <v>44729</v>
      </c>
      <c r="E62" s="58">
        <v>104.0</v>
      </c>
      <c r="F62" s="58">
        <v>400.0</v>
      </c>
      <c r="G62" s="59">
        <f t="shared" si="7"/>
        <v>0.26</v>
      </c>
      <c r="H62" s="58">
        <f>6063.5-95</f>
        <v>5968.5</v>
      </c>
      <c r="I62" s="60">
        <f t="shared" si="8"/>
        <v>57.38942308</v>
      </c>
      <c r="J62" s="58">
        <v>2384.34</v>
      </c>
      <c r="K62" s="60">
        <f t="shared" si="9"/>
        <v>22.92634615</v>
      </c>
      <c r="L62" s="58">
        <v>1500.0</v>
      </c>
      <c r="M62" s="61">
        <f t="shared" si="25"/>
        <v>0.251319427</v>
      </c>
      <c r="N62" s="62">
        <f t="shared" ref="N62:O62" si="76">Q62+U62</f>
        <v>-2708.77</v>
      </c>
      <c r="O62" s="58">
        <f t="shared" si="76"/>
        <v>2384.34</v>
      </c>
      <c r="P62" s="63">
        <f t="shared" si="12"/>
        <v>-324.43</v>
      </c>
      <c r="Q62" s="64">
        <f t="shared" si="13"/>
        <v>-1354.385</v>
      </c>
      <c r="R62" s="65">
        <f t="shared" si="14"/>
        <v>1669.038</v>
      </c>
      <c r="S62" s="66">
        <f t="shared" si="15"/>
        <v>834.519</v>
      </c>
      <c r="T62" s="67">
        <f t="shared" si="16"/>
        <v>-519.866</v>
      </c>
      <c r="U62" s="62">
        <f t="shared" si="17"/>
        <v>-1354.385</v>
      </c>
      <c r="V62" s="58">
        <f t="shared" si="18"/>
        <v>715.302</v>
      </c>
      <c r="W62" s="63">
        <f t="shared" si="19"/>
        <v>-639.083</v>
      </c>
      <c r="X62" s="71">
        <v>-2708.77</v>
      </c>
    </row>
    <row r="63" ht="15.75" customHeight="1">
      <c r="A63" s="38">
        <f t="shared" si="75"/>
        <v>57</v>
      </c>
      <c r="B63" s="39" t="s">
        <v>84</v>
      </c>
      <c r="C63" s="40">
        <v>44765.0</v>
      </c>
      <c r="D63" s="41">
        <f t="shared" si="63"/>
        <v>44765</v>
      </c>
      <c r="E63" s="42">
        <v>967.0</v>
      </c>
      <c r="F63" s="42">
        <v>1100.0</v>
      </c>
      <c r="G63" s="43">
        <f t="shared" si="7"/>
        <v>0.8790909091</v>
      </c>
      <c r="H63" s="42">
        <f>28029-971</f>
        <v>27058</v>
      </c>
      <c r="I63" s="68">
        <f t="shared" si="8"/>
        <v>27.98138573</v>
      </c>
      <c r="J63" s="42">
        <v>12038.93</v>
      </c>
      <c r="K63" s="68">
        <f t="shared" si="9"/>
        <v>12.44977249</v>
      </c>
      <c r="L63" s="42">
        <f>15000+500+500</f>
        <v>16000</v>
      </c>
      <c r="M63" s="46">
        <f t="shared" si="25"/>
        <v>0.5913223446</v>
      </c>
      <c r="N63" s="69">
        <f t="shared" ref="N63:O63" si="77">Q63+U63</f>
        <v>4320.51</v>
      </c>
      <c r="O63" s="42">
        <f t="shared" si="77"/>
        <v>12038.93</v>
      </c>
      <c r="P63" s="70">
        <f t="shared" si="12"/>
        <v>16359.44</v>
      </c>
      <c r="Q63" s="49">
        <f t="shared" si="13"/>
        <v>2160.255</v>
      </c>
      <c r="R63" s="50">
        <f t="shared" si="14"/>
        <v>8427.251</v>
      </c>
      <c r="S63" s="51">
        <f t="shared" si="15"/>
        <v>4213.6255</v>
      </c>
      <c r="T63" s="52">
        <f t="shared" si="16"/>
        <v>6373.8805</v>
      </c>
      <c r="U63" s="69">
        <f t="shared" si="17"/>
        <v>2160.255</v>
      </c>
      <c r="V63" s="42">
        <f t="shared" si="18"/>
        <v>3611.679</v>
      </c>
      <c r="W63" s="70">
        <f t="shared" si="19"/>
        <v>5771.934</v>
      </c>
      <c r="X63" s="53">
        <v>4320.51</v>
      </c>
    </row>
    <row r="64" ht="15.75" customHeight="1">
      <c r="A64" s="54">
        <f t="shared" si="75"/>
        <v>58</v>
      </c>
      <c r="B64" s="55" t="s">
        <v>85</v>
      </c>
      <c r="C64" s="56">
        <v>44778.0</v>
      </c>
      <c r="D64" s="57">
        <f t="shared" si="63"/>
        <v>44778</v>
      </c>
      <c r="E64" s="58">
        <v>594.0</v>
      </c>
      <c r="F64" s="58">
        <v>1100.0</v>
      </c>
      <c r="G64" s="59">
        <f t="shared" si="7"/>
        <v>0.54</v>
      </c>
      <c r="H64" s="58">
        <f>18304-1660</f>
        <v>16644</v>
      </c>
      <c r="I64" s="60">
        <f t="shared" si="8"/>
        <v>28.02020202</v>
      </c>
      <c r="J64" s="58">
        <v>9332.89</v>
      </c>
      <c r="K64" s="60">
        <f t="shared" si="9"/>
        <v>15.71193603</v>
      </c>
      <c r="L64" s="58">
        <f>10000+400+1750</f>
        <v>12150</v>
      </c>
      <c r="M64" s="61">
        <f t="shared" si="25"/>
        <v>0.7299927902</v>
      </c>
      <c r="N64" s="62">
        <f t="shared" ref="N64:O64" si="78">Q64+U64</f>
        <v>-1039.65</v>
      </c>
      <c r="O64" s="58">
        <f t="shared" si="78"/>
        <v>9332.89</v>
      </c>
      <c r="P64" s="63">
        <f t="shared" si="12"/>
        <v>8293.24</v>
      </c>
      <c r="Q64" s="64">
        <f t="shared" si="13"/>
        <v>-519.825</v>
      </c>
      <c r="R64" s="65">
        <f t="shared" si="14"/>
        <v>6533.023</v>
      </c>
      <c r="S64" s="66">
        <f t="shared" si="15"/>
        <v>3266.5115</v>
      </c>
      <c r="T64" s="67">
        <f t="shared" si="16"/>
        <v>2746.6865</v>
      </c>
      <c r="U64" s="62">
        <f t="shared" si="17"/>
        <v>-519.825</v>
      </c>
      <c r="V64" s="58">
        <f t="shared" si="18"/>
        <v>2799.867</v>
      </c>
      <c r="W64" s="63">
        <f t="shared" si="19"/>
        <v>2280.042</v>
      </c>
      <c r="X64" s="71">
        <v>-1039.65</v>
      </c>
    </row>
    <row r="65" ht="15.75" customHeight="1">
      <c r="A65" s="38">
        <f t="shared" si="75"/>
        <v>59</v>
      </c>
      <c r="B65" s="39" t="s">
        <v>86</v>
      </c>
      <c r="C65" s="40">
        <v>44779.0</v>
      </c>
      <c r="D65" s="41">
        <f t="shared" si="63"/>
        <v>44779</v>
      </c>
      <c r="E65" s="42">
        <v>328.0</v>
      </c>
      <c r="F65" s="42">
        <v>400.0</v>
      </c>
      <c r="G65" s="43">
        <f t="shared" si="7"/>
        <v>0.82</v>
      </c>
      <c r="H65" s="42">
        <v>17877.0</v>
      </c>
      <c r="I65" s="68">
        <f t="shared" si="8"/>
        <v>54.50304878</v>
      </c>
      <c r="J65" s="42">
        <v>4660.97</v>
      </c>
      <c r="K65" s="68">
        <f t="shared" si="9"/>
        <v>14.21027439</v>
      </c>
      <c r="L65" s="42">
        <v>10000.0</v>
      </c>
      <c r="M65" s="46">
        <f t="shared" si="25"/>
        <v>0.5593779717</v>
      </c>
      <c r="N65" s="69">
        <f t="shared" ref="N65:O65" si="79">Q65+U65</f>
        <v>2486.41</v>
      </c>
      <c r="O65" s="42">
        <f t="shared" si="79"/>
        <v>4660.97</v>
      </c>
      <c r="P65" s="70">
        <f t="shared" si="12"/>
        <v>7147.38</v>
      </c>
      <c r="Q65" s="49">
        <f t="shared" si="13"/>
        <v>1243.205</v>
      </c>
      <c r="R65" s="50">
        <f t="shared" si="14"/>
        <v>3262.679</v>
      </c>
      <c r="S65" s="51">
        <f t="shared" si="15"/>
        <v>1631.3395</v>
      </c>
      <c r="T65" s="52">
        <f t="shared" si="16"/>
        <v>2874.5445</v>
      </c>
      <c r="U65" s="69">
        <f t="shared" si="17"/>
        <v>1243.205</v>
      </c>
      <c r="V65" s="42">
        <f t="shared" si="18"/>
        <v>1398.291</v>
      </c>
      <c r="W65" s="70">
        <f t="shared" si="19"/>
        <v>2641.496</v>
      </c>
      <c r="X65" s="53">
        <v>2486.41</v>
      </c>
    </row>
    <row r="66" ht="15.75" customHeight="1">
      <c r="A66" s="54">
        <f t="shared" si="75"/>
        <v>60</v>
      </c>
      <c r="B66" s="55" t="s">
        <v>87</v>
      </c>
      <c r="C66" s="56">
        <v>44780.0</v>
      </c>
      <c r="D66" s="57">
        <f t="shared" si="63"/>
        <v>44780</v>
      </c>
      <c r="E66" s="58">
        <v>680.0</v>
      </c>
      <c r="F66" s="58">
        <v>1100.0</v>
      </c>
      <c r="G66" s="59">
        <f t="shared" si="7"/>
        <v>0.6181818182</v>
      </c>
      <c r="H66" s="58">
        <f>27495.5-1695</f>
        <v>25800.5</v>
      </c>
      <c r="I66" s="60">
        <f t="shared" si="8"/>
        <v>37.94191176</v>
      </c>
      <c r="J66" s="58">
        <v>9033.94</v>
      </c>
      <c r="K66" s="60">
        <f t="shared" si="9"/>
        <v>13.28520588</v>
      </c>
      <c r="L66" s="58">
        <f>12000+650+120+5850+1080+300</f>
        <v>20000</v>
      </c>
      <c r="M66" s="61">
        <f t="shared" si="25"/>
        <v>0.7751787756</v>
      </c>
      <c r="N66" s="62">
        <f t="shared" ref="N66:O66" si="80">Q66+U66</f>
        <v>-513.98</v>
      </c>
      <c r="O66" s="58">
        <f t="shared" si="80"/>
        <v>9033.94</v>
      </c>
      <c r="P66" s="63">
        <f t="shared" si="12"/>
        <v>8519.96</v>
      </c>
      <c r="Q66" s="64">
        <f t="shared" si="13"/>
        <v>-256.99</v>
      </c>
      <c r="R66" s="65">
        <f t="shared" si="14"/>
        <v>6323.758</v>
      </c>
      <c r="S66" s="66">
        <f t="shared" si="15"/>
        <v>3161.879</v>
      </c>
      <c r="T66" s="67">
        <f t="shared" si="16"/>
        <v>2904.889</v>
      </c>
      <c r="U66" s="62">
        <f t="shared" si="17"/>
        <v>-256.99</v>
      </c>
      <c r="V66" s="58">
        <f t="shared" si="18"/>
        <v>2710.182</v>
      </c>
      <c r="W66" s="63">
        <f t="shared" si="19"/>
        <v>2453.192</v>
      </c>
      <c r="X66" s="71">
        <v>-513.98</v>
      </c>
    </row>
    <row r="67" ht="15.75" customHeight="1">
      <c r="A67" s="38">
        <f t="shared" si="75"/>
        <v>61</v>
      </c>
      <c r="B67" s="39" t="s">
        <v>88</v>
      </c>
      <c r="C67" s="40">
        <v>44784.0</v>
      </c>
      <c r="D67" s="41">
        <f t="shared" si="63"/>
        <v>44784</v>
      </c>
      <c r="E67" s="42">
        <v>1100.0</v>
      </c>
      <c r="F67" s="42">
        <v>1100.0</v>
      </c>
      <c r="G67" s="43">
        <f t="shared" si="7"/>
        <v>1</v>
      </c>
      <c r="H67" s="42">
        <f>37691-3223</f>
        <v>34468</v>
      </c>
      <c r="I67" s="68">
        <f t="shared" si="8"/>
        <v>31.33454545</v>
      </c>
      <c r="J67" s="42">
        <v>11597.25</v>
      </c>
      <c r="K67" s="68">
        <f t="shared" si="9"/>
        <v>10.54295455</v>
      </c>
      <c r="L67" s="42">
        <f>9000+5675.41+500</f>
        <v>15175.41</v>
      </c>
      <c r="M67" s="46">
        <f t="shared" si="25"/>
        <v>0.4402753278</v>
      </c>
      <c r="N67" s="69">
        <f t="shared" ref="N67:O67" si="81">Q67+U67</f>
        <v>14172.28</v>
      </c>
      <c r="O67" s="42">
        <f t="shared" si="81"/>
        <v>11597.25</v>
      </c>
      <c r="P67" s="70">
        <f t="shared" si="12"/>
        <v>25769.53</v>
      </c>
      <c r="Q67" s="49">
        <f t="shared" si="13"/>
        <v>7086.14</v>
      </c>
      <c r="R67" s="50">
        <f t="shared" si="14"/>
        <v>8118.075</v>
      </c>
      <c r="S67" s="51">
        <f t="shared" si="15"/>
        <v>4059.0375</v>
      </c>
      <c r="T67" s="52">
        <f t="shared" si="16"/>
        <v>11145.1775</v>
      </c>
      <c r="U67" s="69">
        <f t="shared" si="17"/>
        <v>7086.14</v>
      </c>
      <c r="V67" s="42">
        <f t="shared" si="18"/>
        <v>3479.175</v>
      </c>
      <c r="W67" s="70">
        <f t="shared" si="19"/>
        <v>10565.315</v>
      </c>
      <c r="X67" s="53">
        <v>14172.28</v>
      </c>
    </row>
    <row r="68" ht="15.75" customHeight="1">
      <c r="A68" s="54">
        <f t="shared" si="75"/>
        <v>62</v>
      </c>
      <c r="B68" s="55" t="s">
        <v>89</v>
      </c>
      <c r="C68" s="56">
        <v>44786.0</v>
      </c>
      <c r="D68" s="57">
        <f t="shared" si="63"/>
        <v>44786</v>
      </c>
      <c r="E68" s="58">
        <v>177.0</v>
      </c>
      <c r="F68" s="58">
        <v>1100.0</v>
      </c>
      <c r="G68" s="59">
        <f t="shared" si="7"/>
        <v>0.1609090909</v>
      </c>
      <c r="H68" s="58">
        <f>7230.5-175</f>
        <v>7055.5</v>
      </c>
      <c r="I68" s="60">
        <f t="shared" si="8"/>
        <v>39.86158192</v>
      </c>
      <c r="J68" s="58">
        <v>2648.44</v>
      </c>
      <c r="K68" s="60">
        <f t="shared" si="9"/>
        <v>14.96293785</v>
      </c>
      <c r="L68" s="58">
        <f>6500+500</f>
        <v>7000</v>
      </c>
      <c r="M68" s="61">
        <f t="shared" si="25"/>
        <v>0.9921337963</v>
      </c>
      <c r="N68" s="62">
        <f t="shared" ref="N68:O68" si="82">Q68+U68</f>
        <v>-6932.49</v>
      </c>
      <c r="O68" s="58">
        <f t="shared" si="82"/>
        <v>2648.44</v>
      </c>
      <c r="P68" s="63">
        <f t="shared" si="12"/>
        <v>-4284.05</v>
      </c>
      <c r="Q68" s="64">
        <f t="shared" si="13"/>
        <v>-3466.245</v>
      </c>
      <c r="R68" s="65">
        <f t="shared" si="14"/>
        <v>1853.908</v>
      </c>
      <c r="S68" s="66">
        <f t="shared" si="15"/>
        <v>926.954</v>
      </c>
      <c r="T68" s="67">
        <f t="shared" si="16"/>
        <v>-2539.291</v>
      </c>
      <c r="U68" s="62">
        <f t="shared" si="17"/>
        <v>-3466.245</v>
      </c>
      <c r="V68" s="58">
        <f t="shared" si="18"/>
        <v>794.532</v>
      </c>
      <c r="W68" s="63">
        <f t="shared" si="19"/>
        <v>-2671.713</v>
      </c>
      <c r="X68" s="71">
        <v>-6932.49</v>
      </c>
    </row>
    <row r="69" ht="15.75" customHeight="1">
      <c r="A69" s="38">
        <f t="shared" si="75"/>
        <v>63</v>
      </c>
      <c r="B69" s="73" t="s">
        <v>90</v>
      </c>
      <c r="C69" s="74">
        <v>44792.0</v>
      </c>
      <c r="D69" s="41">
        <f t="shared" si="63"/>
        <v>44792</v>
      </c>
      <c r="E69" s="75">
        <v>468.0</v>
      </c>
      <c r="F69" s="58">
        <v>1100.0</v>
      </c>
      <c r="G69" s="43">
        <f t="shared" si="7"/>
        <v>0.4254545455</v>
      </c>
      <c r="H69" s="75">
        <v>13941.5</v>
      </c>
      <c r="I69" s="68">
        <f t="shared" si="8"/>
        <v>29.78952991</v>
      </c>
      <c r="J69" s="75">
        <v>7054.27</v>
      </c>
      <c r="K69" s="68">
        <f t="shared" si="9"/>
        <v>15.0732265</v>
      </c>
      <c r="L69" s="42">
        <f>5250</f>
        <v>5250</v>
      </c>
      <c r="M69" s="46">
        <f t="shared" si="25"/>
        <v>0.3765735394</v>
      </c>
      <c r="N69" s="69">
        <f t="shared" ref="N69:O69" si="83">Q69+U69</f>
        <v>137.29</v>
      </c>
      <c r="O69" s="42">
        <f t="shared" si="83"/>
        <v>7054.27</v>
      </c>
      <c r="P69" s="70">
        <f t="shared" si="12"/>
        <v>7191.56</v>
      </c>
      <c r="Q69" s="49">
        <f t="shared" si="13"/>
        <v>68.645</v>
      </c>
      <c r="R69" s="50">
        <f t="shared" si="14"/>
        <v>4937.989</v>
      </c>
      <c r="S69" s="51">
        <f t="shared" si="15"/>
        <v>2468.9945</v>
      </c>
      <c r="T69" s="52">
        <f t="shared" si="16"/>
        <v>2537.6395</v>
      </c>
      <c r="U69" s="69">
        <f t="shared" si="17"/>
        <v>68.645</v>
      </c>
      <c r="V69" s="42">
        <f t="shared" si="18"/>
        <v>2116.281</v>
      </c>
      <c r="W69" s="70">
        <f t="shared" si="19"/>
        <v>2184.926</v>
      </c>
      <c r="X69" s="76">
        <v>137.29</v>
      </c>
    </row>
    <row r="70" ht="15.75" customHeight="1">
      <c r="A70" s="54">
        <f t="shared" si="75"/>
        <v>64</v>
      </c>
      <c r="B70" s="77" t="s">
        <v>91</v>
      </c>
      <c r="C70" s="78">
        <v>44808.0</v>
      </c>
      <c r="D70" s="57">
        <f t="shared" si="63"/>
        <v>44808</v>
      </c>
      <c r="E70" s="79">
        <v>827.0</v>
      </c>
      <c r="F70" s="58">
        <v>1100.0</v>
      </c>
      <c r="G70" s="59">
        <f t="shared" si="7"/>
        <v>0.7518181818</v>
      </c>
      <c r="H70" s="79">
        <v>31264.0</v>
      </c>
      <c r="I70" s="60">
        <f t="shared" si="8"/>
        <v>37.80411125</v>
      </c>
      <c r="J70" s="79">
        <v>9100.6</v>
      </c>
      <c r="K70" s="60">
        <f t="shared" si="9"/>
        <v>11.00435308</v>
      </c>
      <c r="L70" s="58">
        <f>22000</f>
        <v>22000</v>
      </c>
      <c r="M70" s="61">
        <f t="shared" si="25"/>
        <v>0.7036847492</v>
      </c>
      <c r="N70" s="62">
        <f t="shared" ref="N70:O70" si="84">Q70+U70</f>
        <v>1175.96</v>
      </c>
      <c r="O70" s="58">
        <f t="shared" si="84"/>
        <v>9100.6</v>
      </c>
      <c r="P70" s="63">
        <f t="shared" si="12"/>
        <v>10276.56</v>
      </c>
      <c r="Q70" s="64">
        <f t="shared" si="13"/>
        <v>587.98</v>
      </c>
      <c r="R70" s="65">
        <f t="shared" si="14"/>
        <v>6370.42</v>
      </c>
      <c r="S70" s="66">
        <f t="shared" si="15"/>
        <v>3185.21</v>
      </c>
      <c r="T70" s="67">
        <f t="shared" si="16"/>
        <v>3773.19</v>
      </c>
      <c r="U70" s="62">
        <f t="shared" si="17"/>
        <v>587.98</v>
      </c>
      <c r="V70" s="58">
        <f t="shared" si="18"/>
        <v>2730.18</v>
      </c>
      <c r="W70" s="63">
        <f t="shared" si="19"/>
        <v>3318.16</v>
      </c>
      <c r="X70" s="76">
        <v>1175.96</v>
      </c>
    </row>
    <row r="71" ht="15.75" customHeight="1">
      <c r="A71" s="38">
        <f t="shared" si="75"/>
        <v>65</v>
      </c>
      <c r="B71" s="73" t="s">
        <v>92</v>
      </c>
      <c r="C71" s="74">
        <v>44810.0</v>
      </c>
      <c r="D71" s="41">
        <f t="shared" si="63"/>
        <v>44810</v>
      </c>
      <c r="E71" s="75">
        <v>826.0</v>
      </c>
      <c r="F71" s="58">
        <v>1100.0</v>
      </c>
      <c r="G71" s="43">
        <f t="shared" si="7"/>
        <v>0.7509090909</v>
      </c>
      <c r="H71" s="75">
        <v>24443.5</v>
      </c>
      <c r="I71" s="68">
        <f t="shared" si="8"/>
        <v>29.59261501</v>
      </c>
      <c r="J71" s="75">
        <v>6334.77</v>
      </c>
      <c r="K71" s="68">
        <f t="shared" si="9"/>
        <v>7.669213075</v>
      </c>
      <c r="L71" s="75">
        <v>10767.84</v>
      </c>
      <c r="M71" s="46">
        <f t="shared" si="25"/>
        <v>0.4405195655</v>
      </c>
      <c r="N71" s="69">
        <f t="shared" ref="N71:O71" si="85">Q71+U71</f>
        <v>5914.34</v>
      </c>
      <c r="O71" s="42">
        <f t="shared" si="85"/>
        <v>6334.77</v>
      </c>
      <c r="P71" s="70">
        <f t="shared" si="12"/>
        <v>12249.11</v>
      </c>
      <c r="Q71" s="49">
        <f t="shared" si="13"/>
        <v>2957.17</v>
      </c>
      <c r="R71" s="50">
        <f t="shared" si="14"/>
        <v>4434.339</v>
      </c>
      <c r="S71" s="51">
        <f t="shared" si="15"/>
        <v>2217.1695</v>
      </c>
      <c r="T71" s="52">
        <f t="shared" si="16"/>
        <v>5174.3395</v>
      </c>
      <c r="U71" s="69">
        <f t="shared" si="17"/>
        <v>2957.17</v>
      </c>
      <c r="V71" s="42">
        <f t="shared" si="18"/>
        <v>1900.431</v>
      </c>
      <c r="W71" s="70">
        <f t="shared" si="19"/>
        <v>4857.601</v>
      </c>
      <c r="X71" s="76">
        <v>5914.34</v>
      </c>
    </row>
    <row r="72" ht="15.75" customHeight="1">
      <c r="A72" s="54">
        <f t="shared" si="75"/>
        <v>66</v>
      </c>
      <c r="B72" s="77" t="s">
        <v>93</v>
      </c>
      <c r="C72" s="78">
        <v>44812.0</v>
      </c>
      <c r="D72" s="57">
        <f t="shared" si="63"/>
        <v>44812</v>
      </c>
      <c r="E72" s="79">
        <v>450.0</v>
      </c>
      <c r="F72" s="58">
        <v>1100.0</v>
      </c>
      <c r="G72" s="59">
        <f t="shared" si="7"/>
        <v>0.4090909091</v>
      </c>
      <c r="H72" s="79">
        <v>9298.0</v>
      </c>
      <c r="I72" s="60">
        <f t="shared" si="8"/>
        <v>20.66222222</v>
      </c>
      <c r="J72" s="79">
        <v>5677.83</v>
      </c>
      <c r="K72" s="60">
        <f t="shared" si="9"/>
        <v>12.6174</v>
      </c>
      <c r="L72" s="58">
        <f>4000+1000</f>
        <v>5000</v>
      </c>
      <c r="M72" s="61">
        <f t="shared" si="25"/>
        <v>0.5377500538</v>
      </c>
      <c r="N72" s="62">
        <f t="shared" ref="N72:O72" si="86">Q72+U72</f>
        <v>-3761.4</v>
      </c>
      <c r="O72" s="58">
        <f t="shared" si="86"/>
        <v>5677.83</v>
      </c>
      <c r="P72" s="63">
        <f t="shared" si="12"/>
        <v>1916.43</v>
      </c>
      <c r="Q72" s="64">
        <f t="shared" si="13"/>
        <v>-1880.7</v>
      </c>
      <c r="R72" s="65">
        <f t="shared" si="14"/>
        <v>3974.481</v>
      </c>
      <c r="S72" s="66">
        <f t="shared" si="15"/>
        <v>1987.2405</v>
      </c>
      <c r="T72" s="67">
        <f t="shared" si="16"/>
        <v>106.5405</v>
      </c>
      <c r="U72" s="62">
        <f t="shared" si="17"/>
        <v>-1880.7</v>
      </c>
      <c r="V72" s="58">
        <f t="shared" si="18"/>
        <v>1703.349</v>
      </c>
      <c r="W72" s="63">
        <f t="shared" si="19"/>
        <v>-177.351</v>
      </c>
      <c r="X72" s="76">
        <v>-3761.4</v>
      </c>
    </row>
    <row r="73" ht="15.75" customHeight="1">
      <c r="A73" s="38">
        <f t="shared" si="75"/>
        <v>67</v>
      </c>
      <c r="B73" s="73" t="s">
        <v>94</v>
      </c>
      <c r="C73" s="74">
        <v>44827.0</v>
      </c>
      <c r="D73" s="41">
        <f t="shared" si="63"/>
        <v>44827</v>
      </c>
      <c r="E73" s="75">
        <v>758.0</v>
      </c>
      <c r="F73" s="58">
        <v>1100.0</v>
      </c>
      <c r="G73" s="43">
        <f t="shared" si="7"/>
        <v>0.6890909091</v>
      </c>
      <c r="H73" s="75">
        <v>27682.66</v>
      </c>
      <c r="I73" s="68">
        <f t="shared" si="8"/>
        <v>36.52065963</v>
      </c>
      <c r="J73" s="75">
        <v>14036.73</v>
      </c>
      <c r="K73" s="68">
        <f t="shared" si="9"/>
        <v>18.51811346</v>
      </c>
      <c r="L73" s="42">
        <f>16095</f>
        <v>16095</v>
      </c>
      <c r="M73" s="46">
        <f t="shared" si="25"/>
        <v>0.5814108904</v>
      </c>
      <c r="N73" s="69">
        <f t="shared" ref="N73:O73" si="87">Q73+U73</f>
        <v>1018.81</v>
      </c>
      <c r="O73" s="42">
        <f t="shared" si="87"/>
        <v>14036.73</v>
      </c>
      <c r="P73" s="70">
        <f t="shared" si="12"/>
        <v>15055.54</v>
      </c>
      <c r="Q73" s="49">
        <f t="shared" si="13"/>
        <v>509.405</v>
      </c>
      <c r="R73" s="50">
        <f t="shared" si="14"/>
        <v>9825.711</v>
      </c>
      <c r="S73" s="51">
        <f t="shared" si="15"/>
        <v>4912.8555</v>
      </c>
      <c r="T73" s="52">
        <f t="shared" si="16"/>
        <v>5422.2605</v>
      </c>
      <c r="U73" s="69">
        <f t="shared" si="17"/>
        <v>509.405</v>
      </c>
      <c r="V73" s="42">
        <f t="shared" si="18"/>
        <v>4211.019</v>
      </c>
      <c r="W73" s="70">
        <f t="shared" si="19"/>
        <v>4720.424</v>
      </c>
      <c r="X73" s="76">
        <v>1018.81</v>
      </c>
    </row>
    <row r="74" ht="15.75" customHeight="1">
      <c r="A74" s="54">
        <f t="shared" si="75"/>
        <v>68</v>
      </c>
      <c r="B74" s="77" t="s">
        <v>95</v>
      </c>
      <c r="C74" s="78">
        <v>44831.0</v>
      </c>
      <c r="D74" s="57">
        <f t="shared" si="63"/>
        <v>44831</v>
      </c>
      <c r="E74" s="79">
        <v>936.0</v>
      </c>
      <c r="F74" s="58">
        <v>1100.0</v>
      </c>
      <c r="G74" s="59">
        <f t="shared" si="7"/>
        <v>0.8509090909</v>
      </c>
      <c r="H74" s="79">
        <v>31162.26</v>
      </c>
      <c r="I74" s="60">
        <f t="shared" si="8"/>
        <v>33.29301282</v>
      </c>
      <c r="J74" s="79">
        <v>15400.6</v>
      </c>
      <c r="K74" s="60">
        <f t="shared" si="9"/>
        <v>16.45363248</v>
      </c>
      <c r="L74" s="58">
        <f>10913.39+750</f>
        <v>11663.39</v>
      </c>
      <c r="M74" s="61">
        <f t="shared" si="25"/>
        <v>0.3742793366</v>
      </c>
      <c r="N74" s="62">
        <f t="shared" ref="N74:O74" si="88">Q74+U74</f>
        <v>10992.75</v>
      </c>
      <c r="O74" s="58">
        <f t="shared" si="88"/>
        <v>15400.6</v>
      </c>
      <c r="P74" s="63">
        <f t="shared" si="12"/>
        <v>26393.35</v>
      </c>
      <c r="Q74" s="64">
        <f t="shared" si="13"/>
        <v>5496.375</v>
      </c>
      <c r="R74" s="65">
        <f t="shared" si="14"/>
        <v>10780.42</v>
      </c>
      <c r="S74" s="66">
        <f t="shared" si="15"/>
        <v>5390.21</v>
      </c>
      <c r="T74" s="67">
        <f t="shared" si="16"/>
        <v>10886.585</v>
      </c>
      <c r="U74" s="62">
        <f t="shared" si="17"/>
        <v>5496.375</v>
      </c>
      <c r="V74" s="58">
        <f t="shared" si="18"/>
        <v>4620.18</v>
      </c>
      <c r="W74" s="63">
        <f t="shared" si="19"/>
        <v>10116.555</v>
      </c>
      <c r="X74" s="76">
        <v>10992.75</v>
      </c>
    </row>
    <row r="75" ht="15.75" customHeight="1">
      <c r="A75" s="38">
        <f t="shared" si="75"/>
        <v>69</v>
      </c>
      <c r="B75" s="73" t="s">
        <v>96</v>
      </c>
      <c r="C75" s="74">
        <v>44834.0</v>
      </c>
      <c r="D75" s="41">
        <f t="shared" si="63"/>
        <v>44834</v>
      </c>
      <c r="E75" s="75">
        <v>938.0</v>
      </c>
      <c r="F75" s="58">
        <v>1100.0</v>
      </c>
      <c r="G75" s="43">
        <f t="shared" si="7"/>
        <v>0.8527272727</v>
      </c>
      <c r="H75" s="75">
        <v>43547.0</v>
      </c>
      <c r="I75" s="68">
        <f t="shared" si="8"/>
        <v>46.42537313</v>
      </c>
      <c r="J75" s="75">
        <v>10789.43</v>
      </c>
      <c r="K75" s="68">
        <f t="shared" si="9"/>
        <v>11.50259062</v>
      </c>
      <c r="L75" s="42">
        <f>30000</f>
        <v>30000</v>
      </c>
      <c r="M75" s="46">
        <f t="shared" si="25"/>
        <v>0.688910832</v>
      </c>
      <c r="N75" s="69">
        <f t="shared" ref="N75:O75" si="89">Q75+U75</f>
        <v>6686.8</v>
      </c>
      <c r="O75" s="42">
        <f t="shared" si="89"/>
        <v>10789.43</v>
      </c>
      <c r="P75" s="70">
        <f t="shared" si="12"/>
        <v>17476.23</v>
      </c>
      <c r="Q75" s="49">
        <f t="shared" si="13"/>
        <v>3343.4</v>
      </c>
      <c r="R75" s="50">
        <f t="shared" si="14"/>
        <v>7552.601</v>
      </c>
      <c r="S75" s="51">
        <f t="shared" si="15"/>
        <v>3776.3005</v>
      </c>
      <c r="T75" s="52">
        <f t="shared" si="16"/>
        <v>7119.7005</v>
      </c>
      <c r="U75" s="69">
        <f t="shared" si="17"/>
        <v>3343.4</v>
      </c>
      <c r="V75" s="42">
        <f t="shared" si="18"/>
        <v>3236.829</v>
      </c>
      <c r="W75" s="70">
        <f t="shared" si="19"/>
        <v>6580.229</v>
      </c>
      <c r="X75" s="76">
        <v>6686.8</v>
      </c>
    </row>
    <row r="76" ht="15.75" customHeight="1">
      <c r="A76" s="54">
        <f t="shared" si="75"/>
        <v>70</v>
      </c>
      <c r="B76" s="77" t="s">
        <v>97</v>
      </c>
      <c r="C76" s="78">
        <v>44835.0</v>
      </c>
      <c r="D76" s="57">
        <f t="shared" si="63"/>
        <v>44835</v>
      </c>
      <c r="E76" s="79">
        <v>1030.0</v>
      </c>
      <c r="F76" s="58">
        <v>1100.0</v>
      </c>
      <c r="G76" s="59">
        <f t="shared" si="7"/>
        <v>0.9363636364</v>
      </c>
      <c r="H76" s="79">
        <v>33687.5</v>
      </c>
      <c r="I76" s="60">
        <f t="shared" si="8"/>
        <v>32.70631068</v>
      </c>
      <c r="J76" s="79">
        <v>16369.46</v>
      </c>
      <c r="K76" s="60">
        <f t="shared" si="9"/>
        <v>15.89267961</v>
      </c>
      <c r="L76" s="58">
        <f>13431.67</f>
        <v>13431.67</v>
      </c>
      <c r="M76" s="61">
        <f t="shared" si="25"/>
        <v>0.3987137662</v>
      </c>
      <c r="N76" s="62">
        <f t="shared" ref="N76:O76" si="90">Q76+U76</f>
        <v>11658.61</v>
      </c>
      <c r="O76" s="58">
        <f t="shared" si="90"/>
        <v>16369.46</v>
      </c>
      <c r="P76" s="63">
        <f t="shared" si="12"/>
        <v>28028.07</v>
      </c>
      <c r="Q76" s="64">
        <f t="shared" si="13"/>
        <v>5829.305</v>
      </c>
      <c r="R76" s="65">
        <f t="shared" si="14"/>
        <v>11458.622</v>
      </c>
      <c r="S76" s="66">
        <f t="shared" si="15"/>
        <v>5729.311</v>
      </c>
      <c r="T76" s="67">
        <f t="shared" si="16"/>
        <v>11558.616</v>
      </c>
      <c r="U76" s="62">
        <f t="shared" si="17"/>
        <v>5829.305</v>
      </c>
      <c r="V76" s="58">
        <f t="shared" si="18"/>
        <v>4910.838</v>
      </c>
      <c r="W76" s="63">
        <f t="shared" si="19"/>
        <v>10740.143</v>
      </c>
      <c r="X76" s="76">
        <v>11658.61</v>
      </c>
    </row>
    <row r="77" ht="15.75" customHeight="1">
      <c r="A77" s="38">
        <f t="shared" si="75"/>
        <v>71</v>
      </c>
      <c r="B77" s="73" t="s">
        <v>98</v>
      </c>
      <c r="C77" s="74">
        <v>44838.0</v>
      </c>
      <c r="D77" s="41">
        <f t="shared" si="63"/>
        <v>44838</v>
      </c>
      <c r="E77" s="75">
        <v>871.0</v>
      </c>
      <c r="F77" s="58">
        <v>1100.0</v>
      </c>
      <c r="G77" s="43">
        <f t="shared" si="7"/>
        <v>0.7918181818</v>
      </c>
      <c r="H77" s="75">
        <v>34250.0</v>
      </c>
      <c r="I77" s="68">
        <f t="shared" si="8"/>
        <v>39.32261768</v>
      </c>
      <c r="J77" s="75">
        <v>8509.9</v>
      </c>
      <c r="K77" s="68">
        <f t="shared" si="9"/>
        <v>9.770264064</v>
      </c>
      <c r="L77" s="42">
        <f>12958.17</f>
        <v>12958.17</v>
      </c>
      <c r="M77" s="46">
        <f t="shared" si="25"/>
        <v>0.3783407299</v>
      </c>
      <c r="N77" s="69">
        <f t="shared" ref="N77:O77" si="91">Q77+U77</f>
        <v>11920.94</v>
      </c>
      <c r="O77" s="42">
        <f t="shared" si="91"/>
        <v>8509.9</v>
      </c>
      <c r="P77" s="70">
        <f t="shared" si="12"/>
        <v>20430.84</v>
      </c>
      <c r="Q77" s="49">
        <f t="shared" si="13"/>
        <v>5960.47</v>
      </c>
      <c r="R77" s="50">
        <f t="shared" si="14"/>
        <v>5956.93</v>
      </c>
      <c r="S77" s="51">
        <f t="shared" si="15"/>
        <v>2978.465</v>
      </c>
      <c r="T77" s="52">
        <f t="shared" si="16"/>
        <v>8938.935</v>
      </c>
      <c r="U77" s="69">
        <f t="shared" si="17"/>
        <v>5960.47</v>
      </c>
      <c r="V77" s="42">
        <f t="shared" si="18"/>
        <v>2552.97</v>
      </c>
      <c r="W77" s="70">
        <f t="shared" si="19"/>
        <v>8513.44</v>
      </c>
      <c r="X77" s="76">
        <v>11920.94</v>
      </c>
    </row>
    <row r="78" ht="15.75" customHeight="1">
      <c r="A78" s="54">
        <f t="shared" si="75"/>
        <v>72</v>
      </c>
      <c r="B78" s="77" t="s">
        <v>99</v>
      </c>
      <c r="C78" s="78">
        <v>44840.0</v>
      </c>
      <c r="D78" s="57">
        <f t="shared" si="63"/>
        <v>44840</v>
      </c>
      <c r="E78" s="79">
        <v>355.0</v>
      </c>
      <c r="F78" s="58">
        <v>1100.0</v>
      </c>
      <c r="G78" s="59">
        <f t="shared" si="7"/>
        <v>0.3227272727</v>
      </c>
      <c r="H78" s="79">
        <v>11361.5</v>
      </c>
      <c r="I78" s="60">
        <f t="shared" si="8"/>
        <v>32.00422535</v>
      </c>
      <c r="J78" s="79">
        <v>8196.23</v>
      </c>
      <c r="K78" s="60">
        <f t="shared" si="9"/>
        <v>23.08797183</v>
      </c>
      <c r="L78" s="58">
        <f>6900</f>
        <v>6900</v>
      </c>
      <c r="M78" s="61">
        <f t="shared" si="25"/>
        <v>0.6073141751</v>
      </c>
      <c r="N78" s="62">
        <f t="shared" ref="N78:O78" si="92">Q78+U78</f>
        <v>8916.23</v>
      </c>
      <c r="O78" s="58">
        <f t="shared" si="92"/>
        <v>8196.23</v>
      </c>
      <c r="P78" s="63">
        <f t="shared" si="12"/>
        <v>17112.46</v>
      </c>
      <c r="Q78" s="64">
        <f t="shared" si="13"/>
        <v>4458.115</v>
      </c>
      <c r="R78" s="65">
        <f t="shared" si="14"/>
        <v>5737.361</v>
      </c>
      <c r="S78" s="66">
        <f t="shared" si="15"/>
        <v>2868.6805</v>
      </c>
      <c r="T78" s="67">
        <f t="shared" si="16"/>
        <v>7326.7955</v>
      </c>
      <c r="U78" s="62">
        <f t="shared" si="17"/>
        <v>4458.115</v>
      </c>
      <c r="V78" s="58">
        <f t="shared" si="18"/>
        <v>2458.869</v>
      </c>
      <c r="W78" s="63">
        <f t="shared" si="19"/>
        <v>6916.984</v>
      </c>
      <c r="X78" s="76">
        <v>8916.23</v>
      </c>
    </row>
    <row r="79" ht="15.75" customHeight="1">
      <c r="A79" s="38">
        <f t="shared" si="75"/>
        <v>73</v>
      </c>
      <c r="B79" s="73" t="s">
        <v>100</v>
      </c>
      <c r="C79" s="74">
        <v>44844.0</v>
      </c>
      <c r="D79" s="41">
        <f t="shared" si="63"/>
        <v>44844</v>
      </c>
      <c r="E79" s="75">
        <v>428.0</v>
      </c>
      <c r="F79" s="58">
        <v>1100.0</v>
      </c>
      <c r="G79" s="43">
        <f t="shared" si="7"/>
        <v>0.3890909091</v>
      </c>
      <c r="H79" s="75">
        <v>13978.0</v>
      </c>
      <c r="I79" s="68">
        <f t="shared" si="8"/>
        <v>32.6588785</v>
      </c>
      <c r="J79" s="75">
        <v>6174.52</v>
      </c>
      <c r="K79" s="68">
        <f t="shared" si="9"/>
        <v>14.4264486</v>
      </c>
      <c r="L79" s="42">
        <f>7000</f>
        <v>7000</v>
      </c>
      <c r="M79" s="46">
        <f t="shared" si="25"/>
        <v>0.5007869509</v>
      </c>
      <c r="N79" s="69">
        <f t="shared" ref="N79:O79" si="93">Q79+U79</f>
        <v>-646.65</v>
      </c>
      <c r="O79" s="42">
        <f t="shared" si="93"/>
        <v>6174.52</v>
      </c>
      <c r="P79" s="70">
        <f t="shared" si="12"/>
        <v>5527.87</v>
      </c>
      <c r="Q79" s="49">
        <f t="shared" si="13"/>
        <v>-323.325</v>
      </c>
      <c r="R79" s="50">
        <f t="shared" si="14"/>
        <v>4322.164</v>
      </c>
      <c r="S79" s="51">
        <f t="shared" si="15"/>
        <v>2161.082</v>
      </c>
      <c r="T79" s="52">
        <f t="shared" si="16"/>
        <v>1837.757</v>
      </c>
      <c r="U79" s="69">
        <f t="shared" si="17"/>
        <v>-323.325</v>
      </c>
      <c r="V79" s="42">
        <f t="shared" si="18"/>
        <v>1852.356</v>
      </c>
      <c r="W79" s="70">
        <f t="shared" si="19"/>
        <v>1529.031</v>
      </c>
      <c r="X79" s="76">
        <v>-646.65</v>
      </c>
    </row>
    <row r="80" ht="15.75" customHeight="1">
      <c r="A80" s="54">
        <f t="shared" si="75"/>
        <v>74</v>
      </c>
      <c r="B80" s="77" t="s">
        <v>101</v>
      </c>
      <c r="C80" s="78">
        <v>44847.0</v>
      </c>
      <c r="D80" s="57">
        <f t="shared" si="63"/>
        <v>44847</v>
      </c>
      <c r="E80" s="79">
        <v>387.0</v>
      </c>
      <c r="F80" s="58">
        <v>1100.0</v>
      </c>
      <c r="G80" s="59">
        <f t="shared" si="7"/>
        <v>0.3518181818</v>
      </c>
      <c r="H80" s="79">
        <v>12635.5</v>
      </c>
      <c r="I80" s="60">
        <f t="shared" si="8"/>
        <v>32.6498708</v>
      </c>
      <c r="J80" s="79">
        <v>8796.16</v>
      </c>
      <c r="K80" s="60">
        <f t="shared" si="9"/>
        <v>22.72909561</v>
      </c>
      <c r="L80" s="58">
        <f>5000</f>
        <v>5000</v>
      </c>
      <c r="M80" s="61">
        <f t="shared" si="25"/>
        <v>0.3957104982</v>
      </c>
      <c r="N80" s="62">
        <f t="shared" ref="N80:O80" si="94">Q80+U80</f>
        <v>-1500.53</v>
      </c>
      <c r="O80" s="58">
        <f t="shared" si="94"/>
        <v>8796.16</v>
      </c>
      <c r="P80" s="63">
        <f t="shared" si="12"/>
        <v>7295.63</v>
      </c>
      <c r="Q80" s="64">
        <f t="shared" si="13"/>
        <v>-750.265</v>
      </c>
      <c r="R80" s="65">
        <f t="shared" si="14"/>
        <v>6157.312</v>
      </c>
      <c r="S80" s="66">
        <f t="shared" si="15"/>
        <v>3078.656</v>
      </c>
      <c r="T80" s="67">
        <f t="shared" si="16"/>
        <v>2328.391</v>
      </c>
      <c r="U80" s="62">
        <f t="shared" si="17"/>
        <v>-750.265</v>
      </c>
      <c r="V80" s="58">
        <f t="shared" si="18"/>
        <v>2638.848</v>
      </c>
      <c r="W80" s="63">
        <f t="shared" si="19"/>
        <v>1888.583</v>
      </c>
      <c r="X80" s="76">
        <v>-1500.53</v>
      </c>
    </row>
    <row r="81" ht="15.75" customHeight="1">
      <c r="A81" s="38">
        <f t="shared" si="75"/>
        <v>75</v>
      </c>
      <c r="B81" s="73" t="s">
        <v>102</v>
      </c>
      <c r="C81" s="74">
        <v>44849.0</v>
      </c>
      <c r="D81" s="41">
        <f t="shared" si="63"/>
        <v>44849</v>
      </c>
      <c r="E81" s="75">
        <v>548.0</v>
      </c>
      <c r="F81" s="58">
        <v>1100.0</v>
      </c>
      <c r="G81" s="43">
        <f t="shared" si="7"/>
        <v>0.4981818182</v>
      </c>
      <c r="H81" s="75">
        <v>15772.5</v>
      </c>
      <c r="I81" s="68">
        <f t="shared" si="8"/>
        <v>28.78193431</v>
      </c>
      <c r="J81" s="75">
        <v>8796.33</v>
      </c>
      <c r="K81" s="68">
        <f t="shared" si="9"/>
        <v>16.05169708</v>
      </c>
      <c r="L81" s="42">
        <f>7500+1000</f>
        <v>8500</v>
      </c>
      <c r="M81" s="46">
        <f t="shared" si="25"/>
        <v>0.5389126644</v>
      </c>
      <c r="N81" s="69">
        <f t="shared" ref="N81:O81" si="95">Q81+U81</f>
        <v>-211.48</v>
      </c>
      <c r="O81" s="42">
        <f t="shared" si="95"/>
        <v>8796.33</v>
      </c>
      <c r="P81" s="70">
        <f t="shared" si="12"/>
        <v>8584.85</v>
      </c>
      <c r="Q81" s="49">
        <f t="shared" si="13"/>
        <v>-105.74</v>
      </c>
      <c r="R81" s="50">
        <f t="shared" si="14"/>
        <v>6157.431</v>
      </c>
      <c r="S81" s="51">
        <f t="shared" si="15"/>
        <v>3078.7155</v>
      </c>
      <c r="T81" s="52">
        <f t="shared" si="16"/>
        <v>2972.9755</v>
      </c>
      <c r="U81" s="69">
        <f t="shared" si="17"/>
        <v>-105.74</v>
      </c>
      <c r="V81" s="42">
        <f t="shared" si="18"/>
        <v>2638.899</v>
      </c>
      <c r="W81" s="70">
        <f t="shared" si="19"/>
        <v>2533.159</v>
      </c>
      <c r="X81" s="76">
        <v>-211.48</v>
      </c>
    </row>
    <row r="82" ht="15.75" customHeight="1">
      <c r="A82" s="54">
        <f t="shared" si="75"/>
        <v>76</v>
      </c>
      <c r="B82" s="77" t="s">
        <v>103</v>
      </c>
      <c r="C82" s="78">
        <v>44851.0</v>
      </c>
      <c r="D82" s="57">
        <f t="shared" si="63"/>
        <v>44851</v>
      </c>
      <c r="E82" s="79">
        <v>875.0</v>
      </c>
      <c r="F82" s="58">
        <v>1100.0</v>
      </c>
      <c r="G82" s="59">
        <f t="shared" si="7"/>
        <v>0.7954545455</v>
      </c>
      <c r="H82" s="79">
        <v>36347.0</v>
      </c>
      <c r="I82" s="60">
        <f t="shared" si="8"/>
        <v>41.53942857</v>
      </c>
      <c r="J82" s="79">
        <v>15542.77</v>
      </c>
      <c r="K82" s="60">
        <f t="shared" si="9"/>
        <v>17.76316571</v>
      </c>
      <c r="L82" s="58">
        <f>7250+7250</f>
        <v>14500</v>
      </c>
      <c r="M82" s="61">
        <f t="shared" si="25"/>
        <v>0.3989325116</v>
      </c>
      <c r="N82" s="62">
        <f t="shared" ref="N82:O82" si="96">Q82+U82</f>
        <v>8541.36</v>
      </c>
      <c r="O82" s="58">
        <f t="shared" si="96"/>
        <v>15542.77</v>
      </c>
      <c r="P82" s="63">
        <f t="shared" si="12"/>
        <v>24084.13</v>
      </c>
      <c r="Q82" s="64">
        <f t="shared" si="13"/>
        <v>4270.68</v>
      </c>
      <c r="R82" s="65">
        <f t="shared" si="14"/>
        <v>10879.939</v>
      </c>
      <c r="S82" s="66">
        <f t="shared" si="15"/>
        <v>5439.9695</v>
      </c>
      <c r="T82" s="67">
        <f t="shared" si="16"/>
        <v>9710.6495</v>
      </c>
      <c r="U82" s="62">
        <f t="shared" si="17"/>
        <v>4270.68</v>
      </c>
      <c r="V82" s="58">
        <f t="shared" si="18"/>
        <v>4662.831</v>
      </c>
      <c r="W82" s="63">
        <f t="shared" si="19"/>
        <v>8933.511</v>
      </c>
      <c r="X82" s="76">
        <v>8541.36</v>
      </c>
    </row>
    <row r="83" ht="15.75" customHeight="1">
      <c r="A83" s="38">
        <f t="shared" si="75"/>
        <v>77</v>
      </c>
      <c r="B83" s="73" t="s">
        <v>104</v>
      </c>
      <c r="C83" s="74">
        <v>44854.0</v>
      </c>
      <c r="D83" s="41">
        <f t="shared" si="63"/>
        <v>44854</v>
      </c>
      <c r="E83" s="75">
        <v>1124.0</v>
      </c>
      <c r="F83" s="58">
        <v>1100.0</v>
      </c>
      <c r="G83" s="43">
        <f t="shared" si="7"/>
        <v>1.021818182</v>
      </c>
      <c r="H83" s="75">
        <v>39464.26</v>
      </c>
      <c r="I83" s="68">
        <f t="shared" si="8"/>
        <v>35.1105516</v>
      </c>
      <c r="J83" s="75">
        <v>16340.7</v>
      </c>
      <c r="K83" s="68">
        <f t="shared" si="9"/>
        <v>14.53798932</v>
      </c>
      <c r="L83" s="42">
        <f>13000</f>
        <v>13000</v>
      </c>
      <c r="M83" s="46">
        <f t="shared" si="25"/>
        <v>0.3294119793</v>
      </c>
      <c r="N83" s="69">
        <f t="shared" ref="N83:O83" si="97">Q83+U83</f>
        <v>11032.4</v>
      </c>
      <c r="O83" s="42">
        <f t="shared" si="97"/>
        <v>16340.7</v>
      </c>
      <c r="P83" s="70">
        <f t="shared" si="12"/>
        <v>27373.1</v>
      </c>
      <c r="Q83" s="49">
        <f t="shared" si="13"/>
        <v>5516.2</v>
      </c>
      <c r="R83" s="50">
        <f t="shared" si="14"/>
        <v>11438.49</v>
      </c>
      <c r="S83" s="51">
        <f t="shared" si="15"/>
        <v>5719.245</v>
      </c>
      <c r="T83" s="52">
        <f t="shared" si="16"/>
        <v>11235.445</v>
      </c>
      <c r="U83" s="69">
        <f t="shared" si="17"/>
        <v>5516.2</v>
      </c>
      <c r="V83" s="42">
        <f t="shared" si="18"/>
        <v>4902.21</v>
      </c>
      <c r="W83" s="70">
        <f t="shared" si="19"/>
        <v>10418.41</v>
      </c>
      <c r="X83" s="76">
        <v>11032.4</v>
      </c>
    </row>
    <row r="84" ht="15.75" customHeight="1">
      <c r="A84" s="54">
        <f t="shared" si="75"/>
        <v>78</v>
      </c>
      <c r="B84" s="77" t="s">
        <v>105</v>
      </c>
      <c r="C84" s="78">
        <v>44855.0</v>
      </c>
      <c r="D84" s="57">
        <f t="shared" si="63"/>
        <v>44855</v>
      </c>
      <c r="E84" s="79">
        <v>325.0</v>
      </c>
      <c r="F84" s="58">
        <v>1100.0</v>
      </c>
      <c r="G84" s="59">
        <f t="shared" si="7"/>
        <v>0.2954545455</v>
      </c>
      <c r="H84" s="79">
        <v>10849.32</v>
      </c>
      <c r="I84" s="60">
        <f t="shared" si="8"/>
        <v>33.38252308</v>
      </c>
      <c r="J84" s="79">
        <v>5098.64</v>
      </c>
      <c r="K84" s="60">
        <f t="shared" si="9"/>
        <v>15.68812308</v>
      </c>
      <c r="L84" s="58">
        <f>5900</f>
        <v>5900</v>
      </c>
      <c r="M84" s="61">
        <f t="shared" si="25"/>
        <v>0.5438128841</v>
      </c>
      <c r="N84" s="62">
        <f t="shared" ref="N84:O84" si="98">Q84+U84</f>
        <v>-3568.26</v>
      </c>
      <c r="O84" s="58">
        <f t="shared" si="98"/>
        <v>5098.64</v>
      </c>
      <c r="P84" s="63">
        <f t="shared" si="12"/>
        <v>1530.38</v>
      </c>
      <c r="Q84" s="64">
        <f t="shared" si="13"/>
        <v>-1784.13</v>
      </c>
      <c r="R84" s="65">
        <f t="shared" si="14"/>
        <v>3569.048</v>
      </c>
      <c r="S84" s="66">
        <f t="shared" si="15"/>
        <v>1784.524</v>
      </c>
      <c r="T84" s="67">
        <f t="shared" si="16"/>
        <v>0.394</v>
      </c>
      <c r="U84" s="62">
        <f t="shared" si="17"/>
        <v>-1784.13</v>
      </c>
      <c r="V84" s="58">
        <f t="shared" si="18"/>
        <v>1529.592</v>
      </c>
      <c r="W84" s="63">
        <f t="shared" si="19"/>
        <v>-254.538</v>
      </c>
      <c r="X84" s="76">
        <v>-3568.26</v>
      </c>
    </row>
    <row r="85" ht="15.75" customHeight="1">
      <c r="A85" s="38">
        <f t="shared" si="75"/>
        <v>79</v>
      </c>
      <c r="B85" s="73" t="s">
        <v>106</v>
      </c>
      <c r="C85" s="74">
        <v>44860.0</v>
      </c>
      <c r="D85" s="41">
        <f t="shared" si="63"/>
        <v>44860</v>
      </c>
      <c r="E85" s="75">
        <v>291.0</v>
      </c>
      <c r="F85" s="58">
        <v>1100.0</v>
      </c>
      <c r="G85" s="43">
        <f t="shared" si="7"/>
        <v>0.2645454545</v>
      </c>
      <c r="H85" s="75">
        <v>10393.5</v>
      </c>
      <c r="I85" s="68">
        <f t="shared" si="8"/>
        <v>35.71649485</v>
      </c>
      <c r="J85" s="75">
        <v>8187.63</v>
      </c>
      <c r="K85" s="68">
        <f t="shared" si="9"/>
        <v>28.13618557</v>
      </c>
      <c r="L85" s="42">
        <f>8000</f>
        <v>8000</v>
      </c>
      <c r="M85" s="46">
        <f t="shared" si="25"/>
        <v>0.7697118391</v>
      </c>
      <c r="N85" s="69">
        <f t="shared" ref="N85:O85" si="99">Q85+U85</f>
        <v>-4800.9</v>
      </c>
      <c r="O85" s="42">
        <f t="shared" si="99"/>
        <v>8187.63</v>
      </c>
      <c r="P85" s="70">
        <f t="shared" si="12"/>
        <v>3386.73</v>
      </c>
      <c r="Q85" s="49">
        <f t="shared" si="13"/>
        <v>-2400.45</v>
      </c>
      <c r="R85" s="50">
        <f t="shared" si="14"/>
        <v>5731.341</v>
      </c>
      <c r="S85" s="51">
        <f t="shared" si="15"/>
        <v>2865.6705</v>
      </c>
      <c r="T85" s="52">
        <f t="shared" si="16"/>
        <v>465.2205</v>
      </c>
      <c r="U85" s="69">
        <f t="shared" si="17"/>
        <v>-2400.45</v>
      </c>
      <c r="V85" s="42">
        <f t="shared" si="18"/>
        <v>2456.289</v>
      </c>
      <c r="W85" s="70">
        <f t="shared" si="19"/>
        <v>55.839</v>
      </c>
      <c r="X85" s="76">
        <v>-4800.9</v>
      </c>
    </row>
    <row r="86" ht="15.75" customHeight="1">
      <c r="A86" s="54">
        <f t="shared" si="75"/>
        <v>80</v>
      </c>
      <c r="B86" s="77" t="s">
        <v>107</v>
      </c>
      <c r="C86" s="78">
        <v>44863.0</v>
      </c>
      <c r="D86" s="57">
        <f t="shared" si="63"/>
        <v>44863</v>
      </c>
      <c r="E86" s="79">
        <v>627.0</v>
      </c>
      <c r="F86" s="58">
        <v>1100.0</v>
      </c>
      <c r="G86" s="59">
        <f t="shared" si="7"/>
        <v>0.57</v>
      </c>
      <c r="H86" s="79">
        <v>21509.0</v>
      </c>
      <c r="I86" s="60">
        <f t="shared" si="8"/>
        <v>34.3046252</v>
      </c>
      <c r="J86" s="79">
        <v>14787.24</v>
      </c>
      <c r="K86" s="60">
        <f t="shared" si="9"/>
        <v>23.58411483</v>
      </c>
      <c r="L86" s="58">
        <f>400</f>
        <v>400</v>
      </c>
      <c r="M86" s="61">
        <f t="shared" si="25"/>
        <v>0.01859686643</v>
      </c>
      <c r="N86" s="62">
        <f t="shared" ref="N86:O86" si="100">Q86+U86</f>
        <v>5298.92</v>
      </c>
      <c r="O86" s="58">
        <f t="shared" si="100"/>
        <v>14787.24</v>
      </c>
      <c r="P86" s="63">
        <f t="shared" si="12"/>
        <v>20086.16</v>
      </c>
      <c r="Q86" s="64">
        <f t="shared" si="13"/>
        <v>2649.46</v>
      </c>
      <c r="R86" s="65">
        <f t="shared" si="14"/>
        <v>10351.068</v>
      </c>
      <c r="S86" s="66">
        <f t="shared" si="15"/>
        <v>5175.534</v>
      </c>
      <c r="T86" s="67">
        <f t="shared" si="16"/>
        <v>7824.994</v>
      </c>
      <c r="U86" s="62">
        <f t="shared" si="17"/>
        <v>2649.46</v>
      </c>
      <c r="V86" s="58">
        <f t="shared" si="18"/>
        <v>4436.172</v>
      </c>
      <c r="W86" s="63">
        <f t="shared" si="19"/>
        <v>7085.632</v>
      </c>
      <c r="X86" s="76">
        <v>5298.92</v>
      </c>
    </row>
    <row r="87" ht="15.75" customHeight="1">
      <c r="A87" s="38">
        <f t="shared" si="75"/>
        <v>81</v>
      </c>
      <c r="B87" s="73" t="s">
        <v>108</v>
      </c>
      <c r="C87" s="74">
        <v>44867.0</v>
      </c>
      <c r="D87" s="41">
        <f t="shared" si="63"/>
        <v>44867</v>
      </c>
      <c r="E87" s="75">
        <v>736.0</v>
      </c>
      <c r="F87" s="58">
        <v>1100.0</v>
      </c>
      <c r="G87" s="43">
        <f t="shared" si="7"/>
        <v>0.6690909091</v>
      </c>
      <c r="H87" s="75">
        <v>47019.16</v>
      </c>
      <c r="I87" s="68">
        <f t="shared" si="8"/>
        <v>63.88472826</v>
      </c>
      <c r="J87" s="75">
        <v>9164.62</v>
      </c>
      <c r="K87" s="68">
        <f t="shared" si="9"/>
        <v>12.45192935</v>
      </c>
      <c r="L87" s="42">
        <f>30500</f>
        <v>30500</v>
      </c>
      <c r="M87" s="46">
        <f t="shared" si="25"/>
        <v>0.648671733</v>
      </c>
      <c r="N87" s="69">
        <f t="shared" ref="N87:O87" si="101">Q87+U87</f>
        <v>-11789.91</v>
      </c>
      <c r="O87" s="42">
        <f t="shared" si="101"/>
        <v>9164.62</v>
      </c>
      <c r="P87" s="70">
        <f t="shared" si="12"/>
        <v>-2625.29</v>
      </c>
      <c r="Q87" s="49">
        <f t="shared" si="13"/>
        <v>-5894.955</v>
      </c>
      <c r="R87" s="50">
        <f t="shared" si="14"/>
        <v>6415.234</v>
      </c>
      <c r="S87" s="51">
        <f t="shared" si="15"/>
        <v>3207.617</v>
      </c>
      <c r="T87" s="52">
        <f t="shared" si="16"/>
        <v>-2687.338</v>
      </c>
      <c r="U87" s="69">
        <f t="shared" si="17"/>
        <v>-5894.955</v>
      </c>
      <c r="V87" s="42">
        <f t="shared" si="18"/>
        <v>2749.386</v>
      </c>
      <c r="W87" s="70">
        <f t="shared" si="19"/>
        <v>-3145.569</v>
      </c>
      <c r="X87" s="76">
        <v>-11789.91</v>
      </c>
    </row>
    <row r="88" ht="15.75" customHeight="1">
      <c r="A88" s="54">
        <f t="shared" si="75"/>
        <v>82</v>
      </c>
      <c r="B88" s="77" t="s">
        <v>109</v>
      </c>
      <c r="C88" s="78">
        <v>44869.0</v>
      </c>
      <c r="D88" s="57">
        <f t="shared" si="63"/>
        <v>44869</v>
      </c>
      <c r="E88" s="79">
        <v>1100.0</v>
      </c>
      <c r="F88" s="58">
        <v>1100.0</v>
      </c>
      <c r="G88" s="59">
        <f t="shared" si="7"/>
        <v>1</v>
      </c>
      <c r="H88" s="79">
        <v>34399.5</v>
      </c>
      <c r="I88" s="60"/>
      <c r="J88" s="79">
        <v>8966.11</v>
      </c>
      <c r="K88" s="60"/>
      <c r="L88" s="58">
        <f>1000+1000</f>
        <v>2000</v>
      </c>
      <c r="M88" s="61">
        <f t="shared" si="25"/>
        <v>0.05814037995</v>
      </c>
      <c r="N88" s="62">
        <f t="shared" ref="N88:O88" si="102">Q88+U88</f>
        <v>10154.63</v>
      </c>
      <c r="O88" s="58">
        <f t="shared" si="102"/>
        <v>8966.11</v>
      </c>
      <c r="P88" s="63">
        <f t="shared" si="12"/>
        <v>19120.74</v>
      </c>
      <c r="Q88" s="64">
        <f t="shared" si="13"/>
        <v>5077.315</v>
      </c>
      <c r="R88" s="65">
        <f t="shared" si="14"/>
        <v>6276.277</v>
      </c>
      <c r="S88" s="66">
        <f t="shared" si="15"/>
        <v>3138.1385</v>
      </c>
      <c r="T88" s="67">
        <f t="shared" si="16"/>
        <v>8215.4535</v>
      </c>
      <c r="U88" s="62">
        <f t="shared" si="17"/>
        <v>5077.315</v>
      </c>
      <c r="V88" s="58">
        <f t="shared" si="18"/>
        <v>2689.833</v>
      </c>
      <c r="W88" s="63">
        <f t="shared" si="19"/>
        <v>7767.148</v>
      </c>
      <c r="X88" s="76">
        <v>10154.63</v>
      </c>
    </row>
    <row r="89" ht="15.75" customHeight="1">
      <c r="A89" s="38">
        <f t="shared" si="75"/>
        <v>83</v>
      </c>
      <c r="B89" s="73" t="s">
        <v>110</v>
      </c>
      <c r="C89" s="74">
        <v>44872.0</v>
      </c>
      <c r="D89" s="41">
        <f t="shared" si="63"/>
        <v>44872</v>
      </c>
      <c r="E89" s="75">
        <v>428.0</v>
      </c>
      <c r="F89" s="58">
        <v>1100.0</v>
      </c>
      <c r="G89" s="43">
        <f t="shared" si="7"/>
        <v>0.3890909091</v>
      </c>
      <c r="H89" s="75">
        <v>13786.5</v>
      </c>
      <c r="I89" s="68">
        <f t="shared" ref="I89:I107" si="104">IFERROR(H89/E89,"")</f>
        <v>32.2114486</v>
      </c>
      <c r="J89" s="75">
        <v>5896.73</v>
      </c>
      <c r="K89" s="68">
        <f t="shared" ref="K89:K107" si="105">IFERROR(J89/E89,"")</f>
        <v>13.77740654</v>
      </c>
      <c r="L89" s="42">
        <f>700</f>
        <v>700</v>
      </c>
      <c r="M89" s="46">
        <f t="shared" si="25"/>
        <v>0.0507743082</v>
      </c>
      <c r="N89" s="69">
        <f t="shared" ref="N89:O89" si="103">Q89+U89</f>
        <v>-646.52</v>
      </c>
      <c r="O89" s="42">
        <f t="shared" si="103"/>
        <v>5896.73</v>
      </c>
      <c r="P89" s="70">
        <f t="shared" si="12"/>
        <v>5250.21</v>
      </c>
      <c r="Q89" s="49">
        <f t="shared" si="13"/>
        <v>-323.26</v>
      </c>
      <c r="R89" s="50">
        <f t="shared" si="14"/>
        <v>4127.711</v>
      </c>
      <c r="S89" s="51">
        <f t="shared" si="15"/>
        <v>2063.8555</v>
      </c>
      <c r="T89" s="52">
        <f t="shared" si="16"/>
        <v>1740.5955</v>
      </c>
      <c r="U89" s="69">
        <f t="shared" si="17"/>
        <v>-323.26</v>
      </c>
      <c r="V89" s="42">
        <f t="shared" si="18"/>
        <v>1769.019</v>
      </c>
      <c r="W89" s="70">
        <f t="shared" si="19"/>
        <v>1445.759</v>
      </c>
      <c r="X89" s="76">
        <v>-646.52</v>
      </c>
    </row>
    <row r="90" ht="15.75" customHeight="1">
      <c r="A90" s="54">
        <f t="shared" si="75"/>
        <v>84</v>
      </c>
      <c r="B90" s="77" t="s">
        <v>111</v>
      </c>
      <c r="C90" s="78">
        <v>44873.0</v>
      </c>
      <c r="D90" s="57">
        <f t="shared" si="63"/>
        <v>44873</v>
      </c>
      <c r="E90" s="79">
        <v>708.0</v>
      </c>
      <c r="F90" s="58">
        <v>1100.0</v>
      </c>
      <c r="G90" s="59">
        <f t="shared" si="7"/>
        <v>0.6436363636</v>
      </c>
      <c r="H90" s="79">
        <v>25927.5</v>
      </c>
      <c r="I90" s="60">
        <f t="shared" si="104"/>
        <v>36.62076271</v>
      </c>
      <c r="J90" s="79">
        <v>6839.95</v>
      </c>
      <c r="K90" s="60">
        <f t="shared" si="105"/>
        <v>9.660946328</v>
      </c>
      <c r="L90" s="58">
        <f>15000</f>
        <v>15000</v>
      </c>
      <c r="M90" s="61">
        <f t="shared" si="25"/>
        <v>0.5785363032</v>
      </c>
      <c r="N90" s="62">
        <f t="shared" ref="N90:O90" si="106">Q90+U90</f>
        <v>2619.23</v>
      </c>
      <c r="O90" s="58">
        <f t="shared" si="106"/>
        <v>6839.95</v>
      </c>
      <c r="P90" s="63">
        <f t="shared" si="12"/>
        <v>9459.18</v>
      </c>
      <c r="Q90" s="64">
        <f t="shared" si="13"/>
        <v>1309.615</v>
      </c>
      <c r="R90" s="65">
        <f t="shared" si="14"/>
        <v>4787.965</v>
      </c>
      <c r="S90" s="66">
        <f t="shared" si="15"/>
        <v>2393.9825</v>
      </c>
      <c r="T90" s="67">
        <f t="shared" si="16"/>
        <v>3703.5975</v>
      </c>
      <c r="U90" s="62">
        <f t="shared" si="17"/>
        <v>1309.615</v>
      </c>
      <c r="V90" s="58">
        <f t="shared" si="18"/>
        <v>2051.985</v>
      </c>
      <c r="W90" s="63">
        <f t="shared" si="19"/>
        <v>3361.6</v>
      </c>
      <c r="X90" s="76">
        <v>2619.23</v>
      </c>
    </row>
    <row r="91" ht="15.75" customHeight="1">
      <c r="A91" s="38">
        <f t="shared" si="75"/>
        <v>85</v>
      </c>
      <c r="B91" s="73" t="s">
        <v>112</v>
      </c>
      <c r="C91" s="74">
        <v>44874.0</v>
      </c>
      <c r="D91" s="41">
        <f t="shared" si="63"/>
        <v>44874</v>
      </c>
      <c r="E91" s="75">
        <v>1100.0</v>
      </c>
      <c r="F91" s="58">
        <v>1100.0</v>
      </c>
      <c r="G91" s="43">
        <f t="shared" si="7"/>
        <v>1</v>
      </c>
      <c r="H91" s="75">
        <v>33913.5</v>
      </c>
      <c r="I91" s="68">
        <f t="shared" si="104"/>
        <v>30.83045455</v>
      </c>
      <c r="J91" s="75">
        <v>7480.42</v>
      </c>
      <c r="K91" s="68">
        <f t="shared" si="105"/>
        <v>6.800381818</v>
      </c>
      <c r="L91" s="42">
        <f>14000</f>
        <v>14000</v>
      </c>
      <c r="M91" s="46">
        <f t="shared" si="25"/>
        <v>0.4128149557</v>
      </c>
      <c r="N91" s="69">
        <f t="shared" ref="N91:O91" si="107">Q91+U91</f>
        <v>10193.09</v>
      </c>
      <c r="O91" s="42">
        <f t="shared" si="107"/>
        <v>7480.42</v>
      </c>
      <c r="P91" s="70">
        <f t="shared" si="12"/>
        <v>17673.51</v>
      </c>
      <c r="Q91" s="49">
        <f t="shared" si="13"/>
        <v>5096.545</v>
      </c>
      <c r="R91" s="50">
        <f t="shared" si="14"/>
        <v>5236.294</v>
      </c>
      <c r="S91" s="51">
        <f t="shared" si="15"/>
        <v>2618.147</v>
      </c>
      <c r="T91" s="52">
        <f t="shared" si="16"/>
        <v>7714.692</v>
      </c>
      <c r="U91" s="69">
        <f t="shared" si="17"/>
        <v>5096.545</v>
      </c>
      <c r="V91" s="42">
        <f t="shared" si="18"/>
        <v>2244.126</v>
      </c>
      <c r="W91" s="70">
        <f t="shared" si="19"/>
        <v>7340.671</v>
      </c>
      <c r="X91" s="76">
        <v>10193.09</v>
      </c>
    </row>
    <row r="92" ht="15.75" customHeight="1">
      <c r="A92" s="54">
        <f t="shared" si="75"/>
        <v>86</v>
      </c>
      <c r="B92" s="77" t="s">
        <v>113</v>
      </c>
      <c r="C92" s="78">
        <v>44877.0</v>
      </c>
      <c r="D92" s="57">
        <f t="shared" si="63"/>
        <v>44877</v>
      </c>
      <c r="E92" s="79">
        <v>362.0</v>
      </c>
      <c r="F92" s="58">
        <v>1100.0</v>
      </c>
      <c r="G92" s="59">
        <f t="shared" si="7"/>
        <v>0.3290909091</v>
      </c>
      <c r="H92" s="79">
        <v>9346.0</v>
      </c>
      <c r="I92" s="60">
        <f t="shared" si="104"/>
        <v>25.81767956</v>
      </c>
      <c r="J92" s="79">
        <v>3294.99</v>
      </c>
      <c r="K92" s="60">
        <f t="shared" si="105"/>
        <v>9.10218232</v>
      </c>
      <c r="L92" s="58">
        <f>750</f>
        <v>750</v>
      </c>
      <c r="M92" s="61">
        <f t="shared" si="25"/>
        <v>0.08024823454</v>
      </c>
      <c r="N92" s="62">
        <f t="shared" ref="N92:O92" si="108">Q92+U92</f>
        <v>-1546.24</v>
      </c>
      <c r="O92" s="58">
        <f t="shared" si="108"/>
        <v>3294.99</v>
      </c>
      <c r="P92" s="63">
        <f t="shared" si="12"/>
        <v>1748.75</v>
      </c>
      <c r="Q92" s="64">
        <f t="shared" si="13"/>
        <v>-773.12</v>
      </c>
      <c r="R92" s="65">
        <f t="shared" si="14"/>
        <v>2306.493</v>
      </c>
      <c r="S92" s="66">
        <f t="shared" si="15"/>
        <v>1153.2465</v>
      </c>
      <c r="T92" s="67">
        <f t="shared" si="16"/>
        <v>380.1265</v>
      </c>
      <c r="U92" s="62">
        <f t="shared" si="17"/>
        <v>-773.12</v>
      </c>
      <c r="V92" s="58">
        <f t="shared" si="18"/>
        <v>988.497</v>
      </c>
      <c r="W92" s="63">
        <f t="shared" si="19"/>
        <v>215.377</v>
      </c>
      <c r="X92" s="76">
        <v>-1546.24</v>
      </c>
    </row>
    <row r="93" ht="15.75" customHeight="1">
      <c r="A93" s="38">
        <f t="shared" si="75"/>
        <v>87</v>
      </c>
      <c r="B93" s="73" t="s">
        <v>114</v>
      </c>
      <c r="C93" s="74">
        <v>44879.0</v>
      </c>
      <c r="D93" s="41">
        <f t="shared" si="63"/>
        <v>44879</v>
      </c>
      <c r="E93" s="75">
        <v>1200.0</v>
      </c>
      <c r="F93" s="58">
        <v>1100.0</v>
      </c>
      <c r="G93" s="43">
        <f t="shared" si="7"/>
        <v>1.090909091</v>
      </c>
      <c r="H93" s="75">
        <v>50056.69</v>
      </c>
      <c r="I93" s="68">
        <f t="shared" si="104"/>
        <v>41.71390833</v>
      </c>
      <c r="J93" s="75">
        <v>12180.72</v>
      </c>
      <c r="K93" s="68">
        <f t="shared" si="105"/>
        <v>10.1506</v>
      </c>
      <c r="L93" s="42">
        <f>30000+3500</f>
        <v>33500</v>
      </c>
      <c r="M93" s="46">
        <f t="shared" si="25"/>
        <v>0.6692412143</v>
      </c>
      <c r="N93" s="69">
        <f t="shared" ref="N93:O93" si="109">Q93+U93</f>
        <v>7124.39</v>
      </c>
      <c r="O93" s="42">
        <f t="shared" si="109"/>
        <v>12180.72</v>
      </c>
      <c r="P93" s="70">
        <f t="shared" si="12"/>
        <v>19305.11</v>
      </c>
      <c r="Q93" s="49">
        <f t="shared" si="13"/>
        <v>3562.195</v>
      </c>
      <c r="R93" s="50">
        <f t="shared" si="14"/>
        <v>8526.504</v>
      </c>
      <c r="S93" s="51">
        <f t="shared" si="15"/>
        <v>4263.252</v>
      </c>
      <c r="T93" s="52">
        <f t="shared" si="16"/>
        <v>7825.447</v>
      </c>
      <c r="U93" s="69">
        <f t="shared" si="17"/>
        <v>3562.195</v>
      </c>
      <c r="V93" s="42">
        <f t="shared" si="18"/>
        <v>3654.216</v>
      </c>
      <c r="W93" s="70">
        <f t="shared" si="19"/>
        <v>7216.411</v>
      </c>
      <c r="X93" s="76">
        <v>7124.39</v>
      </c>
    </row>
    <row r="94" ht="15.75" customHeight="1">
      <c r="A94" s="54">
        <f t="shared" si="75"/>
        <v>88</v>
      </c>
      <c r="B94" s="77" t="s">
        <v>115</v>
      </c>
      <c r="C94" s="78">
        <v>44881.0</v>
      </c>
      <c r="D94" s="57">
        <f t="shared" si="63"/>
        <v>44881</v>
      </c>
      <c r="E94" s="79">
        <v>281.0</v>
      </c>
      <c r="F94" s="58">
        <v>1100.0</v>
      </c>
      <c r="G94" s="59">
        <f t="shared" si="7"/>
        <v>0.2554545455</v>
      </c>
      <c r="H94" s="79">
        <v>8216.0</v>
      </c>
      <c r="I94" s="60">
        <f t="shared" si="104"/>
        <v>29.23843416</v>
      </c>
      <c r="J94" s="79">
        <v>3899.72</v>
      </c>
      <c r="K94" s="60">
        <f t="shared" si="105"/>
        <v>13.87800712</v>
      </c>
      <c r="L94" s="58">
        <f>1643.35</f>
        <v>1643.35</v>
      </c>
      <c r="M94" s="61">
        <f t="shared" si="25"/>
        <v>0.2000182571</v>
      </c>
      <c r="N94" s="62">
        <f t="shared" ref="N94:O94" si="110">Q94+U94</f>
        <v>-864.44</v>
      </c>
      <c r="O94" s="58">
        <f t="shared" si="110"/>
        <v>3899.72</v>
      </c>
      <c r="P94" s="63">
        <f t="shared" si="12"/>
        <v>3035.28</v>
      </c>
      <c r="Q94" s="64">
        <f t="shared" si="13"/>
        <v>-432.22</v>
      </c>
      <c r="R94" s="65">
        <f t="shared" si="14"/>
        <v>2729.804</v>
      </c>
      <c r="S94" s="66">
        <f t="shared" si="15"/>
        <v>1364.902</v>
      </c>
      <c r="T94" s="67">
        <f t="shared" si="16"/>
        <v>932.682</v>
      </c>
      <c r="U94" s="62">
        <f t="shared" si="17"/>
        <v>-432.22</v>
      </c>
      <c r="V94" s="58">
        <f t="shared" si="18"/>
        <v>1169.916</v>
      </c>
      <c r="W94" s="63">
        <f t="shared" si="19"/>
        <v>737.696</v>
      </c>
      <c r="X94" s="76">
        <v>-864.44</v>
      </c>
    </row>
    <row r="95" ht="15.75" customHeight="1">
      <c r="A95" s="38">
        <f t="shared" si="75"/>
        <v>89</v>
      </c>
      <c r="B95" s="73" t="s">
        <v>116</v>
      </c>
      <c r="C95" s="74">
        <v>44884.0</v>
      </c>
      <c r="D95" s="41">
        <f t="shared" si="63"/>
        <v>44884</v>
      </c>
      <c r="E95" s="75">
        <v>433.0</v>
      </c>
      <c r="F95" s="58">
        <v>1100.0</v>
      </c>
      <c r="G95" s="43">
        <f t="shared" si="7"/>
        <v>0.3936363636</v>
      </c>
      <c r="H95" s="75">
        <v>16124.5</v>
      </c>
      <c r="I95" s="68">
        <f t="shared" si="104"/>
        <v>37.23903002</v>
      </c>
      <c r="J95" s="75">
        <v>2305.3</v>
      </c>
      <c r="K95" s="68">
        <f t="shared" si="105"/>
        <v>5.324018476</v>
      </c>
      <c r="L95" s="42">
        <f>950</f>
        <v>950</v>
      </c>
      <c r="M95" s="46">
        <f t="shared" si="25"/>
        <v>0.05891655555</v>
      </c>
      <c r="N95" s="69">
        <f t="shared" ref="N95:O95" si="111">Q95+U95</f>
        <v>-3040.76</v>
      </c>
      <c r="O95" s="42">
        <f t="shared" si="111"/>
        <v>2305.3</v>
      </c>
      <c r="P95" s="70">
        <f t="shared" si="12"/>
        <v>-735.46</v>
      </c>
      <c r="Q95" s="49">
        <f t="shared" si="13"/>
        <v>-1520.38</v>
      </c>
      <c r="R95" s="50">
        <f t="shared" si="14"/>
        <v>1613.71</v>
      </c>
      <c r="S95" s="51">
        <f t="shared" si="15"/>
        <v>806.855</v>
      </c>
      <c r="T95" s="52">
        <f t="shared" si="16"/>
        <v>-713.525</v>
      </c>
      <c r="U95" s="69">
        <f t="shared" si="17"/>
        <v>-1520.38</v>
      </c>
      <c r="V95" s="42">
        <f t="shared" si="18"/>
        <v>691.59</v>
      </c>
      <c r="W95" s="70">
        <f t="shared" si="19"/>
        <v>-828.79</v>
      </c>
      <c r="X95" s="76">
        <v>-3040.76</v>
      </c>
    </row>
    <row r="96" ht="15.75" customHeight="1">
      <c r="A96" s="54">
        <f t="shared" si="75"/>
        <v>90</v>
      </c>
      <c r="B96" s="77" t="s">
        <v>117</v>
      </c>
      <c r="C96" s="78">
        <v>44887.0</v>
      </c>
      <c r="D96" s="57">
        <f t="shared" si="63"/>
        <v>44887</v>
      </c>
      <c r="E96" s="79">
        <v>1100.0</v>
      </c>
      <c r="F96" s="58">
        <v>1100.0</v>
      </c>
      <c r="G96" s="59">
        <f t="shared" si="7"/>
        <v>1</v>
      </c>
      <c r="H96" s="79">
        <v>36511.0</v>
      </c>
      <c r="I96" s="60">
        <f t="shared" si="104"/>
        <v>33.19181818</v>
      </c>
      <c r="J96" s="79">
        <v>20238.89</v>
      </c>
      <c r="K96" s="60">
        <f t="shared" si="105"/>
        <v>18.39899091</v>
      </c>
      <c r="L96" s="58">
        <f>14500</f>
        <v>14500</v>
      </c>
      <c r="M96" s="61">
        <f t="shared" si="25"/>
        <v>0.3971405878</v>
      </c>
      <c r="N96" s="62">
        <f t="shared" ref="N96:O96" si="112">Q96+U96</f>
        <v>11230.21</v>
      </c>
      <c r="O96" s="58">
        <f t="shared" si="112"/>
        <v>20238.89</v>
      </c>
      <c r="P96" s="63">
        <f t="shared" si="12"/>
        <v>31469.1</v>
      </c>
      <c r="Q96" s="64">
        <f t="shared" si="13"/>
        <v>5615.105</v>
      </c>
      <c r="R96" s="65">
        <f t="shared" si="14"/>
        <v>14167.223</v>
      </c>
      <c r="S96" s="66">
        <f t="shared" si="15"/>
        <v>7083.6115</v>
      </c>
      <c r="T96" s="67">
        <f t="shared" si="16"/>
        <v>12698.7165</v>
      </c>
      <c r="U96" s="62">
        <f t="shared" si="17"/>
        <v>5615.105</v>
      </c>
      <c r="V96" s="58">
        <f t="shared" si="18"/>
        <v>6071.667</v>
      </c>
      <c r="W96" s="63">
        <f t="shared" si="19"/>
        <v>11686.772</v>
      </c>
      <c r="X96" s="76">
        <v>11230.21</v>
      </c>
    </row>
    <row r="97" ht="15.75" customHeight="1">
      <c r="A97" s="38">
        <f t="shared" si="75"/>
        <v>91</v>
      </c>
      <c r="B97" s="73" t="s">
        <v>118</v>
      </c>
      <c r="C97" s="74">
        <v>44899.0</v>
      </c>
      <c r="D97" s="41">
        <f t="shared" si="63"/>
        <v>44899</v>
      </c>
      <c r="E97" s="75">
        <v>1061.0</v>
      </c>
      <c r="F97" s="58">
        <v>1100.0</v>
      </c>
      <c r="G97" s="43">
        <f t="shared" si="7"/>
        <v>0.9645454545</v>
      </c>
      <c r="H97" s="75">
        <v>46076.0</v>
      </c>
      <c r="I97" s="68">
        <f t="shared" si="104"/>
        <v>43.4269557</v>
      </c>
      <c r="J97" s="75">
        <v>16509.75</v>
      </c>
      <c r="K97" s="68">
        <f t="shared" si="105"/>
        <v>15.56055608</v>
      </c>
      <c r="L97" s="42">
        <f>23500</f>
        <v>23500</v>
      </c>
      <c r="M97" s="46">
        <f t="shared" si="25"/>
        <v>0.5100269121</v>
      </c>
      <c r="N97" s="69">
        <f t="shared" ref="N97:O97" si="113">Q97+U97</f>
        <v>10958.42</v>
      </c>
      <c r="O97" s="42">
        <f t="shared" si="113"/>
        <v>16509.75</v>
      </c>
      <c r="P97" s="70">
        <f t="shared" si="12"/>
        <v>27468.17</v>
      </c>
      <c r="Q97" s="49">
        <f t="shared" si="13"/>
        <v>5479.21</v>
      </c>
      <c r="R97" s="50">
        <f t="shared" si="14"/>
        <v>11556.825</v>
      </c>
      <c r="S97" s="51">
        <f t="shared" si="15"/>
        <v>5778.4125</v>
      </c>
      <c r="T97" s="52">
        <f t="shared" si="16"/>
        <v>11257.6225</v>
      </c>
      <c r="U97" s="69">
        <f t="shared" si="17"/>
        <v>5479.21</v>
      </c>
      <c r="V97" s="42">
        <f t="shared" si="18"/>
        <v>4952.925</v>
      </c>
      <c r="W97" s="70">
        <f t="shared" si="19"/>
        <v>10432.135</v>
      </c>
      <c r="X97" s="76">
        <v>10958.42</v>
      </c>
    </row>
    <row r="98" ht="15.75" customHeight="1">
      <c r="A98" s="54">
        <f t="shared" si="75"/>
        <v>92</v>
      </c>
      <c r="B98" s="77" t="s">
        <v>119</v>
      </c>
      <c r="C98" s="78">
        <v>44906.0</v>
      </c>
      <c r="D98" s="57">
        <f t="shared" si="63"/>
        <v>44906</v>
      </c>
      <c r="E98" s="79">
        <v>1100.0</v>
      </c>
      <c r="F98" s="58">
        <v>1100.0</v>
      </c>
      <c r="G98" s="59">
        <f t="shared" si="7"/>
        <v>1</v>
      </c>
      <c r="H98" s="79">
        <v>49782.0</v>
      </c>
      <c r="I98" s="60">
        <f t="shared" si="104"/>
        <v>45.25636364</v>
      </c>
      <c r="J98" s="79">
        <v>3834.33</v>
      </c>
      <c r="K98" s="60">
        <f t="shared" si="105"/>
        <v>3.485754545</v>
      </c>
      <c r="L98" s="58">
        <f>10330.39</f>
        <v>10330.39</v>
      </c>
      <c r="M98" s="61">
        <f t="shared" si="25"/>
        <v>0.2075125547</v>
      </c>
      <c r="N98" s="62">
        <f t="shared" ref="N98:O98" si="114">Q98+U98</f>
        <v>19216.24</v>
      </c>
      <c r="O98" s="58">
        <f t="shared" si="114"/>
        <v>3834.33</v>
      </c>
      <c r="P98" s="63">
        <f t="shared" si="12"/>
        <v>23050.57</v>
      </c>
      <c r="Q98" s="64">
        <f t="shared" si="13"/>
        <v>9608.12</v>
      </c>
      <c r="R98" s="65">
        <f t="shared" si="14"/>
        <v>2684.031</v>
      </c>
      <c r="S98" s="66">
        <f t="shared" si="15"/>
        <v>1342.0155</v>
      </c>
      <c r="T98" s="67">
        <f t="shared" si="16"/>
        <v>10950.1355</v>
      </c>
      <c r="U98" s="62">
        <f t="shared" si="17"/>
        <v>9608.12</v>
      </c>
      <c r="V98" s="58">
        <f t="shared" si="18"/>
        <v>1150.299</v>
      </c>
      <c r="W98" s="63">
        <f t="shared" si="19"/>
        <v>10758.419</v>
      </c>
      <c r="X98" s="76">
        <v>19216.24</v>
      </c>
    </row>
    <row r="99" ht="15.75" customHeight="1">
      <c r="A99" s="38">
        <f t="shared" si="75"/>
        <v>93</v>
      </c>
      <c r="B99" s="73" t="s">
        <v>120</v>
      </c>
      <c r="C99" s="74">
        <v>44909.0</v>
      </c>
      <c r="D99" s="41">
        <f t="shared" si="63"/>
        <v>44909</v>
      </c>
      <c r="E99" s="75">
        <v>486.0</v>
      </c>
      <c r="F99" s="58">
        <v>1100.0</v>
      </c>
      <c r="G99" s="43">
        <f t="shared" si="7"/>
        <v>0.4418181818</v>
      </c>
      <c r="H99" s="75">
        <v>21301.0</v>
      </c>
      <c r="I99" s="68">
        <f t="shared" si="104"/>
        <v>43.82921811</v>
      </c>
      <c r="J99" s="75">
        <v>4866.89</v>
      </c>
      <c r="K99" s="68">
        <f t="shared" si="105"/>
        <v>10.01417695</v>
      </c>
      <c r="L99" s="42">
        <f>5390</f>
        <v>5390</v>
      </c>
      <c r="M99" s="46">
        <f t="shared" si="25"/>
        <v>0.2530397634</v>
      </c>
      <c r="N99" s="69">
        <f t="shared" ref="N99:O99" si="115">Q99+U99</f>
        <v>1630.19</v>
      </c>
      <c r="O99" s="42">
        <f t="shared" si="115"/>
        <v>4866.89</v>
      </c>
      <c r="P99" s="70">
        <f t="shared" si="12"/>
        <v>6497.08</v>
      </c>
      <c r="Q99" s="49">
        <f t="shared" si="13"/>
        <v>815.095</v>
      </c>
      <c r="R99" s="50">
        <f t="shared" si="14"/>
        <v>3406.823</v>
      </c>
      <c r="S99" s="51">
        <f t="shared" si="15"/>
        <v>1703.4115</v>
      </c>
      <c r="T99" s="52">
        <f t="shared" si="16"/>
        <v>2518.5065</v>
      </c>
      <c r="U99" s="69">
        <f t="shared" si="17"/>
        <v>815.095</v>
      </c>
      <c r="V99" s="42">
        <f t="shared" si="18"/>
        <v>1460.067</v>
      </c>
      <c r="W99" s="70">
        <f t="shared" si="19"/>
        <v>2275.162</v>
      </c>
      <c r="X99" s="76">
        <v>1630.19</v>
      </c>
    </row>
    <row r="100" ht="15.75" customHeight="1">
      <c r="A100" s="54">
        <f t="shared" si="75"/>
        <v>94</v>
      </c>
      <c r="B100" s="77" t="s">
        <v>121</v>
      </c>
      <c r="C100" s="78">
        <v>44923.0</v>
      </c>
      <c r="D100" s="57">
        <f t="shared" si="63"/>
        <v>44923</v>
      </c>
      <c r="E100" s="79">
        <v>1100.0</v>
      </c>
      <c r="F100" s="58">
        <v>1100.0</v>
      </c>
      <c r="G100" s="59">
        <f t="shared" si="7"/>
        <v>1</v>
      </c>
      <c r="H100" s="79">
        <v>50816.0</v>
      </c>
      <c r="I100" s="60">
        <f t="shared" si="104"/>
        <v>46.19636364</v>
      </c>
      <c r="J100" s="79">
        <v>24491.46</v>
      </c>
      <c r="K100" s="60">
        <f t="shared" si="105"/>
        <v>22.26496364</v>
      </c>
      <c r="L100" s="58">
        <f>21250</f>
        <v>21250</v>
      </c>
      <c r="M100" s="61">
        <f t="shared" si="25"/>
        <v>0.4181753778</v>
      </c>
      <c r="N100" s="62">
        <f t="shared" ref="N100:O100" si="116">Q100+U100</f>
        <v>9734.23</v>
      </c>
      <c r="O100" s="58">
        <f t="shared" si="116"/>
        <v>24491.46</v>
      </c>
      <c r="P100" s="63">
        <f t="shared" si="12"/>
        <v>34225.69</v>
      </c>
      <c r="Q100" s="64">
        <f t="shared" si="13"/>
        <v>4867.115</v>
      </c>
      <c r="R100" s="65">
        <f t="shared" si="14"/>
        <v>17144.022</v>
      </c>
      <c r="S100" s="66">
        <f t="shared" si="15"/>
        <v>8572.011</v>
      </c>
      <c r="T100" s="67">
        <f t="shared" si="16"/>
        <v>13439.126</v>
      </c>
      <c r="U100" s="62">
        <f t="shared" si="17"/>
        <v>4867.115</v>
      </c>
      <c r="V100" s="58">
        <f t="shared" si="18"/>
        <v>7347.438</v>
      </c>
      <c r="W100" s="63">
        <f t="shared" si="19"/>
        <v>12214.553</v>
      </c>
      <c r="X100" s="76">
        <v>9734.23</v>
      </c>
    </row>
    <row r="101" ht="15.75" customHeight="1">
      <c r="A101" s="38">
        <f t="shared" si="75"/>
        <v>95</v>
      </c>
      <c r="B101" s="73" t="s">
        <v>122</v>
      </c>
      <c r="C101" s="74">
        <v>44815.0</v>
      </c>
      <c r="D101" s="41">
        <f t="shared" si="63"/>
        <v>44815</v>
      </c>
      <c r="E101" s="75">
        <v>1129.0</v>
      </c>
      <c r="F101" s="58">
        <v>1100.0</v>
      </c>
      <c r="G101" s="43">
        <f t="shared" si="7"/>
        <v>1.026363636</v>
      </c>
      <c r="H101" s="75">
        <v>41687.0</v>
      </c>
      <c r="I101" s="68">
        <f t="shared" si="104"/>
        <v>36.9238264</v>
      </c>
      <c r="J101" s="75">
        <v>10418.59</v>
      </c>
      <c r="K101" s="68">
        <f t="shared" si="105"/>
        <v>9.228157662</v>
      </c>
      <c r="L101" s="42">
        <f>18324</f>
        <v>18324</v>
      </c>
      <c r="M101" s="46">
        <f t="shared" si="25"/>
        <v>0.439561494</v>
      </c>
      <c r="N101" s="69">
        <f t="shared" ref="N101:O101" si="117">Q101+U101</f>
        <v>14767.81</v>
      </c>
      <c r="O101" s="42">
        <f t="shared" si="117"/>
        <v>10418.59</v>
      </c>
      <c r="P101" s="70">
        <f t="shared" si="12"/>
        <v>25186.4</v>
      </c>
      <c r="Q101" s="49">
        <f t="shared" si="13"/>
        <v>7383.905</v>
      </c>
      <c r="R101" s="50">
        <f t="shared" si="14"/>
        <v>7293.013</v>
      </c>
      <c r="S101" s="51">
        <f t="shared" si="15"/>
        <v>3646.5065</v>
      </c>
      <c r="T101" s="52">
        <f t="shared" si="16"/>
        <v>11030.4115</v>
      </c>
      <c r="U101" s="69">
        <f t="shared" si="17"/>
        <v>7383.905</v>
      </c>
      <c r="V101" s="42">
        <f t="shared" si="18"/>
        <v>3125.577</v>
      </c>
      <c r="W101" s="70">
        <f t="shared" si="19"/>
        <v>10509.482</v>
      </c>
      <c r="X101" s="76">
        <v>14767.81</v>
      </c>
    </row>
    <row r="102" ht="15.75" customHeight="1">
      <c r="A102" s="54">
        <f t="shared" si="75"/>
        <v>96</v>
      </c>
      <c r="B102" s="55"/>
      <c r="C102" s="56"/>
      <c r="D102" s="57" t="str">
        <f t="shared" si="63"/>
        <v/>
      </c>
      <c r="E102" s="58"/>
      <c r="F102" s="58"/>
      <c r="G102" s="59" t="str">
        <f t="shared" si="7"/>
        <v/>
      </c>
      <c r="H102" s="58"/>
      <c r="I102" s="60" t="str">
        <f t="shared" si="104"/>
        <v/>
      </c>
      <c r="J102" s="58"/>
      <c r="K102" s="60" t="str">
        <f t="shared" si="105"/>
        <v/>
      </c>
      <c r="L102" s="58"/>
      <c r="M102" s="61" t="str">
        <f t="shared" si="25"/>
        <v/>
      </c>
      <c r="N102" s="62">
        <f t="shared" ref="N102:O102" si="118">Q102+U102</f>
        <v>0</v>
      </c>
      <c r="O102" s="58">
        <f t="shared" si="118"/>
        <v>0</v>
      </c>
      <c r="P102" s="63">
        <f t="shared" si="12"/>
        <v>0</v>
      </c>
      <c r="Q102" s="64">
        <f t="shared" si="13"/>
        <v>0</v>
      </c>
      <c r="R102" s="65">
        <f t="shared" si="14"/>
        <v>0</v>
      </c>
      <c r="S102" s="66">
        <f t="shared" si="15"/>
        <v>0</v>
      </c>
      <c r="T102" s="67">
        <f t="shared" si="16"/>
        <v>0</v>
      </c>
      <c r="U102" s="62">
        <f t="shared" si="17"/>
        <v>0</v>
      </c>
      <c r="V102" s="58">
        <f t="shared" si="18"/>
        <v>0</v>
      </c>
      <c r="W102" s="63">
        <f t="shared" si="19"/>
        <v>0</v>
      </c>
      <c r="X102" s="53">
        <v>0.0</v>
      </c>
    </row>
    <row r="103" ht="15.75" customHeight="1">
      <c r="A103" s="38">
        <f t="shared" si="75"/>
        <v>97</v>
      </c>
      <c r="B103" s="39"/>
      <c r="C103" s="40"/>
      <c r="D103" s="41" t="str">
        <f t="shared" si="63"/>
        <v/>
      </c>
      <c r="E103" s="42"/>
      <c r="F103" s="42"/>
      <c r="G103" s="43" t="str">
        <f t="shared" si="7"/>
        <v/>
      </c>
      <c r="H103" s="42"/>
      <c r="I103" s="68" t="str">
        <f t="shared" si="104"/>
        <v/>
      </c>
      <c r="J103" s="42"/>
      <c r="K103" s="68" t="str">
        <f t="shared" si="105"/>
        <v/>
      </c>
      <c r="L103" s="42"/>
      <c r="M103" s="46" t="str">
        <f t="shared" si="25"/>
        <v/>
      </c>
      <c r="N103" s="69">
        <f t="shared" ref="N103:O103" si="119">Q103+U103</f>
        <v>0</v>
      </c>
      <c r="O103" s="42">
        <f t="shared" si="119"/>
        <v>0</v>
      </c>
      <c r="P103" s="70">
        <f t="shared" si="12"/>
        <v>0</v>
      </c>
      <c r="Q103" s="49">
        <f t="shared" si="13"/>
        <v>0</v>
      </c>
      <c r="R103" s="50">
        <f t="shared" si="14"/>
        <v>0</v>
      </c>
      <c r="S103" s="51">
        <f t="shared" si="15"/>
        <v>0</v>
      </c>
      <c r="T103" s="52">
        <f t="shared" si="16"/>
        <v>0</v>
      </c>
      <c r="U103" s="69">
        <f t="shared" si="17"/>
        <v>0</v>
      </c>
      <c r="V103" s="42">
        <f t="shared" si="18"/>
        <v>0</v>
      </c>
      <c r="W103" s="70">
        <f t="shared" si="19"/>
        <v>0</v>
      </c>
      <c r="X103" s="53">
        <v>0.0</v>
      </c>
    </row>
    <row r="104" ht="15.75" customHeight="1">
      <c r="A104" s="54">
        <f t="shared" si="75"/>
        <v>98</v>
      </c>
      <c r="B104" s="55"/>
      <c r="C104" s="56"/>
      <c r="D104" s="57" t="str">
        <f t="shared" si="63"/>
        <v/>
      </c>
      <c r="E104" s="58"/>
      <c r="F104" s="58"/>
      <c r="G104" s="59" t="str">
        <f t="shared" si="7"/>
        <v/>
      </c>
      <c r="H104" s="58"/>
      <c r="I104" s="60" t="str">
        <f t="shared" si="104"/>
        <v/>
      </c>
      <c r="J104" s="58"/>
      <c r="K104" s="60" t="str">
        <f t="shared" si="105"/>
        <v/>
      </c>
      <c r="L104" s="58"/>
      <c r="M104" s="61" t="str">
        <f t="shared" si="25"/>
        <v/>
      </c>
      <c r="N104" s="62">
        <f t="shared" ref="N104:O104" si="120">Q104+U104</f>
        <v>0</v>
      </c>
      <c r="O104" s="58">
        <f t="shared" si="120"/>
        <v>0</v>
      </c>
      <c r="P104" s="63">
        <f t="shared" si="12"/>
        <v>0</v>
      </c>
      <c r="Q104" s="64">
        <f t="shared" si="13"/>
        <v>0</v>
      </c>
      <c r="R104" s="65">
        <f t="shared" si="14"/>
        <v>0</v>
      </c>
      <c r="S104" s="66">
        <f t="shared" si="15"/>
        <v>0</v>
      </c>
      <c r="T104" s="67">
        <f t="shared" si="16"/>
        <v>0</v>
      </c>
      <c r="U104" s="62">
        <f t="shared" si="17"/>
        <v>0</v>
      </c>
      <c r="V104" s="58">
        <f t="shared" si="18"/>
        <v>0</v>
      </c>
      <c r="W104" s="63">
        <f t="shared" si="19"/>
        <v>0</v>
      </c>
      <c r="X104" s="53">
        <v>0.0</v>
      </c>
    </row>
    <row r="105" ht="15.75" customHeight="1">
      <c r="A105" s="38">
        <f t="shared" si="75"/>
        <v>99</v>
      </c>
      <c r="B105" s="39"/>
      <c r="C105" s="40"/>
      <c r="D105" s="41" t="str">
        <f t="shared" si="63"/>
        <v/>
      </c>
      <c r="E105" s="42"/>
      <c r="F105" s="42"/>
      <c r="G105" s="43" t="str">
        <f t="shared" si="7"/>
        <v/>
      </c>
      <c r="H105" s="42"/>
      <c r="I105" s="68" t="str">
        <f t="shared" si="104"/>
        <v/>
      </c>
      <c r="J105" s="42"/>
      <c r="K105" s="68" t="str">
        <f t="shared" si="105"/>
        <v/>
      </c>
      <c r="L105" s="42"/>
      <c r="M105" s="46" t="str">
        <f t="shared" si="25"/>
        <v/>
      </c>
      <c r="N105" s="69">
        <f t="shared" ref="N105:O105" si="121">Q105+U105</f>
        <v>0</v>
      </c>
      <c r="O105" s="42">
        <f t="shared" si="121"/>
        <v>0</v>
      </c>
      <c r="P105" s="70">
        <f t="shared" si="12"/>
        <v>0</v>
      </c>
      <c r="Q105" s="49">
        <f t="shared" si="13"/>
        <v>0</v>
      </c>
      <c r="R105" s="50">
        <f t="shared" si="14"/>
        <v>0</v>
      </c>
      <c r="S105" s="51">
        <f t="shared" si="15"/>
        <v>0</v>
      </c>
      <c r="T105" s="52">
        <f t="shared" si="16"/>
        <v>0</v>
      </c>
      <c r="U105" s="69">
        <f t="shared" si="17"/>
        <v>0</v>
      </c>
      <c r="V105" s="42">
        <f t="shared" si="18"/>
        <v>0</v>
      </c>
      <c r="W105" s="70">
        <f t="shared" si="19"/>
        <v>0</v>
      </c>
      <c r="X105" s="53">
        <v>0.0</v>
      </c>
    </row>
    <row r="106" ht="15.75" customHeight="1">
      <c r="A106" s="54">
        <f t="shared" si="75"/>
        <v>100</v>
      </c>
      <c r="B106" s="55"/>
      <c r="C106" s="56"/>
      <c r="D106" s="57" t="str">
        <f t="shared" si="63"/>
        <v/>
      </c>
      <c r="E106" s="58"/>
      <c r="F106" s="58"/>
      <c r="G106" s="59" t="str">
        <f t="shared" si="7"/>
        <v/>
      </c>
      <c r="H106" s="58"/>
      <c r="I106" s="60" t="str">
        <f t="shared" si="104"/>
        <v/>
      </c>
      <c r="J106" s="58"/>
      <c r="K106" s="60" t="str">
        <f t="shared" si="105"/>
        <v/>
      </c>
      <c r="L106" s="58"/>
      <c r="M106" s="61" t="str">
        <f t="shared" si="25"/>
        <v/>
      </c>
      <c r="N106" s="62">
        <f t="shared" ref="N106:O106" si="122">Q106+U106</f>
        <v>0</v>
      </c>
      <c r="O106" s="58">
        <f t="shared" si="122"/>
        <v>0</v>
      </c>
      <c r="P106" s="63">
        <f t="shared" si="12"/>
        <v>0</v>
      </c>
      <c r="Q106" s="64">
        <f t="shared" si="13"/>
        <v>0</v>
      </c>
      <c r="R106" s="65">
        <f t="shared" si="14"/>
        <v>0</v>
      </c>
      <c r="S106" s="66">
        <f t="shared" si="15"/>
        <v>0</v>
      </c>
      <c r="T106" s="67">
        <f t="shared" si="16"/>
        <v>0</v>
      </c>
      <c r="U106" s="62">
        <f t="shared" si="17"/>
        <v>0</v>
      </c>
      <c r="V106" s="58">
        <f t="shared" si="18"/>
        <v>0</v>
      </c>
      <c r="W106" s="63">
        <f t="shared" si="19"/>
        <v>0</v>
      </c>
      <c r="X106" s="53">
        <v>0.0</v>
      </c>
    </row>
    <row r="107" ht="15.75" customHeight="1">
      <c r="A107" s="38">
        <f t="shared" si="75"/>
        <v>101</v>
      </c>
      <c r="B107" s="39"/>
      <c r="C107" s="40"/>
      <c r="D107" s="41" t="str">
        <f t="shared" si="63"/>
        <v/>
      </c>
      <c r="E107" s="42"/>
      <c r="F107" s="42"/>
      <c r="G107" s="43" t="str">
        <f t="shared" si="7"/>
        <v/>
      </c>
      <c r="H107" s="42"/>
      <c r="I107" s="68" t="str">
        <f t="shared" si="104"/>
        <v/>
      </c>
      <c r="J107" s="42"/>
      <c r="K107" s="68" t="str">
        <f t="shared" si="105"/>
        <v/>
      </c>
      <c r="L107" s="42"/>
      <c r="M107" s="46" t="str">
        <f t="shared" si="25"/>
        <v/>
      </c>
      <c r="N107" s="69">
        <f t="shared" ref="N107:O107" si="123">Q107+U107</f>
        <v>0</v>
      </c>
      <c r="O107" s="42">
        <f t="shared" si="123"/>
        <v>0</v>
      </c>
      <c r="P107" s="70">
        <f t="shared" si="12"/>
        <v>0</v>
      </c>
      <c r="Q107" s="49">
        <f t="shared" si="13"/>
        <v>0</v>
      </c>
      <c r="R107" s="50">
        <f t="shared" si="14"/>
        <v>0</v>
      </c>
      <c r="S107" s="51">
        <f t="shared" si="15"/>
        <v>0</v>
      </c>
      <c r="T107" s="52">
        <f t="shared" si="16"/>
        <v>0</v>
      </c>
      <c r="U107" s="69">
        <f t="shared" si="17"/>
        <v>0</v>
      </c>
      <c r="V107" s="42">
        <f t="shared" si="18"/>
        <v>0</v>
      </c>
      <c r="W107" s="70">
        <f t="shared" si="19"/>
        <v>0</v>
      </c>
      <c r="X107" s="53">
        <v>0.0</v>
      </c>
    </row>
    <row r="108" ht="15.75" customHeight="1">
      <c r="A108" s="54">
        <f t="shared" si="75"/>
        <v>102</v>
      </c>
      <c r="B108" s="55"/>
      <c r="C108" s="56"/>
      <c r="D108" s="57" t="str">
        <f t="shared" si="63"/>
        <v/>
      </c>
      <c r="E108" s="58"/>
      <c r="F108" s="58"/>
      <c r="G108" s="59"/>
      <c r="H108" s="58"/>
      <c r="I108" s="60"/>
      <c r="J108" s="58"/>
      <c r="K108" s="60"/>
      <c r="L108" s="58"/>
      <c r="M108" s="61" t="str">
        <f t="shared" si="25"/>
        <v/>
      </c>
      <c r="N108" s="62">
        <f t="shared" ref="N108:O108" si="124">Q108+U108</f>
        <v>0</v>
      </c>
      <c r="O108" s="58">
        <f t="shared" si="124"/>
        <v>0</v>
      </c>
      <c r="P108" s="63">
        <f t="shared" si="12"/>
        <v>0</v>
      </c>
      <c r="Q108" s="64">
        <f t="shared" si="13"/>
        <v>0</v>
      </c>
      <c r="R108" s="65">
        <f t="shared" si="14"/>
        <v>0</v>
      </c>
      <c r="S108" s="66">
        <f t="shared" si="15"/>
        <v>0</v>
      </c>
      <c r="T108" s="67">
        <f t="shared" si="16"/>
        <v>0</v>
      </c>
      <c r="U108" s="62">
        <f t="shared" si="17"/>
        <v>0</v>
      </c>
      <c r="V108" s="58">
        <f t="shared" si="18"/>
        <v>0</v>
      </c>
      <c r="W108" s="63">
        <f t="shared" si="19"/>
        <v>0</v>
      </c>
      <c r="X108" s="53"/>
    </row>
    <row r="109" ht="15.75" customHeight="1">
      <c r="A109" s="38">
        <f t="shared" si="75"/>
        <v>103</v>
      </c>
      <c r="B109" s="39"/>
      <c r="C109" s="40"/>
      <c r="D109" s="41" t="str">
        <f t="shared" si="63"/>
        <v/>
      </c>
      <c r="E109" s="42"/>
      <c r="F109" s="42"/>
      <c r="G109" s="43"/>
      <c r="H109" s="42"/>
      <c r="I109" s="68"/>
      <c r="J109" s="42"/>
      <c r="K109" s="68"/>
      <c r="L109" s="42"/>
      <c r="M109" s="46" t="str">
        <f t="shared" si="25"/>
        <v/>
      </c>
      <c r="N109" s="69">
        <f t="shared" ref="N109:O109" si="125">Q109+U109</f>
        <v>0</v>
      </c>
      <c r="O109" s="42">
        <f t="shared" si="125"/>
        <v>0</v>
      </c>
      <c r="P109" s="70">
        <f t="shared" si="12"/>
        <v>0</v>
      </c>
      <c r="Q109" s="49">
        <f t="shared" si="13"/>
        <v>0</v>
      </c>
      <c r="R109" s="50">
        <f t="shared" si="14"/>
        <v>0</v>
      </c>
      <c r="S109" s="51">
        <f t="shared" si="15"/>
        <v>0</v>
      </c>
      <c r="T109" s="52">
        <f t="shared" si="16"/>
        <v>0</v>
      </c>
      <c r="U109" s="69">
        <f t="shared" si="17"/>
        <v>0</v>
      </c>
      <c r="V109" s="42">
        <f t="shared" si="18"/>
        <v>0</v>
      </c>
      <c r="W109" s="70">
        <f t="shared" si="19"/>
        <v>0</v>
      </c>
      <c r="X109" s="53"/>
    </row>
    <row r="110" ht="15.75" customHeight="1">
      <c r="A110" s="54">
        <f t="shared" si="75"/>
        <v>104</v>
      </c>
      <c r="B110" s="55"/>
      <c r="C110" s="56"/>
      <c r="D110" s="57" t="str">
        <f t="shared" si="63"/>
        <v/>
      </c>
      <c r="E110" s="58"/>
      <c r="F110" s="58"/>
      <c r="G110" s="59"/>
      <c r="H110" s="58"/>
      <c r="I110" s="60"/>
      <c r="J110" s="58"/>
      <c r="K110" s="60"/>
      <c r="L110" s="58"/>
      <c r="M110" s="61" t="str">
        <f t="shared" si="25"/>
        <v/>
      </c>
      <c r="N110" s="62">
        <f t="shared" ref="N110:O110" si="126">Q110+U110</f>
        <v>0</v>
      </c>
      <c r="O110" s="58">
        <f t="shared" si="126"/>
        <v>0</v>
      </c>
      <c r="P110" s="63">
        <f t="shared" si="12"/>
        <v>0</v>
      </c>
      <c r="Q110" s="64">
        <f t="shared" si="13"/>
        <v>0</v>
      </c>
      <c r="R110" s="65">
        <f t="shared" si="14"/>
        <v>0</v>
      </c>
      <c r="S110" s="66">
        <f t="shared" si="15"/>
        <v>0</v>
      </c>
      <c r="T110" s="67">
        <f t="shared" si="16"/>
        <v>0</v>
      </c>
      <c r="U110" s="62">
        <f t="shared" si="17"/>
        <v>0</v>
      </c>
      <c r="V110" s="58">
        <f t="shared" si="18"/>
        <v>0</v>
      </c>
      <c r="W110" s="63">
        <f t="shared" si="19"/>
        <v>0</v>
      </c>
      <c r="X110" s="53"/>
    </row>
    <row r="111" ht="15.75" customHeight="1">
      <c r="A111" s="38">
        <f t="shared" si="75"/>
        <v>105</v>
      </c>
      <c r="B111" s="39"/>
      <c r="C111" s="40"/>
      <c r="D111" s="41" t="str">
        <f t="shared" si="63"/>
        <v/>
      </c>
      <c r="E111" s="42"/>
      <c r="F111" s="42"/>
      <c r="G111" s="43"/>
      <c r="H111" s="42"/>
      <c r="I111" s="68"/>
      <c r="J111" s="42"/>
      <c r="K111" s="68"/>
      <c r="L111" s="42"/>
      <c r="M111" s="46" t="str">
        <f t="shared" si="25"/>
        <v/>
      </c>
      <c r="N111" s="69">
        <f t="shared" ref="N111:O111" si="127">Q111+U111</f>
        <v>0</v>
      </c>
      <c r="O111" s="42">
        <f t="shared" si="127"/>
        <v>0</v>
      </c>
      <c r="P111" s="70">
        <f t="shared" si="12"/>
        <v>0</v>
      </c>
      <c r="Q111" s="49">
        <f t="shared" si="13"/>
        <v>0</v>
      </c>
      <c r="R111" s="50">
        <f t="shared" si="14"/>
        <v>0</v>
      </c>
      <c r="S111" s="51">
        <f t="shared" si="15"/>
        <v>0</v>
      </c>
      <c r="T111" s="52">
        <f t="shared" si="16"/>
        <v>0</v>
      </c>
      <c r="U111" s="69">
        <f t="shared" si="17"/>
        <v>0</v>
      </c>
      <c r="V111" s="42">
        <f t="shared" si="18"/>
        <v>0</v>
      </c>
      <c r="W111" s="70">
        <f t="shared" si="19"/>
        <v>0</v>
      </c>
      <c r="X111" s="53"/>
    </row>
    <row r="112" ht="15.75" customHeight="1">
      <c r="A112" s="54">
        <f t="shared" si="75"/>
        <v>106</v>
      </c>
      <c r="B112" s="55"/>
      <c r="C112" s="56"/>
      <c r="D112" s="57" t="str">
        <f t="shared" si="63"/>
        <v/>
      </c>
      <c r="E112" s="58"/>
      <c r="F112" s="58"/>
      <c r="G112" s="59"/>
      <c r="H112" s="58"/>
      <c r="I112" s="60"/>
      <c r="J112" s="58"/>
      <c r="K112" s="60"/>
      <c r="L112" s="58"/>
      <c r="M112" s="61" t="str">
        <f t="shared" si="25"/>
        <v/>
      </c>
      <c r="N112" s="62">
        <f t="shared" ref="N112:O112" si="128">Q112+U112</f>
        <v>0</v>
      </c>
      <c r="O112" s="58">
        <f t="shared" si="128"/>
        <v>0</v>
      </c>
      <c r="P112" s="63">
        <f t="shared" si="12"/>
        <v>0</v>
      </c>
      <c r="Q112" s="64">
        <f t="shared" si="13"/>
        <v>0</v>
      </c>
      <c r="R112" s="65">
        <f t="shared" si="14"/>
        <v>0</v>
      </c>
      <c r="S112" s="66">
        <f t="shared" si="15"/>
        <v>0</v>
      </c>
      <c r="T112" s="67">
        <f t="shared" si="16"/>
        <v>0</v>
      </c>
      <c r="U112" s="62">
        <f t="shared" si="17"/>
        <v>0</v>
      </c>
      <c r="V112" s="58">
        <f t="shared" si="18"/>
        <v>0</v>
      </c>
      <c r="W112" s="63">
        <f t="shared" si="19"/>
        <v>0</v>
      </c>
      <c r="X112" s="53"/>
    </row>
    <row r="113" ht="15.75" customHeight="1">
      <c r="A113" s="38">
        <f t="shared" si="75"/>
        <v>107</v>
      </c>
      <c r="B113" s="39"/>
      <c r="C113" s="40"/>
      <c r="D113" s="41" t="str">
        <f t="shared" si="63"/>
        <v/>
      </c>
      <c r="E113" s="42"/>
      <c r="F113" s="42"/>
      <c r="G113" s="43"/>
      <c r="H113" s="42"/>
      <c r="I113" s="68"/>
      <c r="J113" s="42"/>
      <c r="K113" s="68"/>
      <c r="L113" s="42"/>
      <c r="M113" s="46" t="str">
        <f t="shared" si="25"/>
        <v/>
      </c>
      <c r="N113" s="69">
        <f t="shared" ref="N113:O113" si="129">Q113+U113</f>
        <v>0</v>
      </c>
      <c r="O113" s="42">
        <f t="shared" si="129"/>
        <v>0</v>
      </c>
      <c r="P113" s="70">
        <f t="shared" si="12"/>
        <v>0</v>
      </c>
      <c r="Q113" s="49">
        <f t="shared" si="13"/>
        <v>0</v>
      </c>
      <c r="R113" s="50">
        <f t="shared" si="14"/>
        <v>0</v>
      </c>
      <c r="S113" s="51">
        <f t="shared" si="15"/>
        <v>0</v>
      </c>
      <c r="T113" s="52">
        <f t="shared" si="16"/>
        <v>0</v>
      </c>
      <c r="U113" s="69">
        <f t="shared" si="17"/>
        <v>0</v>
      </c>
      <c r="V113" s="42">
        <f t="shared" si="18"/>
        <v>0</v>
      </c>
      <c r="W113" s="70">
        <f t="shared" si="19"/>
        <v>0</v>
      </c>
      <c r="X113" s="53"/>
    </row>
    <row r="114" ht="15.75" customHeight="1">
      <c r="A114" s="54">
        <f t="shared" si="75"/>
        <v>108</v>
      </c>
      <c r="B114" s="55"/>
      <c r="C114" s="56"/>
      <c r="D114" s="57" t="str">
        <f t="shared" si="63"/>
        <v/>
      </c>
      <c r="E114" s="58"/>
      <c r="F114" s="58"/>
      <c r="G114" s="59"/>
      <c r="H114" s="58"/>
      <c r="I114" s="60"/>
      <c r="J114" s="58"/>
      <c r="K114" s="60"/>
      <c r="L114" s="58"/>
      <c r="M114" s="61" t="str">
        <f t="shared" si="25"/>
        <v/>
      </c>
      <c r="N114" s="62">
        <f t="shared" ref="N114:O114" si="130">Q114+U114</f>
        <v>0</v>
      </c>
      <c r="O114" s="58">
        <f t="shared" si="130"/>
        <v>0</v>
      </c>
      <c r="P114" s="63">
        <f t="shared" si="12"/>
        <v>0</v>
      </c>
      <c r="Q114" s="64">
        <f t="shared" si="13"/>
        <v>0</v>
      </c>
      <c r="R114" s="65">
        <f t="shared" si="14"/>
        <v>0</v>
      </c>
      <c r="S114" s="66">
        <f t="shared" si="15"/>
        <v>0</v>
      </c>
      <c r="T114" s="67">
        <f t="shared" si="16"/>
        <v>0</v>
      </c>
      <c r="U114" s="62">
        <f t="shared" si="17"/>
        <v>0</v>
      </c>
      <c r="V114" s="58">
        <f t="shared" si="18"/>
        <v>0</v>
      </c>
      <c r="W114" s="63">
        <f t="shared" si="19"/>
        <v>0</v>
      </c>
      <c r="X114" s="53"/>
    </row>
    <row r="115" ht="15.75" customHeight="1">
      <c r="A115" s="38">
        <f t="shared" si="75"/>
        <v>109</v>
      </c>
      <c r="B115" s="39"/>
      <c r="C115" s="40"/>
      <c r="D115" s="41" t="str">
        <f t="shared" si="63"/>
        <v/>
      </c>
      <c r="E115" s="42"/>
      <c r="F115" s="42"/>
      <c r="G115" s="43"/>
      <c r="H115" s="42"/>
      <c r="I115" s="68"/>
      <c r="J115" s="42"/>
      <c r="K115" s="68"/>
      <c r="L115" s="42"/>
      <c r="M115" s="46" t="str">
        <f t="shared" si="25"/>
        <v/>
      </c>
      <c r="N115" s="69">
        <f t="shared" ref="N115:O115" si="131">Q115+U115</f>
        <v>0</v>
      </c>
      <c r="O115" s="42">
        <f t="shared" si="131"/>
        <v>0</v>
      </c>
      <c r="P115" s="70">
        <f t="shared" si="12"/>
        <v>0</v>
      </c>
      <c r="Q115" s="49">
        <f t="shared" si="13"/>
        <v>0</v>
      </c>
      <c r="R115" s="50">
        <f t="shared" si="14"/>
        <v>0</v>
      </c>
      <c r="S115" s="51">
        <f t="shared" si="15"/>
        <v>0</v>
      </c>
      <c r="T115" s="52">
        <f t="shared" si="16"/>
        <v>0</v>
      </c>
      <c r="U115" s="69">
        <f t="shared" si="17"/>
        <v>0</v>
      </c>
      <c r="V115" s="42">
        <f t="shared" si="18"/>
        <v>0</v>
      </c>
      <c r="W115" s="70">
        <f t="shared" si="19"/>
        <v>0</v>
      </c>
      <c r="X115" s="53"/>
    </row>
    <row r="116" ht="15.75" customHeight="1">
      <c r="A116" s="54">
        <f t="shared" si="75"/>
        <v>110</v>
      </c>
      <c r="B116" s="55"/>
      <c r="C116" s="56"/>
      <c r="D116" s="57" t="str">
        <f t="shared" si="63"/>
        <v/>
      </c>
      <c r="E116" s="58"/>
      <c r="F116" s="58"/>
      <c r="G116" s="59"/>
      <c r="H116" s="58"/>
      <c r="I116" s="60"/>
      <c r="J116" s="58"/>
      <c r="K116" s="60"/>
      <c r="L116" s="58"/>
      <c r="M116" s="61" t="str">
        <f t="shared" si="25"/>
        <v/>
      </c>
      <c r="N116" s="62">
        <f t="shared" ref="N116:O116" si="132">Q116+U116</f>
        <v>0</v>
      </c>
      <c r="O116" s="58">
        <f t="shared" si="132"/>
        <v>0</v>
      </c>
      <c r="P116" s="63">
        <f t="shared" si="12"/>
        <v>0</v>
      </c>
      <c r="Q116" s="64">
        <f t="shared" si="13"/>
        <v>0</v>
      </c>
      <c r="R116" s="65">
        <f t="shared" si="14"/>
        <v>0</v>
      </c>
      <c r="S116" s="66">
        <f t="shared" si="15"/>
        <v>0</v>
      </c>
      <c r="T116" s="67">
        <f t="shared" si="16"/>
        <v>0</v>
      </c>
      <c r="U116" s="62">
        <f t="shared" si="17"/>
        <v>0</v>
      </c>
      <c r="V116" s="58">
        <f t="shared" si="18"/>
        <v>0</v>
      </c>
      <c r="W116" s="63">
        <f t="shared" si="19"/>
        <v>0</v>
      </c>
      <c r="X116" s="53"/>
    </row>
    <row r="117" ht="15.75" customHeight="1">
      <c r="A117" s="38">
        <f t="shared" si="75"/>
        <v>111</v>
      </c>
      <c r="B117" s="39"/>
      <c r="C117" s="40"/>
      <c r="D117" s="41" t="str">
        <f t="shared" si="63"/>
        <v/>
      </c>
      <c r="E117" s="42"/>
      <c r="F117" s="42"/>
      <c r="G117" s="43"/>
      <c r="H117" s="42"/>
      <c r="I117" s="68"/>
      <c r="J117" s="42"/>
      <c r="K117" s="68"/>
      <c r="L117" s="42"/>
      <c r="M117" s="46" t="str">
        <f t="shared" si="25"/>
        <v/>
      </c>
      <c r="N117" s="69">
        <f t="shared" ref="N117:O117" si="133">Q117+U117</f>
        <v>0</v>
      </c>
      <c r="O117" s="42">
        <f t="shared" si="133"/>
        <v>0</v>
      </c>
      <c r="P117" s="70">
        <f t="shared" si="12"/>
        <v>0</v>
      </c>
      <c r="Q117" s="49">
        <f t="shared" si="13"/>
        <v>0</v>
      </c>
      <c r="R117" s="50">
        <f t="shared" si="14"/>
        <v>0</v>
      </c>
      <c r="S117" s="51">
        <f t="shared" si="15"/>
        <v>0</v>
      </c>
      <c r="T117" s="52">
        <f t="shared" si="16"/>
        <v>0</v>
      </c>
      <c r="U117" s="69">
        <f t="shared" si="17"/>
        <v>0</v>
      </c>
      <c r="V117" s="42">
        <f t="shared" si="18"/>
        <v>0</v>
      </c>
      <c r="W117" s="70">
        <f t="shared" si="19"/>
        <v>0</v>
      </c>
      <c r="X117" s="53"/>
    </row>
    <row r="118" ht="15.75" customHeight="1">
      <c r="A118" s="54">
        <f t="shared" si="75"/>
        <v>112</v>
      </c>
      <c r="B118" s="55"/>
      <c r="C118" s="56"/>
      <c r="D118" s="57" t="str">
        <f t="shared" si="63"/>
        <v/>
      </c>
      <c r="E118" s="58"/>
      <c r="F118" s="58"/>
      <c r="G118" s="59"/>
      <c r="H118" s="58"/>
      <c r="I118" s="60"/>
      <c r="J118" s="58"/>
      <c r="K118" s="60"/>
      <c r="L118" s="58"/>
      <c r="M118" s="61" t="str">
        <f t="shared" si="25"/>
        <v/>
      </c>
      <c r="N118" s="62">
        <f t="shared" ref="N118:O118" si="134">Q118+U118</f>
        <v>0</v>
      </c>
      <c r="O118" s="58">
        <f t="shared" si="134"/>
        <v>0</v>
      </c>
      <c r="P118" s="63">
        <f t="shared" si="12"/>
        <v>0</v>
      </c>
      <c r="Q118" s="64">
        <f t="shared" si="13"/>
        <v>0</v>
      </c>
      <c r="R118" s="65">
        <f t="shared" si="14"/>
        <v>0</v>
      </c>
      <c r="S118" s="66">
        <f t="shared" si="15"/>
        <v>0</v>
      </c>
      <c r="T118" s="67">
        <f t="shared" si="16"/>
        <v>0</v>
      </c>
      <c r="U118" s="62">
        <f t="shared" si="17"/>
        <v>0</v>
      </c>
      <c r="V118" s="58">
        <f t="shared" si="18"/>
        <v>0</v>
      </c>
      <c r="W118" s="63">
        <f t="shared" si="19"/>
        <v>0</v>
      </c>
      <c r="X118" s="53"/>
    </row>
    <row r="119" ht="15.75" customHeight="1">
      <c r="A119" s="38">
        <f t="shared" si="75"/>
        <v>113</v>
      </c>
      <c r="B119" s="39"/>
      <c r="C119" s="40"/>
      <c r="D119" s="41" t="str">
        <f t="shared" si="63"/>
        <v/>
      </c>
      <c r="E119" s="42"/>
      <c r="F119" s="42"/>
      <c r="G119" s="43"/>
      <c r="H119" s="42"/>
      <c r="I119" s="68"/>
      <c r="J119" s="42"/>
      <c r="K119" s="68"/>
      <c r="L119" s="42"/>
      <c r="M119" s="46" t="str">
        <f t="shared" si="25"/>
        <v/>
      </c>
      <c r="N119" s="69">
        <f t="shared" ref="N119:O119" si="135">Q119+U119</f>
        <v>0</v>
      </c>
      <c r="O119" s="42">
        <f t="shared" si="135"/>
        <v>0</v>
      </c>
      <c r="P119" s="70">
        <f t="shared" si="12"/>
        <v>0</v>
      </c>
      <c r="Q119" s="49">
        <f t="shared" si="13"/>
        <v>0</v>
      </c>
      <c r="R119" s="50">
        <f t="shared" si="14"/>
        <v>0</v>
      </c>
      <c r="S119" s="51">
        <f t="shared" si="15"/>
        <v>0</v>
      </c>
      <c r="T119" s="52">
        <f t="shared" si="16"/>
        <v>0</v>
      </c>
      <c r="U119" s="69">
        <f t="shared" si="17"/>
        <v>0</v>
      </c>
      <c r="V119" s="42">
        <f t="shared" si="18"/>
        <v>0</v>
      </c>
      <c r="W119" s="70">
        <f t="shared" si="19"/>
        <v>0</v>
      </c>
      <c r="X119" s="53"/>
    </row>
    <row r="120" ht="15.75" customHeight="1">
      <c r="A120" s="54">
        <f t="shared" si="75"/>
        <v>114</v>
      </c>
      <c r="B120" s="55"/>
      <c r="C120" s="56"/>
      <c r="D120" s="57" t="str">
        <f t="shared" si="63"/>
        <v/>
      </c>
      <c r="E120" s="58"/>
      <c r="F120" s="58"/>
      <c r="G120" s="59"/>
      <c r="H120" s="58"/>
      <c r="I120" s="60"/>
      <c r="J120" s="58"/>
      <c r="K120" s="60"/>
      <c r="L120" s="58"/>
      <c r="M120" s="61" t="str">
        <f t="shared" si="25"/>
        <v/>
      </c>
      <c r="N120" s="62">
        <f t="shared" ref="N120:O120" si="136">Q120+U120</f>
        <v>0</v>
      </c>
      <c r="O120" s="58">
        <f t="shared" si="136"/>
        <v>0</v>
      </c>
      <c r="P120" s="63">
        <f t="shared" si="12"/>
        <v>0</v>
      </c>
      <c r="Q120" s="64">
        <f t="shared" si="13"/>
        <v>0</v>
      </c>
      <c r="R120" s="65">
        <f t="shared" si="14"/>
        <v>0</v>
      </c>
      <c r="S120" s="66">
        <f t="shared" si="15"/>
        <v>0</v>
      </c>
      <c r="T120" s="67">
        <f t="shared" si="16"/>
        <v>0</v>
      </c>
      <c r="U120" s="62">
        <f t="shared" si="17"/>
        <v>0</v>
      </c>
      <c r="V120" s="58">
        <f t="shared" si="18"/>
        <v>0</v>
      </c>
      <c r="W120" s="63">
        <f t="shared" si="19"/>
        <v>0</v>
      </c>
      <c r="X120" s="53"/>
    </row>
    <row r="121" ht="15.75" customHeight="1">
      <c r="A121" s="38">
        <f t="shared" si="75"/>
        <v>115</v>
      </c>
      <c r="B121" s="39"/>
      <c r="C121" s="40"/>
      <c r="D121" s="41" t="str">
        <f t="shared" si="63"/>
        <v/>
      </c>
      <c r="E121" s="42"/>
      <c r="F121" s="42"/>
      <c r="G121" s="43"/>
      <c r="H121" s="42"/>
      <c r="I121" s="68"/>
      <c r="J121" s="42"/>
      <c r="K121" s="68"/>
      <c r="L121" s="42"/>
      <c r="M121" s="46" t="str">
        <f t="shared" si="25"/>
        <v/>
      </c>
      <c r="N121" s="69">
        <f t="shared" ref="N121:O121" si="137">Q121+U121</f>
        <v>0</v>
      </c>
      <c r="O121" s="42">
        <f t="shared" si="137"/>
        <v>0</v>
      </c>
      <c r="P121" s="70">
        <f t="shared" si="12"/>
        <v>0</v>
      </c>
      <c r="Q121" s="49">
        <f t="shared" si="13"/>
        <v>0</v>
      </c>
      <c r="R121" s="50">
        <f t="shared" si="14"/>
        <v>0</v>
      </c>
      <c r="S121" s="51">
        <f t="shared" si="15"/>
        <v>0</v>
      </c>
      <c r="T121" s="52">
        <f t="shared" si="16"/>
        <v>0</v>
      </c>
      <c r="U121" s="69">
        <f t="shared" si="17"/>
        <v>0</v>
      </c>
      <c r="V121" s="42">
        <f t="shared" si="18"/>
        <v>0</v>
      </c>
      <c r="W121" s="70">
        <f t="shared" si="19"/>
        <v>0</v>
      </c>
      <c r="X121" s="53"/>
    </row>
    <row r="122" ht="15.75" customHeight="1">
      <c r="A122" s="54">
        <f t="shared" si="75"/>
        <v>116</v>
      </c>
      <c r="B122" s="55"/>
      <c r="C122" s="56"/>
      <c r="D122" s="57" t="str">
        <f t="shared" si="63"/>
        <v/>
      </c>
      <c r="E122" s="58"/>
      <c r="F122" s="58"/>
      <c r="G122" s="59"/>
      <c r="H122" s="58"/>
      <c r="I122" s="60"/>
      <c r="J122" s="58"/>
      <c r="K122" s="60"/>
      <c r="L122" s="58"/>
      <c r="M122" s="61" t="str">
        <f t="shared" si="25"/>
        <v/>
      </c>
      <c r="N122" s="62">
        <f t="shared" ref="N122:O122" si="138">Q122+U122</f>
        <v>0</v>
      </c>
      <c r="O122" s="58">
        <f t="shared" si="138"/>
        <v>0</v>
      </c>
      <c r="P122" s="63">
        <f t="shared" si="12"/>
        <v>0</v>
      </c>
      <c r="Q122" s="64">
        <f t="shared" si="13"/>
        <v>0</v>
      </c>
      <c r="R122" s="65">
        <f t="shared" si="14"/>
        <v>0</v>
      </c>
      <c r="S122" s="66">
        <f t="shared" si="15"/>
        <v>0</v>
      </c>
      <c r="T122" s="67">
        <f t="shared" si="16"/>
        <v>0</v>
      </c>
      <c r="U122" s="62">
        <f t="shared" si="17"/>
        <v>0</v>
      </c>
      <c r="V122" s="58">
        <f t="shared" si="18"/>
        <v>0</v>
      </c>
      <c r="W122" s="63">
        <f t="shared" si="19"/>
        <v>0</v>
      </c>
      <c r="X122" s="53"/>
    </row>
    <row r="123" ht="15.75" customHeight="1">
      <c r="A123" s="38">
        <f t="shared" si="75"/>
        <v>117</v>
      </c>
      <c r="B123" s="39"/>
      <c r="C123" s="40"/>
      <c r="D123" s="41" t="str">
        <f t="shared" si="63"/>
        <v/>
      </c>
      <c r="E123" s="42"/>
      <c r="F123" s="42"/>
      <c r="G123" s="43"/>
      <c r="H123" s="42"/>
      <c r="I123" s="68"/>
      <c r="J123" s="42"/>
      <c r="K123" s="68"/>
      <c r="L123" s="42"/>
      <c r="M123" s="46" t="str">
        <f t="shared" si="25"/>
        <v/>
      </c>
      <c r="N123" s="69">
        <f t="shared" ref="N123:O123" si="139">Q123+U123</f>
        <v>0</v>
      </c>
      <c r="O123" s="42">
        <f t="shared" si="139"/>
        <v>0</v>
      </c>
      <c r="P123" s="70">
        <f t="shared" si="12"/>
        <v>0</v>
      </c>
      <c r="Q123" s="49">
        <f t="shared" si="13"/>
        <v>0</v>
      </c>
      <c r="R123" s="50">
        <f t="shared" si="14"/>
        <v>0</v>
      </c>
      <c r="S123" s="51">
        <f t="shared" si="15"/>
        <v>0</v>
      </c>
      <c r="T123" s="52">
        <f t="shared" si="16"/>
        <v>0</v>
      </c>
      <c r="U123" s="69">
        <f t="shared" si="17"/>
        <v>0</v>
      </c>
      <c r="V123" s="42">
        <f t="shared" si="18"/>
        <v>0</v>
      </c>
      <c r="W123" s="70">
        <f t="shared" si="19"/>
        <v>0</v>
      </c>
      <c r="X123" s="53"/>
    </row>
    <row r="124" ht="15.75" customHeight="1">
      <c r="A124" s="54"/>
      <c r="B124" s="55"/>
      <c r="C124" s="56"/>
      <c r="D124" s="57"/>
      <c r="E124" s="58"/>
      <c r="F124" s="58"/>
      <c r="G124" s="59"/>
      <c r="H124" s="58"/>
      <c r="I124" s="60"/>
      <c r="J124" s="58"/>
      <c r="K124" s="60"/>
      <c r="L124" s="58"/>
      <c r="M124" s="61"/>
      <c r="N124" s="62"/>
      <c r="O124" s="58"/>
      <c r="P124" s="63"/>
      <c r="Q124" s="64">
        <f t="shared" si="13"/>
        <v>0</v>
      </c>
      <c r="R124" s="65"/>
      <c r="S124" s="66">
        <f t="shared" si="15"/>
        <v>0</v>
      </c>
      <c r="T124" s="67">
        <f t="shared" si="16"/>
        <v>0</v>
      </c>
      <c r="U124" s="62"/>
      <c r="V124" s="58"/>
      <c r="W124" s="63"/>
      <c r="X124" s="53"/>
    </row>
    <row r="125" ht="15.75" customHeight="1">
      <c r="A125" s="38"/>
      <c r="B125" s="39"/>
      <c r="C125" s="40"/>
      <c r="D125" s="41"/>
      <c r="E125" s="42"/>
      <c r="F125" s="42"/>
      <c r="G125" s="42"/>
      <c r="H125" s="42"/>
      <c r="I125" s="68"/>
      <c r="J125" s="42"/>
      <c r="K125" s="68"/>
      <c r="L125" s="42"/>
      <c r="M125" s="43"/>
      <c r="N125" s="69"/>
      <c r="O125" s="42"/>
      <c r="P125" s="70"/>
      <c r="Q125" s="49">
        <f t="shared" si="13"/>
        <v>0</v>
      </c>
      <c r="R125" s="50"/>
      <c r="S125" s="51">
        <f t="shared" si="15"/>
        <v>0</v>
      </c>
      <c r="T125" s="52">
        <f t="shared" si="16"/>
        <v>0</v>
      </c>
      <c r="U125" s="69"/>
      <c r="V125" s="42"/>
      <c r="W125" s="70"/>
      <c r="X125" s="53"/>
    </row>
    <row r="126" ht="15.75" customHeight="1">
      <c r="A126" s="54"/>
      <c r="B126" s="80"/>
      <c r="C126" s="81"/>
      <c r="D126" s="82"/>
      <c r="E126" s="83"/>
      <c r="F126" s="83"/>
      <c r="G126" s="83"/>
      <c r="H126" s="83"/>
      <c r="I126" s="84"/>
      <c r="J126" s="83"/>
      <c r="K126" s="84"/>
      <c r="L126" s="83"/>
      <c r="M126" s="85"/>
      <c r="N126" s="86"/>
      <c r="O126" s="83"/>
      <c r="P126" s="87"/>
      <c r="Q126" s="88">
        <f t="shared" si="13"/>
        <v>0</v>
      </c>
      <c r="R126" s="89"/>
      <c r="S126" s="90">
        <f t="shared" si="15"/>
        <v>0</v>
      </c>
      <c r="T126" s="91">
        <f t="shared" si="16"/>
        <v>0</v>
      </c>
      <c r="U126" s="86"/>
      <c r="V126" s="83"/>
      <c r="W126" s="87"/>
      <c r="X126" s="6"/>
    </row>
    <row r="127" ht="15.75" customHeight="1">
      <c r="S127" s="92"/>
      <c r="X127" s="6"/>
    </row>
    <row r="128" ht="15.75" customHeight="1">
      <c r="S128" s="92"/>
      <c r="X128" s="6"/>
    </row>
    <row r="129" ht="15.75" customHeight="1">
      <c r="S129" s="92"/>
      <c r="X129" s="6"/>
    </row>
    <row r="130" ht="15.75" customHeight="1">
      <c r="S130" s="92"/>
      <c r="X130" s="6"/>
    </row>
    <row r="131" ht="15.75" customHeight="1">
      <c r="S131" s="92"/>
      <c r="X131" s="6"/>
    </row>
    <row r="132" ht="15.75" customHeight="1">
      <c r="S132" s="92"/>
      <c r="X132" s="6"/>
    </row>
    <row r="133" ht="15.75" customHeight="1">
      <c r="S133" s="92"/>
      <c r="X133" s="6"/>
    </row>
    <row r="134" ht="15.75" customHeight="1">
      <c r="S134" s="92"/>
      <c r="X134" s="6"/>
    </row>
    <row r="135" ht="15.75" customHeight="1">
      <c r="S135" s="92"/>
      <c r="X135" s="6"/>
    </row>
    <row r="136" ht="15.75" customHeight="1">
      <c r="S136" s="92"/>
      <c r="X136" s="6"/>
    </row>
    <row r="137" ht="15.75" customHeight="1">
      <c r="S137" s="92"/>
      <c r="X137" s="6"/>
    </row>
    <row r="138" ht="15.75" customHeight="1">
      <c r="S138" s="92"/>
      <c r="X138" s="6"/>
    </row>
    <row r="139" ht="15.75" customHeight="1">
      <c r="S139" s="92"/>
      <c r="X139" s="6"/>
    </row>
    <row r="140" ht="15.75" customHeight="1">
      <c r="S140" s="92"/>
      <c r="X140" s="6"/>
    </row>
    <row r="141" ht="15.75" customHeight="1">
      <c r="S141" s="92"/>
      <c r="X141" s="6"/>
    </row>
    <row r="142" ht="15.75" customHeight="1">
      <c r="S142" s="92"/>
      <c r="X142" s="6"/>
    </row>
    <row r="143" ht="15.75" customHeight="1">
      <c r="S143" s="92"/>
      <c r="X143" s="6"/>
    </row>
    <row r="144" ht="15.75" customHeight="1">
      <c r="S144" s="92"/>
      <c r="X144" s="6"/>
    </row>
    <row r="145" ht="15.75" customHeight="1">
      <c r="S145" s="92"/>
      <c r="X145" s="6"/>
    </row>
    <row r="146" ht="15.75" customHeight="1">
      <c r="S146" s="92"/>
      <c r="X146" s="6"/>
    </row>
    <row r="147" ht="15.75" customHeight="1">
      <c r="S147" s="92"/>
      <c r="X147" s="6"/>
    </row>
    <row r="148" ht="15.75" customHeight="1">
      <c r="S148" s="92"/>
      <c r="X148" s="6"/>
    </row>
    <row r="149" ht="15.75" customHeight="1">
      <c r="S149" s="92"/>
      <c r="X149" s="6"/>
    </row>
    <row r="150" ht="15.75" customHeight="1">
      <c r="S150" s="92"/>
      <c r="X150" s="6"/>
    </row>
    <row r="151" ht="15.75" customHeight="1">
      <c r="S151" s="92"/>
      <c r="X151" s="6"/>
    </row>
    <row r="152" ht="15.75" customHeight="1">
      <c r="S152" s="92"/>
      <c r="X152" s="6"/>
    </row>
    <row r="153" ht="15.75" customHeight="1">
      <c r="S153" s="92"/>
      <c r="X153" s="6"/>
    </row>
    <row r="154" ht="15.75" customHeight="1">
      <c r="S154" s="92"/>
      <c r="X154" s="6"/>
    </row>
    <row r="155" ht="15.75" customHeight="1">
      <c r="S155" s="92"/>
      <c r="X155" s="6"/>
    </row>
    <row r="156" ht="15.75" customHeight="1">
      <c r="S156" s="92"/>
      <c r="X156" s="6"/>
    </row>
    <row r="157" ht="15.75" customHeight="1">
      <c r="S157" s="92"/>
      <c r="X157" s="6"/>
    </row>
    <row r="158" ht="15.75" customHeight="1">
      <c r="S158" s="92"/>
      <c r="X158" s="6"/>
    </row>
    <row r="159" ht="15.75" customHeight="1">
      <c r="S159" s="92"/>
      <c r="X159" s="6"/>
    </row>
    <row r="160" ht="15.75" customHeight="1">
      <c r="S160" s="92"/>
      <c r="X160" s="6"/>
    </row>
    <row r="161" ht="15.75" customHeight="1">
      <c r="S161" s="92"/>
      <c r="X161" s="6"/>
    </row>
    <row r="162" ht="15.75" customHeight="1">
      <c r="S162" s="92"/>
      <c r="X162" s="6"/>
    </row>
    <row r="163" ht="15.75" customHeight="1">
      <c r="S163" s="92"/>
      <c r="X163" s="6"/>
    </row>
    <row r="164" ht="15.75" customHeight="1">
      <c r="S164" s="92"/>
      <c r="X164" s="6"/>
    </row>
    <row r="165" ht="15.75" customHeight="1">
      <c r="S165" s="92"/>
      <c r="X165" s="6"/>
    </row>
    <row r="166" ht="15.75" customHeight="1">
      <c r="S166" s="92"/>
      <c r="X166" s="6"/>
    </row>
    <row r="167" ht="15.75" customHeight="1">
      <c r="S167" s="92"/>
      <c r="X167" s="6"/>
    </row>
    <row r="168" ht="15.75" customHeight="1">
      <c r="S168" s="92"/>
      <c r="X168" s="6"/>
    </row>
    <row r="169" ht="15.75" customHeight="1">
      <c r="S169" s="92"/>
      <c r="X169" s="6"/>
    </row>
    <row r="170" ht="15.75" customHeight="1">
      <c r="S170" s="92"/>
      <c r="X170" s="6"/>
    </row>
    <row r="171" ht="15.75" customHeight="1">
      <c r="S171" s="92"/>
      <c r="X171" s="6"/>
    </row>
    <row r="172" ht="15.75" customHeight="1">
      <c r="S172" s="92"/>
      <c r="X172" s="6"/>
    </row>
    <row r="173" ht="15.75" customHeight="1">
      <c r="S173" s="92"/>
      <c r="X173" s="6"/>
    </row>
    <row r="174" ht="15.75" customHeight="1">
      <c r="S174" s="92"/>
      <c r="X174" s="6"/>
    </row>
    <row r="175" ht="15.75" customHeight="1">
      <c r="S175" s="92"/>
      <c r="X175" s="6"/>
    </row>
    <row r="176" ht="15.75" customHeight="1">
      <c r="S176" s="92"/>
      <c r="X176" s="6"/>
    </row>
    <row r="177" ht="15.75" customHeight="1">
      <c r="S177" s="92"/>
      <c r="X177" s="6"/>
    </row>
    <row r="178" ht="15.75" customHeight="1">
      <c r="S178" s="92"/>
      <c r="X178" s="6"/>
    </row>
    <row r="179" ht="15.75" customHeight="1">
      <c r="S179" s="92"/>
      <c r="X179" s="6"/>
    </row>
    <row r="180" ht="15.75" customHeight="1">
      <c r="S180" s="92"/>
      <c r="X180" s="6"/>
    </row>
    <row r="181" ht="15.75" customHeight="1">
      <c r="S181" s="92"/>
      <c r="X181" s="6"/>
    </row>
    <row r="182" ht="15.75" customHeight="1">
      <c r="S182" s="92"/>
      <c r="X182" s="6"/>
    </row>
    <row r="183" ht="15.75" customHeight="1">
      <c r="S183" s="92"/>
      <c r="X183" s="6"/>
    </row>
    <row r="184" ht="15.75" customHeight="1">
      <c r="S184" s="92"/>
      <c r="X184" s="6"/>
    </row>
    <row r="185" ht="15.75" customHeight="1">
      <c r="S185" s="92"/>
      <c r="X185" s="6"/>
    </row>
    <row r="186" ht="15.75" customHeight="1">
      <c r="S186" s="92"/>
      <c r="X186" s="6"/>
    </row>
    <row r="187" ht="15.75" customHeight="1">
      <c r="S187" s="92"/>
      <c r="X187" s="6"/>
    </row>
    <row r="188" ht="15.75" customHeight="1">
      <c r="S188" s="92"/>
      <c r="X188" s="6"/>
    </row>
    <row r="189" ht="15.75" customHeight="1">
      <c r="S189" s="92"/>
      <c r="X189" s="6"/>
    </row>
    <row r="190" ht="15.75" customHeight="1">
      <c r="S190" s="92"/>
      <c r="X190" s="6"/>
    </row>
    <row r="191" ht="15.75" customHeight="1">
      <c r="S191" s="92"/>
      <c r="X191" s="6"/>
    </row>
    <row r="192" ht="15.75" customHeight="1">
      <c r="S192" s="92"/>
      <c r="X192" s="6"/>
    </row>
    <row r="193" ht="15.75" customHeight="1">
      <c r="S193" s="92"/>
      <c r="X193" s="6"/>
    </row>
    <row r="194" ht="15.75" customHeight="1">
      <c r="S194" s="92"/>
      <c r="X194" s="6"/>
    </row>
    <row r="195" ht="15.75" customHeight="1">
      <c r="S195" s="92"/>
      <c r="X195" s="6"/>
    </row>
    <row r="196" ht="15.75" customHeight="1">
      <c r="S196" s="92"/>
      <c r="X196" s="6"/>
    </row>
    <row r="197" ht="15.75" customHeight="1">
      <c r="S197" s="92"/>
      <c r="X197" s="6"/>
    </row>
    <row r="198" ht="15.75" customHeight="1">
      <c r="S198" s="92"/>
      <c r="X198" s="6"/>
    </row>
    <row r="199" ht="15.75" customHeight="1">
      <c r="S199" s="92"/>
      <c r="X199" s="6"/>
    </row>
    <row r="200" ht="15.75" customHeight="1">
      <c r="S200" s="92"/>
      <c r="X200" s="6"/>
    </row>
    <row r="201" ht="15.75" customHeight="1">
      <c r="S201" s="92"/>
      <c r="X201" s="6"/>
    </row>
    <row r="202" ht="15.75" customHeight="1">
      <c r="S202" s="92"/>
      <c r="X202" s="6"/>
    </row>
    <row r="203" ht="15.75" customHeight="1">
      <c r="S203" s="92"/>
      <c r="X203" s="6"/>
    </row>
    <row r="204" ht="15.75" customHeight="1">
      <c r="S204" s="92"/>
      <c r="X204" s="6"/>
    </row>
    <row r="205" ht="15.75" customHeight="1">
      <c r="S205" s="92"/>
      <c r="X205" s="6"/>
    </row>
    <row r="206" ht="15.75" customHeight="1">
      <c r="S206" s="92"/>
      <c r="X206" s="6"/>
    </row>
    <row r="207" ht="15.75" customHeight="1">
      <c r="S207" s="92"/>
      <c r="X207" s="6"/>
    </row>
    <row r="208" ht="15.75" customHeight="1">
      <c r="S208" s="92"/>
      <c r="X208" s="6"/>
    </row>
    <row r="209" ht="15.75" customHeight="1">
      <c r="S209" s="92"/>
      <c r="X209" s="6"/>
    </row>
    <row r="210" ht="15.75" customHeight="1">
      <c r="S210" s="92"/>
      <c r="X210" s="6"/>
    </row>
    <row r="211" ht="15.75" customHeight="1">
      <c r="S211" s="92"/>
      <c r="X211" s="6"/>
    </row>
    <row r="212" ht="15.75" customHeight="1">
      <c r="S212" s="92"/>
      <c r="X212" s="6"/>
    </row>
    <row r="213" ht="15.75" customHeight="1">
      <c r="S213" s="92"/>
      <c r="X213" s="6"/>
    </row>
    <row r="214" ht="15.75" customHeight="1">
      <c r="S214" s="92"/>
      <c r="X214" s="6"/>
    </row>
    <row r="215" ht="15.75" customHeight="1">
      <c r="S215" s="92"/>
      <c r="X215" s="6"/>
    </row>
    <row r="216" ht="15.75" customHeight="1">
      <c r="S216" s="92"/>
      <c r="X216" s="6"/>
    </row>
    <row r="217" ht="15.75" customHeight="1">
      <c r="S217" s="92"/>
      <c r="X217" s="6"/>
    </row>
    <row r="218" ht="15.75" customHeight="1">
      <c r="S218" s="92"/>
      <c r="X218" s="6"/>
    </row>
    <row r="219" ht="15.75" customHeight="1">
      <c r="S219" s="92"/>
      <c r="X219" s="6"/>
    </row>
    <row r="220" ht="15.75" customHeight="1">
      <c r="S220" s="92"/>
      <c r="X220" s="6"/>
    </row>
    <row r="221" ht="15.75" customHeight="1">
      <c r="S221" s="92"/>
      <c r="X221" s="6"/>
    </row>
    <row r="222" ht="15.75" customHeight="1">
      <c r="S222" s="92"/>
      <c r="X222" s="6"/>
    </row>
    <row r="223" ht="15.75" customHeight="1">
      <c r="S223" s="92"/>
      <c r="X223" s="6"/>
    </row>
    <row r="224" ht="15.75" customHeight="1">
      <c r="S224" s="92"/>
      <c r="X224" s="6"/>
    </row>
    <row r="225" ht="15.75" customHeight="1">
      <c r="S225" s="92"/>
      <c r="X225" s="6"/>
    </row>
    <row r="226" ht="15.75" customHeight="1">
      <c r="S226" s="92"/>
      <c r="X226" s="6"/>
    </row>
    <row r="227" ht="15.75" customHeight="1">
      <c r="S227" s="92"/>
      <c r="X227" s="6"/>
    </row>
    <row r="228" ht="15.75" customHeight="1">
      <c r="S228" s="92"/>
      <c r="X228" s="6"/>
    </row>
    <row r="229" ht="15.75" customHeight="1">
      <c r="S229" s="92"/>
      <c r="X229" s="6"/>
    </row>
    <row r="230" ht="15.75" customHeight="1">
      <c r="S230" s="92"/>
      <c r="X230" s="6"/>
    </row>
    <row r="231" ht="15.75" customHeight="1">
      <c r="S231" s="92"/>
      <c r="X231" s="6"/>
    </row>
    <row r="232" ht="15.75" customHeight="1">
      <c r="S232" s="92"/>
      <c r="X232" s="6"/>
    </row>
    <row r="233" ht="15.75" customHeight="1">
      <c r="S233" s="92"/>
      <c r="X233" s="6"/>
    </row>
    <row r="234" ht="15.75" customHeight="1">
      <c r="S234" s="92"/>
      <c r="X234" s="6"/>
    </row>
    <row r="235" ht="15.75" customHeight="1">
      <c r="S235" s="92"/>
      <c r="X235" s="6"/>
    </row>
    <row r="236" ht="15.75" customHeight="1">
      <c r="S236" s="92"/>
      <c r="X236" s="6"/>
    </row>
    <row r="237" ht="15.75" customHeight="1">
      <c r="S237" s="92"/>
      <c r="X237" s="6"/>
    </row>
    <row r="238" ht="15.75" customHeight="1">
      <c r="S238" s="92"/>
      <c r="X238" s="6"/>
    </row>
    <row r="239" ht="15.75" customHeight="1">
      <c r="S239" s="92"/>
      <c r="X239" s="6"/>
    </row>
    <row r="240" ht="15.75" customHeight="1">
      <c r="S240" s="92"/>
      <c r="X240" s="6"/>
    </row>
    <row r="241" ht="15.75" customHeight="1">
      <c r="S241" s="92"/>
      <c r="X241" s="6"/>
    </row>
    <row r="242" ht="15.75" customHeight="1">
      <c r="S242" s="92"/>
      <c r="X242" s="6"/>
    </row>
    <row r="243" ht="15.75" customHeight="1">
      <c r="S243" s="92"/>
      <c r="X243" s="6"/>
    </row>
    <row r="244" ht="15.75" customHeight="1">
      <c r="S244" s="92"/>
      <c r="X244" s="6"/>
    </row>
    <row r="245" ht="15.75" customHeight="1">
      <c r="S245" s="92"/>
      <c r="X245" s="6"/>
    </row>
    <row r="246" ht="15.75" customHeight="1">
      <c r="S246" s="92"/>
      <c r="X246" s="6"/>
    </row>
    <row r="247" ht="15.75" customHeight="1">
      <c r="S247" s="92"/>
      <c r="X247" s="6"/>
    </row>
    <row r="248" ht="15.75" customHeight="1">
      <c r="S248" s="92"/>
      <c r="X248" s="6"/>
    </row>
    <row r="249" ht="15.75" customHeight="1">
      <c r="S249" s="92"/>
      <c r="X249" s="6"/>
    </row>
    <row r="250" ht="15.75" customHeight="1">
      <c r="S250" s="92"/>
      <c r="X250" s="6"/>
    </row>
    <row r="251" ht="15.75" customHeight="1">
      <c r="S251" s="92"/>
      <c r="X251" s="6"/>
    </row>
    <row r="252" ht="15.75" customHeight="1">
      <c r="S252" s="92"/>
      <c r="X252" s="6"/>
    </row>
    <row r="253" ht="15.75" customHeight="1">
      <c r="S253" s="92"/>
      <c r="X253" s="6"/>
    </row>
    <row r="254" ht="15.75" customHeight="1">
      <c r="S254" s="92"/>
      <c r="X254" s="6"/>
    </row>
    <row r="255" ht="15.75" customHeight="1">
      <c r="S255" s="92"/>
      <c r="X255" s="6"/>
    </row>
    <row r="256" ht="15.75" customHeight="1">
      <c r="S256" s="92"/>
      <c r="X256" s="6"/>
    </row>
    <row r="257" ht="15.75" customHeight="1">
      <c r="S257" s="92"/>
      <c r="X257" s="6"/>
    </row>
    <row r="258" ht="15.75" customHeight="1">
      <c r="S258" s="92"/>
      <c r="X258" s="6"/>
    </row>
    <row r="259" ht="15.75" customHeight="1">
      <c r="S259" s="92"/>
      <c r="X259" s="6"/>
    </row>
    <row r="260" ht="15.75" customHeight="1">
      <c r="S260" s="92"/>
      <c r="X260" s="6"/>
    </row>
    <row r="261" ht="15.75" customHeight="1">
      <c r="S261" s="92"/>
      <c r="X261" s="6"/>
    </row>
    <row r="262" ht="15.75" customHeight="1">
      <c r="S262" s="92"/>
      <c r="X262" s="6"/>
    </row>
    <row r="263" ht="15.75" customHeight="1">
      <c r="S263" s="92"/>
      <c r="X263" s="6"/>
    </row>
    <row r="264" ht="15.75" customHeight="1">
      <c r="S264" s="92"/>
      <c r="X264" s="6"/>
    </row>
    <row r="265" ht="15.75" customHeight="1">
      <c r="S265" s="92"/>
      <c r="X265" s="6"/>
    </row>
    <row r="266" ht="15.75" customHeight="1">
      <c r="S266" s="92"/>
      <c r="X266" s="6"/>
    </row>
    <row r="267" ht="15.75" customHeight="1">
      <c r="S267" s="92"/>
      <c r="X267" s="6"/>
    </row>
    <row r="268" ht="15.75" customHeight="1">
      <c r="S268" s="92"/>
      <c r="X268" s="6"/>
    </row>
    <row r="269" ht="15.75" customHeight="1">
      <c r="S269" s="92"/>
      <c r="X269" s="6"/>
    </row>
    <row r="270" ht="15.75" customHeight="1">
      <c r="S270" s="92"/>
      <c r="X270" s="6"/>
    </row>
    <row r="271" ht="15.75" customHeight="1">
      <c r="S271" s="92"/>
      <c r="X271" s="6"/>
    </row>
    <row r="272" ht="15.75" customHeight="1">
      <c r="S272" s="92"/>
      <c r="X272" s="6"/>
    </row>
    <row r="273" ht="15.75" customHeight="1">
      <c r="S273" s="92"/>
      <c r="X273" s="6"/>
    </row>
    <row r="274" ht="15.75" customHeight="1">
      <c r="S274" s="92"/>
      <c r="X274" s="6"/>
    </row>
    <row r="275" ht="15.75" customHeight="1">
      <c r="S275" s="92"/>
      <c r="X275" s="6"/>
    </row>
    <row r="276" ht="15.75" customHeight="1">
      <c r="S276" s="92"/>
      <c r="X276" s="6"/>
    </row>
    <row r="277" ht="15.75" customHeight="1">
      <c r="S277" s="92"/>
      <c r="X277" s="6"/>
    </row>
    <row r="278" ht="15.75" customHeight="1">
      <c r="S278" s="92"/>
      <c r="X278" s="6"/>
    </row>
    <row r="279" ht="15.75" customHeight="1">
      <c r="S279" s="92"/>
      <c r="X279" s="6"/>
    </row>
    <row r="280" ht="15.75" customHeight="1">
      <c r="S280" s="92"/>
      <c r="X280" s="6"/>
    </row>
    <row r="281" ht="15.75" customHeight="1">
      <c r="S281" s="92"/>
      <c r="X281" s="6"/>
    </row>
    <row r="282" ht="15.75" customHeight="1">
      <c r="S282" s="92"/>
      <c r="X282" s="6"/>
    </row>
    <row r="283" ht="15.75" customHeight="1">
      <c r="S283" s="92"/>
      <c r="X283" s="6"/>
    </row>
    <row r="284" ht="15.75" customHeight="1">
      <c r="S284" s="92"/>
      <c r="X284" s="6"/>
    </row>
    <row r="285" ht="15.75" customHeight="1">
      <c r="S285" s="92"/>
      <c r="X285" s="6"/>
    </row>
    <row r="286" ht="15.75" customHeight="1">
      <c r="S286" s="92"/>
      <c r="X286" s="6"/>
    </row>
    <row r="287" ht="15.75" customHeight="1">
      <c r="S287" s="92"/>
      <c r="X287" s="6"/>
    </row>
    <row r="288" ht="15.75" customHeight="1">
      <c r="S288" s="92"/>
      <c r="X288" s="6"/>
    </row>
    <row r="289" ht="15.75" customHeight="1">
      <c r="S289" s="92"/>
      <c r="X289" s="6"/>
    </row>
    <row r="290" ht="15.75" customHeight="1">
      <c r="S290" s="92"/>
      <c r="X290" s="6"/>
    </row>
    <row r="291" ht="15.75" customHeight="1">
      <c r="S291" s="92"/>
      <c r="X291" s="6"/>
    </row>
    <row r="292" ht="15.75" customHeight="1">
      <c r="S292" s="92"/>
      <c r="X292" s="6"/>
    </row>
    <row r="293" ht="15.75" customHeight="1">
      <c r="S293" s="92"/>
      <c r="X293" s="6"/>
    </row>
    <row r="294" ht="15.75" customHeight="1">
      <c r="S294" s="92"/>
      <c r="X294" s="6"/>
    </row>
    <row r="295" ht="15.75" customHeight="1">
      <c r="S295" s="92"/>
      <c r="X295" s="6"/>
    </row>
    <row r="296" ht="15.75" customHeight="1">
      <c r="S296" s="92"/>
      <c r="X296" s="6"/>
    </row>
    <row r="297" ht="15.75" customHeight="1">
      <c r="S297" s="92"/>
      <c r="X297" s="6"/>
    </row>
    <row r="298" ht="15.75" customHeight="1">
      <c r="S298" s="92"/>
      <c r="X298" s="6"/>
    </row>
    <row r="299" ht="15.75" customHeight="1">
      <c r="S299" s="92"/>
      <c r="X299" s="6"/>
    </row>
    <row r="300" ht="15.75" customHeight="1">
      <c r="S300" s="92"/>
      <c r="X300" s="6"/>
    </row>
    <row r="301" ht="15.75" customHeight="1">
      <c r="S301" s="92"/>
      <c r="X301" s="6"/>
    </row>
    <row r="302" ht="15.75" customHeight="1">
      <c r="S302" s="92"/>
      <c r="X302" s="6"/>
    </row>
    <row r="303" ht="15.75" customHeight="1">
      <c r="S303" s="92"/>
      <c r="X303" s="6"/>
    </row>
    <row r="304" ht="15.75" customHeight="1">
      <c r="S304" s="92"/>
      <c r="X304" s="6"/>
    </row>
    <row r="305" ht="15.75" customHeight="1">
      <c r="S305" s="92"/>
      <c r="X305" s="6"/>
    </row>
    <row r="306" ht="15.75" customHeight="1">
      <c r="S306" s="92"/>
      <c r="X306" s="6"/>
    </row>
    <row r="307" ht="15.75" customHeight="1">
      <c r="S307" s="92"/>
      <c r="X307" s="6"/>
    </row>
    <row r="308" ht="15.75" customHeight="1">
      <c r="S308" s="92"/>
      <c r="X308" s="6"/>
    </row>
    <row r="309" ht="15.75" customHeight="1">
      <c r="S309" s="92"/>
      <c r="X309" s="6"/>
    </row>
    <row r="310" ht="15.75" customHeight="1">
      <c r="S310" s="92"/>
      <c r="X310" s="6"/>
    </row>
    <row r="311" ht="15.75" customHeight="1">
      <c r="S311" s="92"/>
      <c r="X311" s="6"/>
    </row>
    <row r="312" ht="15.75" customHeight="1">
      <c r="S312" s="92"/>
      <c r="X312" s="6"/>
    </row>
    <row r="313" ht="15.75" customHeight="1">
      <c r="S313" s="92"/>
      <c r="X313" s="6"/>
    </row>
    <row r="314" ht="15.75" customHeight="1">
      <c r="S314" s="92"/>
      <c r="X314" s="6"/>
    </row>
    <row r="315" ht="15.75" customHeight="1">
      <c r="S315" s="92"/>
      <c r="X315" s="6"/>
    </row>
    <row r="316" ht="15.75" customHeight="1">
      <c r="S316" s="92"/>
      <c r="X316" s="6"/>
    </row>
    <row r="317" ht="15.75" customHeight="1">
      <c r="S317" s="92"/>
      <c r="X317" s="6"/>
    </row>
    <row r="318" ht="15.75" customHeight="1">
      <c r="S318" s="92"/>
      <c r="X318" s="6"/>
    </row>
    <row r="319" ht="15.75" customHeight="1">
      <c r="S319" s="92"/>
      <c r="X319" s="6"/>
    </row>
    <row r="320" ht="15.75" customHeight="1">
      <c r="S320" s="92"/>
      <c r="X320" s="6"/>
    </row>
    <row r="321" ht="15.75" customHeight="1">
      <c r="S321" s="92"/>
      <c r="X321" s="6"/>
    </row>
    <row r="322" ht="15.75" customHeight="1">
      <c r="S322" s="92"/>
      <c r="X322" s="6"/>
    </row>
    <row r="323" ht="15.75" customHeight="1">
      <c r="S323" s="92"/>
      <c r="X323" s="6"/>
    </row>
    <row r="324" ht="15.75" customHeight="1">
      <c r="S324" s="92"/>
      <c r="X324" s="6"/>
    </row>
    <row r="325" ht="15.75" customHeight="1">
      <c r="S325" s="92"/>
      <c r="X325" s="6"/>
    </row>
    <row r="326" ht="15.75" customHeight="1">
      <c r="S326" s="92"/>
      <c r="X326" s="6"/>
    </row>
    <row r="327" ht="15.75" customHeight="1">
      <c r="S327" s="92"/>
      <c r="X327" s="6"/>
    </row>
    <row r="328" ht="15.75" customHeight="1">
      <c r="S328" s="92"/>
      <c r="X328" s="6"/>
    </row>
    <row r="329" ht="15.75" customHeight="1">
      <c r="S329" s="92"/>
      <c r="X329" s="6"/>
    </row>
    <row r="330" ht="15.75" customHeight="1">
      <c r="S330" s="92"/>
      <c r="X330" s="6"/>
    </row>
    <row r="331" ht="15.75" customHeight="1">
      <c r="S331" s="92"/>
      <c r="X331" s="6"/>
    </row>
    <row r="332" ht="15.75" customHeight="1">
      <c r="S332" s="92"/>
      <c r="X332" s="6"/>
    </row>
    <row r="333" ht="15.75" customHeight="1">
      <c r="S333" s="92"/>
      <c r="X333" s="6"/>
    </row>
    <row r="334" ht="15.75" customHeight="1">
      <c r="S334" s="92"/>
      <c r="X334" s="6"/>
    </row>
    <row r="335" ht="15.75" customHeight="1">
      <c r="S335" s="92"/>
      <c r="X335" s="6"/>
    </row>
    <row r="336" ht="15.75" customHeight="1">
      <c r="S336" s="92"/>
      <c r="X336" s="6"/>
    </row>
    <row r="337" ht="15.75" customHeight="1">
      <c r="S337" s="92"/>
      <c r="X337" s="6"/>
    </row>
    <row r="338" ht="15.75" customHeight="1">
      <c r="S338" s="92"/>
      <c r="X338" s="6"/>
    </row>
    <row r="339" ht="15.75" customHeight="1">
      <c r="S339" s="92"/>
      <c r="X339" s="6"/>
    </row>
    <row r="340" ht="15.75" customHeight="1">
      <c r="S340" s="92"/>
      <c r="X340" s="6"/>
    </row>
    <row r="341" ht="15.75" customHeight="1">
      <c r="S341" s="92"/>
      <c r="X341" s="6"/>
    </row>
    <row r="342" ht="15.75" customHeight="1">
      <c r="S342" s="92"/>
      <c r="X342" s="6"/>
    </row>
    <row r="343" ht="15.75" customHeight="1">
      <c r="S343" s="92"/>
      <c r="X343" s="6"/>
    </row>
    <row r="344" ht="15.75" customHeight="1">
      <c r="S344" s="92"/>
      <c r="X344" s="6"/>
    </row>
    <row r="345" ht="15.75" customHeight="1">
      <c r="S345" s="92"/>
      <c r="X345" s="6"/>
    </row>
    <row r="346" ht="15.75" customHeight="1">
      <c r="S346" s="92"/>
      <c r="X346" s="6"/>
    </row>
    <row r="347" ht="15.75" customHeight="1">
      <c r="S347" s="92"/>
      <c r="X347" s="6"/>
    </row>
    <row r="348" ht="15.75" customHeight="1">
      <c r="S348" s="92"/>
      <c r="X348" s="6"/>
    </row>
    <row r="349" ht="15.75" customHeight="1">
      <c r="S349" s="92"/>
      <c r="X349" s="6"/>
    </row>
    <row r="350" ht="15.75" customHeight="1">
      <c r="S350" s="92"/>
      <c r="X350" s="6"/>
    </row>
    <row r="351" ht="15.75" customHeight="1">
      <c r="S351" s="92"/>
      <c r="X351" s="6"/>
    </row>
    <row r="352" ht="15.75" customHeight="1">
      <c r="S352" s="92"/>
      <c r="X352" s="6"/>
    </row>
    <row r="353" ht="15.75" customHeight="1">
      <c r="S353" s="92"/>
      <c r="X353" s="6"/>
    </row>
    <row r="354" ht="15.75" customHeight="1">
      <c r="S354" s="92"/>
      <c r="X354" s="6"/>
    </row>
    <row r="355" ht="15.75" customHeight="1">
      <c r="S355" s="92"/>
      <c r="X355" s="6"/>
    </row>
    <row r="356" ht="15.75" customHeight="1">
      <c r="S356" s="92"/>
      <c r="X356" s="6"/>
    </row>
    <row r="357" ht="15.75" customHeight="1">
      <c r="S357" s="92"/>
      <c r="X357" s="6"/>
    </row>
    <row r="358" ht="15.75" customHeight="1">
      <c r="S358" s="92"/>
      <c r="X358" s="6"/>
    </row>
    <row r="359" ht="15.75" customHeight="1">
      <c r="S359" s="92"/>
      <c r="X359" s="6"/>
    </row>
    <row r="360" ht="15.75" customHeight="1">
      <c r="S360" s="92"/>
      <c r="X360" s="6"/>
    </row>
    <row r="361" ht="15.75" customHeight="1">
      <c r="S361" s="92"/>
      <c r="X361" s="6"/>
    </row>
    <row r="362" ht="15.75" customHeight="1">
      <c r="S362" s="92"/>
      <c r="X362" s="6"/>
    </row>
    <row r="363" ht="15.75" customHeight="1">
      <c r="S363" s="92"/>
      <c r="X363" s="6"/>
    </row>
    <row r="364" ht="15.75" customHeight="1">
      <c r="S364" s="92"/>
      <c r="X364" s="6"/>
    </row>
    <row r="365" ht="15.75" customHeight="1">
      <c r="S365" s="92"/>
      <c r="X365" s="6"/>
    </row>
    <row r="366" ht="15.75" customHeight="1">
      <c r="S366" s="92"/>
      <c r="X366" s="6"/>
    </row>
    <row r="367" ht="15.75" customHeight="1">
      <c r="S367" s="92"/>
      <c r="X367" s="6"/>
    </row>
    <row r="368" ht="15.75" customHeight="1">
      <c r="S368" s="92"/>
      <c r="X368" s="6"/>
    </row>
    <row r="369" ht="15.75" customHeight="1">
      <c r="S369" s="92"/>
      <c r="X369" s="6"/>
    </row>
    <row r="370" ht="15.75" customHeight="1">
      <c r="S370" s="92"/>
      <c r="X370" s="6"/>
    </row>
    <row r="371" ht="15.75" customHeight="1">
      <c r="S371" s="92"/>
      <c r="X371" s="6"/>
    </row>
    <row r="372" ht="15.75" customHeight="1">
      <c r="S372" s="92"/>
      <c r="X372" s="6"/>
    </row>
    <row r="373" ht="15.75" customHeight="1">
      <c r="S373" s="92"/>
      <c r="X373" s="6"/>
    </row>
    <row r="374" ht="15.75" customHeight="1">
      <c r="S374" s="92"/>
      <c r="X374" s="6"/>
    </row>
    <row r="375" ht="15.75" customHeight="1">
      <c r="S375" s="92"/>
      <c r="X375" s="6"/>
    </row>
    <row r="376" ht="15.75" customHeight="1">
      <c r="S376" s="92"/>
      <c r="X376" s="6"/>
    </row>
    <row r="377" ht="15.75" customHeight="1">
      <c r="S377" s="92"/>
      <c r="X377" s="6"/>
    </row>
    <row r="378" ht="15.75" customHeight="1">
      <c r="S378" s="92"/>
      <c r="X378" s="6"/>
    </row>
    <row r="379" ht="15.75" customHeight="1">
      <c r="S379" s="92"/>
      <c r="X379" s="6"/>
    </row>
    <row r="380" ht="15.75" customHeight="1">
      <c r="S380" s="92"/>
      <c r="X380" s="6"/>
    </row>
    <row r="381" ht="15.75" customHeight="1">
      <c r="S381" s="92"/>
      <c r="X381" s="6"/>
    </row>
    <row r="382" ht="15.75" customHeight="1">
      <c r="S382" s="92"/>
      <c r="X382" s="6"/>
    </row>
    <row r="383" ht="15.75" customHeight="1">
      <c r="S383" s="92"/>
      <c r="X383" s="6"/>
    </row>
    <row r="384" ht="15.75" customHeight="1">
      <c r="S384" s="92"/>
      <c r="X384" s="6"/>
    </row>
    <row r="385" ht="15.75" customHeight="1">
      <c r="S385" s="92"/>
      <c r="X385" s="6"/>
    </row>
    <row r="386" ht="15.75" customHeight="1">
      <c r="S386" s="92"/>
      <c r="X386" s="6"/>
    </row>
    <row r="387" ht="15.75" customHeight="1">
      <c r="S387" s="92"/>
      <c r="X387" s="6"/>
    </row>
    <row r="388" ht="15.75" customHeight="1">
      <c r="S388" s="92"/>
      <c r="X388" s="6"/>
    </row>
    <row r="389" ht="15.75" customHeight="1">
      <c r="S389" s="92"/>
      <c r="X389" s="6"/>
    </row>
    <row r="390" ht="15.75" customHeight="1">
      <c r="S390" s="92"/>
      <c r="X390" s="6"/>
    </row>
    <row r="391" ht="15.75" customHeight="1">
      <c r="S391" s="92"/>
      <c r="X391" s="6"/>
    </row>
    <row r="392" ht="15.75" customHeight="1">
      <c r="S392" s="92"/>
      <c r="X392" s="6"/>
    </row>
    <row r="393" ht="15.75" customHeight="1">
      <c r="S393" s="92"/>
      <c r="X393" s="6"/>
    </row>
    <row r="394" ht="15.75" customHeight="1">
      <c r="S394" s="92"/>
      <c r="X394" s="6"/>
    </row>
    <row r="395" ht="15.75" customHeight="1">
      <c r="S395" s="92"/>
      <c r="X395" s="6"/>
    </row>
    <row r="396" ht="15.75" customHeight="1">
      <c r="S396" s="92"/>
      <c r="X396" s="6"/>
    </row>
    <row r="397" ht="15.75" customHeight="1">
      <c r="S397" s="92"/>
      <c r="X397" s="6"/>
    </row>
    <row r="398" ht="15.75" customHeight="1">
      <c r="S398" s="92"/>
      <c r="X398" s="6"/>
    </row>
    <row r="399" ht="15.75" customHeight="1">
      <c r="S399" s="92"/>
      <c r="X399" s="6"/>
    </row>
    <row r="400" ht="15.75" customHeight="1">
      <c r="S400" s="92"/>
      <c r="X400" s="6"/>
    </row>
    <row r="401" ht="15.75" customHeight="1">
      <c r="S401" s="92"/>
      <c r="X401" s="6"/>
    </row>
    <row r="402" ht="15.75" customHeight="1">
      <c r="S402" s="92"/>
      <c r="X402" s="6"/>
    </row>
    <row r="403" ht="15.75" customHeight="1">
      <c r="S403" s="92"/>
      <c r="X403" s="6"/>
    </row>
    <row r="404" ht="15.75" customHeight="1">
      <c r="S404" s="92"/>
      <c r="X404" s="6"/>
    </row>
    <row r="405" ht="15.75" customHeight="1">
      <c r="S405" s="92"/>
      <c r="X405" s="6"/>
    </row>
    <row r="406" ht="15.75" customHeight="1">
      <c r="S406" s="92"/>
      <c r="X406" s="6"/>
    </row>
    <row r="407" ht="15.75" customHeight="1">
      <c r="S407" s="92"/>
      <c r="X407" s="6"/>
    </row>
    <row r="408" ht="15.75" customHeight="1">
      <c r="S408" s="92"/>
      <c r="X408" s="6"/>
    </row>
    <row r="409" ht="15.75" customHeight="1">
      <c r="S409" s="92"/>
      <c r="X409" s="6"/>
    </row>
    <row r="410" ht="15.75" customHeight="1">
      <c r="S410" s="92"/>
      <c r="X410" s="6"/>
    </row>
    <row r="411" ht="15.75" customHeight="1">
      <c r="S411" s="92"/>
      <c r="X411" s="6"/>
    </row>
    <row r="412" ht="15.75" customHeight="1">
      <c r="S412" s="92"/>
      <c r="X412" s="6"/>
    </row>
    <row r="413" ht="15.75" customHeight="1">
      <c r="S413" s="92"/>
      <c r="X413" s="6"/>
    </row>
    <row r="414" ht="15.75" customHeight="1">
      <c r="S414" s="92"/>
      <c r="X414" s="6"/>
    </row>
    <row r="415" ht="15.75" customHeight="1">
      <c r="S415" s="92"/>
      <c r="X415" s="6"/>
    </row>
    <row r="416" ht="15.75" customHeight="1">
      <c r="S416" s="92"/>
      <c r="X416" s="6"/>
    </row>
    <row r="417" ht="15.75" customHeight="1">
      <c r="S417" s="92"/>
      <c r="X417" s="6"/>
    </row>
    <row r="418" ht="15.75" customHeight="1">
      <c r="S418" s="92"/>
      <c r="X418" s="6"/>
    </row>
    <row r="419" ht="15.75" customHeight="1">
      <c r="S419" s="92"/>
      <c r="X419" s="6"/>
    </row>
    <row r="420" ht="15.75" customHeight="1">
      <c r="S420" s="92"/>
      <c r="X420" s="6"/>
    </row>
    <row r="421" ht="15.75" customHeight="1">
      <c r="S421" s="92"/>
      <c r="X421" s="6"/>
    </row>
    <row r="422" ht="15.75" customHeight="1">
      <c r="S422" s="92"/>
      <c r="X422" s="6"/>
    </row>
    <row r="423" ht="15.75" customHeight="1">
      <c r="S423" s="92"/>
      <c r="X423" s="6"/>
    </row>
    <row r="424" ht="15.75" customHeight="1">
      <c r="S424" s="92"/>
      <c r="X424" s="6"/>
    </row>
    <row r="425" ht="15.75" customHeight="1">
      <c r="S425" s="92"/>
      <c r="X425" s="6"/>
    </row>
    <row r="426" ht="15.75" customHeight="1">
      <c r="S426" s="92"/>
      <c r="X426" s="6"/>
    </row>
    <row r="427" ht="15.75" customHeight="1">
      <c r="S427" s="92"/>
      <c r="X427" s="6"/>
    </row>
    <row r="428" ht="15.75" customHeight="1">
      <c r="S428" s="92"/>
      <c r="X428" s="6"/>
    </row>
    <row r="429" ht="15.75" customHeight="1">
      <c r="S429" s="92"/>
      <c r="X429" s="6"/>
    </row>
    <row r="430" ht="15.75" customHeight="1">
      <c r="S430" s="92"/>
      <c r="X430" s="6"/>
    </row>
    <row r="431" ht="15.75" customHeight="1">
      <c r="S431" s="92"/>
      <c r="X431" s="6"/>
    </row>
    <row r="432" ht="15.75" customHeight="1">
      <c r="S432" s="92"/>
      <c r="X432" s="6"/>
    </row>
    <row r="433" ht="15.75" customHeight="1">
      <c r="S433" s="92"/>
      <c r="X433" s="6"/>
    </row>
    <row r="434" ht="15.75" customHeight="1">
      <c r="S434" s="92"/>
      <c r="X434" s="6"/>
    </row>
    <row r="435" ht="15.75" customHeight="1">
      <c r="S435" s="92"/>
      <c r="X435" s="6"/>
    </row>
    <row r="436" ht="15.75" customHeight="1">
      <c r="S436" s="92"/>
      <c r="X436" s="6"/>
    </row>
    <row r="437" ht="15.75" customHeight="1">
      <c r="S437" s="92"/>
      <c r="X437" s="6"/>
    </row>
    <row r="438" ht="15.75" customHeight="1">
      <c r="S438" s="92"/>
      <c r="X438" s="6"/>
    </row>
    <row r="439" ht="15.75" customHeight="1">
      <c r="S439" s="92"/>
      <c r="X439" s="6"/>
    </row>
    <row r="440" ht="15.75" customHeight="1">
      <c r="S440" s="92"/>
      <c r="X440" s="6"/>
    </row>
    <row r="441" ht="15.75" customHeight="1">
      <c r="S441" s="92"/>
      <c r="X441" s="6"/>
    </row>
    <row r="442" ht="15.75" customHeight="1">
      <c r="S442" s="92"/>
      <c r="X442" s="6"/>
    </row>
    <row r="443" ht="15.75" customHeight="1">
      <c r="S443" s="92"/>
      <c r="X443" s="6"/>
    </row>
    <row r="444" ht="15.75" customHeight="1">
      <c r="S444" s="92"/>
      <c r="X444" s="6"/>
    </row>
    <row r="445" ht="15.75" customHeight="1">
      <c r="S445" s="92"/>
      <c r="X445" s="6"/>
    </row>
    <row r="446" ht="15.75" customHeight="1">
      <c r="S446" s="92"/>
      <c r="X446" s="6"/>
    </row>
    <row r="447" ht="15.75" customHeight="1">
      <c r="S447" s="92"/>
      <c r="X447" s="6"/>
    </row>
    <row r="448" ht="15.75" customHeight="1">
      <c r="S448" s="92"/>
      <c r="X448" s="6"/>
    </row>
    <row r="449" ht="15.75" customHeight="1">
      <c r="S449" s="92"/>
      <c r="X449" s="6"/>
    </row>
    <row r="450" ht="15.75" customHeight="1">
      <c r="S450" s="92"/>
      <c r="X450" s="6"/>
    </row>
    <row r="451" ht="15.75" customHeight="1">
      <c r="S451" s="92"/>
      <c r="X451" s="6"/>
    </row>
    <row r="452" ht="15.75" customHeight="1">
      <c r="S452" s="92"/>
      <c r="X452" s="6"/>
    </row>
    <row r="453" ht="15.75" customHeight="1">
      <c r="S453" s="92"/>
      <c r="X453" s="6"/>
    </row>
    <row r="454" ht="15.75" customHeight="1">
      <c r="S454" s="92"/>
      <c r="X454" s="6"/>
    </row>
    <row r="455" ht="15.75" customHeight="1">
      <c r="S455" s="92"/>
      <c r="X455" s="6"/>
    </row>
    <row r="456" ht="15.75" customHeight="1">
      <c r="S456" s="92"/>
      <c r="X456" s="6"/>
    </row>
    <row r="457" ht="15.75" customHeight="1">
      <c r="S457" s="92"/>
      <c r="X457" s="6"/>
    </row>
    <row r="458" ht="15.75" customHeight="1">
      <c r="S458" s="92"/>
      <c r="X458" s="6"/>
    </row>
    <row r="459" ht="15.75" customHeight="1">
      <c r="S459" s="92"/>
      <c r="X459" s="6"/>
    </row>
    <row r="460" ht="15.75" customHeight="1">
      <c r="S460" s="92"/>
      <c r="X460" s="6"/>
    </row>
    <row r="461" ht="15.75" customHeight="1">
      <c r="S461" s="92"/>
      <c r="X461" s="6"/>
    </row>
    <row r="462" ht="15.75" customHeight="1">
      <c r="S462" s="92"/>
      <c r="X462" s="6"/>
    </row>
    <row r="463" ht="15.75" customHeight="1">
      <c r="S463" s="92"/>
      <c r="X463" s="6"/>
    </row>
    <row r="464" ht="15.75" customHeight="1">
      <c r="S464" s="92"/>
      <c r="X464" s="6"/>
    </row>
    <row r="465" ht="15.75" customHeight="1">
      <c r="S465" s="92"/>
      <c r="X465" s="6"/>
    </row>
    <row r="466" ht="15.75" customHeight="1">
      <c r="S466" s="92"/>
      <c r="X466" s="6"/>
    </row>
    <row r="467" ht="15.75" customHeight="1">
      <c r="S467" s="92"/>
      <c r="X467" s="6"/>
    </row>
    <row r="468" ht="15.75" customHeight="1">
      <c r="S468" s="92"/>
      <c r="X468" s="6"/>
    </row>
    <row r="469" ht="15.75" customHeight="1">
      <c r="S469" s="92"/>
      <c r="X469" s="6"/>
    </row>
    <row r="470" ht="15.75" customHeight="1">
      <c r="S470" s="92"/>
      <c r="X470" s="6"/>
    </row>
    <row r="471" ht="15.75" customHeight="1">
      <c r="S471" s="92"/>
      <c r="X471" s="6"/>
    </row>
    <row r="472" ht="15.75" customHeight="1">
      <c r="S472" s="92"/>
      <c r="X472" s="6"/>
    </row>
    <row r="473" ht="15.75" customHeight="1">
      <c r="S473" s="92"/>
      <c r="X473" s="6"/>
    </row>
    <row r="474" ht="15.75" customHeight="1">
      <c r="S474" s="92"/>
      <c r="X474" s="6"/>
    </row>
    <row r="475" ht="15.75" customHeight="1">
      <c r="S475" s="92"/>
      <c r="X475" s="6"/>
    </row>
    <row r="476" ht="15.75" customHeight="1">
      <c r="S476" s="92"/>
      <c r="X476" s="6"/>
    </row>
    <row r="477" ht="15.75" customHeight="1">
      <c r="S477" s="92"/>
      <c r="X477" s="6"/>
    </row>
    <row r="478" ht="15.75" customHeight="1">
      <c r="S478" s="92"/>
      <c r="X478" s="6"/>
    </row>
    <row r="479" ht="15.75" customHeight="1">
      <c r="S479" s="92"/>
      <c r="X479" s="6"/>
    </row>
    <row r="480" ht="15.75" customHeight="1">
      <c r="S480" s="92"/>
      <c r="X480" s="6"/>
    </row>
    <row r="481" ht="15.75" customHeight="1">
      <c r="S481" s="92"/>
      <c r="X481" s="6"/>
    </row>
    <row r="482" ht="15.75" customHeight="1">
      <c r="S482" s="92"/>
      <c r="X482" s="6"/>
    </row>
    <row r="483" ht="15.75" customHeight="1">
      <c r="S483" s="92"/>
      <c r="X483" s="6"/>
    </row>
    <row r="484" ht="15.75" customHeight="1">
      <c r="S484" s="92"/>
      <c r="X484" s="6"/>
    </row>
    <row r="485" ht="15.75" customHeight="1">
      <c r="S485" s="92"/>
      <c r="X485" s="6"/>
    </row>
    <row r="486" ht="15.75" customHeight="1">
      <c r="S486" s="92"/>
      <c r="X486" s="6"/>
    </row>
    <row r="487" ht="15.75" customHeight="1">
      <c r="S487" s="92"/>
      <c r="X487" s="6"/>
    </row>
    <row r="488" ht="15.75" customHeight="1">
      <c r="S488" s="92"/>
      <c r="X488" s="6"/>
    </row>
    <row r="489" ht="15.75" customHeight="1">
      <c r="S489" s="92"/>
      <c r="X489" s="6"/>
    </row>
    <row r="490" ht="15.75" customHeight="1">
      <c r="S490" s="92"/>
      <c r="X490" s="6"/>
    </row>
    <row r="491" ht="15.75" customHeight="1">
      <c r="S491" s="92"/>
      <c r="X491" s="6"/>
    </row>
    <row r="492" ht="15.75" customHeight="1">
      <c r="S492" s="92"/>
      <c r="X492" s="6"/>
    </row>
    <row r="493" ht="15.75" customHeight="1">
      <c r="S493" s="92"/>
      <c r="X493" s="6"/>
    </row>
    <row r="494" ht="15.75" customHeight="1">
      <c r="S494" s="92"/>
      <c r="X494" s="6"/>
    </row>
    <row r="495" ht="15.75" customHeight="1">
      <c r="S495" s="92"/>
      <c r="X495" s="6"/>
    </row>
    <row r="496" ht="15.75" customHeight="1">
      <c r="S496" s="92"/>
      <c r="X496" s="6"/>
    </row>
    <row r="497" ht="15.75" customHeight="1">
      <c r="S497" s="92"/>
      <c r="X497" s="6"/>
    </row>
    <row r="498" ht="15.75" customHeight="1">
      <c r="S498" s="92"/>
      <c r="X498" s="6"/>
    </row>
    <row r="499" ht="15.75" customHeight="1">
      <c r="S499" s="92"/>
      <c r="X499" s="6"/>
    </row>
    <row r="500" ht="15.75" customHeight="1">
      <c r="S500" s="92"/>
      <c r="X500" s="6"/>
    </row>
    <row r="501" ht="15.75" customHeight="1">
      <c r="S501" s="92"/>
      <c r="X501" s="6"/>
    </row>
    <row r="502" ht="15.75" customHeight="1">
      <c r="S502" s="92"/>
      <c r="X502" s="6"/>
    </row>
    <row r="503" ht="15.75" customHeight="1">
      <c r="S503" s="92"/>
      <c r="X503" s="6"/>
    </row>
    <row r="504" ht="15.75" customHeight="1">
      <c r="S504" s="92"/>
      <c r="X504" s="6"/>
    </row>
    <row r="505" ht="15.75" customHeight="1">
      <c r="S505" s="92"/>
      <c r="X505" s="6"/>
    </row>
    <row r="506" ht="15.75" customHeight="1">
      <c r="S506" s="92"/>
      <c r="X506" s="6"/>
    </row>
    <row r="507" ht="15.75" customHeight="1">
      <c r="S507" s="92"/>
      <c r="X507" s="6"/>
    </row>
    <row r="508" ht="15.75" customHeight="1">
      <c r="S508" s="92"/>
      <c r="X508" s="6"/>
    </row>
    <row r="509" ht="15.75" customHeight="1">
      <c r="S509" s="92"/>
      <c r="X509" s="6"/>
    </row>
    <row r="510" ht="15.75" customHeight="1">
      <c r="S510" s="92"/>
      <c r="X510" s="6"/>
    </row>
    <row r="511" ht="15.75" customHeight="1">
      <c r="S511" s="92"/>
      <c r="X511" s="6"/>
    </row>
    <row r="512" ht="15.75" customHeight="1">
      <c r="S512" s="92"/>
      <c r="X512" s="6"/>
    </row>
    <row r="513" ht="15.75" customHeight="1">
      <c r="S513" s="92"/>
      <c r="X513" s="6"/>
    </row>
    <row r="514" ht="15.75" customHeight="1">
      <c r="S514" s="92"/>
      <c r="X514" s="6"/>
    </row>
    <row r="515" ht="15.75" customHeight="1">
      <c r="S515" s="92"/>
      <c r="X515" s="6"/>
    </row>
    <row r="516" ht="15.75" customHeight="1">
      <c r="S516" s="92"/>
      <c r="X516" s="6"/>
    </row>
    <row r="517" ht="15.75" customHeight="1">
      <c r="S517" s="92"/>
      <c r="X517" s="6"/>
    </row>
    <row r="518" ht="15.75" customHeight="1">
      <c r="S518" s="92"/>
      <c r="X518" s="6"/>
    </row>
    <row r="519" ht="15.75" customHeight="1">
      <c r="S519" s="92"/>
      <c r="X519" s="6"/>
    </row>
    <row r="520" ht="15.75" customHeight="1">
      <c r="S520" s="92"/>
      <c r="X520" s="6"/>
    </row>
    <row r="521" ht="15.75" customHeight="1">
      <c r="S521" s="92"/>
      <c r="X521" s="6"/>
    </row>
    <row r="522" ht="15.75" customHeight="1">
      <c r="S522" s="92"/>
      <c r="X522" s="6"/>
    </row>
    <row r="523" ht="15.75" customHeight="1">
      <c r="S523" s="92"/>
      <c r="X523" s="6"/>
    </row>
    <row r="524" ht="15.75" customHeight="1">
      <c r="S524" s="92"/>
      <c r="X524" s="6"/>
    </row>
    <row r="525" ht="15.75" customHeight="1">
      <c r="S525" s="92"/>
      <c r="X525" s="6"/>
    </row>
    <row r="526" ht="15.75" customHeight="1">
      <c r="S526" s="92"/>
      <c r="X526" s="6"/>
    </row>
    <row r="527" ht="15.75" customHeight="1">
      <c r="S527" s="92"/>
      <c r="X527" s="6"/>
    </row>
    <row r="528" ht="15.75" customHeight="1">
      <c r="S528" s="92"/>
      <c r="X528" s="6"/>
    </row>
    <row r="529" ht="15.75" customHeight="1">
      <c r="S529" s="92"/>
      <c r="X529" s="6"/>
    </row>
    <row r="530" ht="15.75" customHeight="1">
      <c r="S530" s="92"/>
      <c r="X530" s="6"/>
    </row>
    <row r="531" ht="15.75" customHeight="1">
      <c r="S531" s="92"/>
      <c r="X531" s="6"/>
    </row>
    <row r="532" ht="15.75" customHeight="1">
      <c r="S532" s="92"/>
      <c r="X532" s="6"/>
    </row>
    <row r="533" ht="15.75" customHeight="1">
      <c r="S533" s="92"/>
      <c r="X533" s="6"/>
    </row>
    <row r="534" ht="15.75" customHeight="1">
      <c r="S534" s="92"/>
      <c r="X534" s="6"/>
    </row>
    <row r="535" ht="15.75" customHeight="1">
      <c r="S535" s="92"/>
      <c r="X535" s="6"/>
    </row>
    <row r="536" ht="15.75" customHeight="1">
      <c r="S536" s="92"/>
      <c r="X536" s="6"/>
    </row>
    <row r="537" ht="15.75" customHeight="1">
      <c r="S537" s="92"/>
      <c r="X537" s="6"/>
    </row>
    <row r="538" ht="15.75" customHeight="1">
      <c r="S538" s="92"/>
      <c r="X538" s="6"/>
    </row>
    <row r="539" ht="15.75" customHeight="1">
      <c r="S539" s="92"/>
      <c r="X539" s="6"/>
    </row>
    <row r="540" ht="15.75" customHeight="1">
      <c r="S540" s="92"/>
      <c r="X540" s="6"/>
    </row>
    <row r="541" ht="15.75" customHeight="1">
      <c r="S541" s="92"/>
      <c r="X541" s="6"/>
    </row>
    <row r="542" ht="15.75" customHeight="1">
      <c r="S542" s="92"/>
      <c r="X542" s="6"/>
    </row>
    <row r="543" ht="15.75" customHeight="1">
      <c r="S543" s="92"/>
      <c r="X543" s="6"/>
    </row>
    <row r="544" ht="15.75" customHeight="1">
      <c r="S544" s="92"/>
      <c r="X544" s="6"/>
    </row>
    <row r="545" ht="15.75" customHeight="1">
      <c r="S545" s="92"/>
      <c r="X545" s="6"/>
    </row>
    <row r="546" ht="15.75" customHeight="1">
      <c r="S546" s="92"/>
      <c r="X546" s="6"/>
    </row>
    <row r="547" ht="15.75" customHeight="1">
      <c r="S547" s="92"/>
      <c r="X547" s="6"/>
    </row>
    <row r="548" ht="15.75" customHeight="1">
      <c r="S548" s="92"/>
      <c r="X548" s="6"/>
    </row>
    <row r="549" ht="15.75" customHeight="1">
      <c r="S549" s="92"/>
      <c r="X549" s="6"/>
    </row>
    <row r="550" ht="15.75" customHeight="1">
      <c r="S550" s="92"/>
      <c r="X550" s="6"/>
    </row>
    <row r="551" ht="15.75" customHeight="1">
      <c r="S551" s="92"/>
      <c r="X551" s="6"/>
    </row>
    <row r="552" ht="15.75" customHeight="1">
      <c r="S552" s="92"/>
      <c r="X552" s="6"/>
    </row>
    <row r="553" ht="15.75" customHeight="1">
      <c r="S553" s="92"/>
      <c r="X553" s="6"/>
    </row>
    <row r="554" ht="15.75" customHeight="1">
      <c r="S554" s="92"/>
      <c r="X554" s="6"/>
    </row>
    <row r="555" ht="15.75" customHeight="1">
      <c r="S555" s="92"/>
      <c r="X555" s="6"/>
    </row>
    <row r="556" ht="15.75" customHeight="1">
      <c r="S556" s="92"/>
      <c r="X556" s="6"/>
    </row>
    <row r="557" ht="15.75" customHeight="1">
      <c r="S557" s="92"/>
      <c r="X557" s="6"/>
    </row>
    <row r="558" ht="15.75" customHeight="1">
      <c r="S558" s="92"/>
      <c r="X558" s="6"/>
    </row>
    <row r="559" ht="15.75" customHeight="1">
      <c r="S559" s="92"/>
      <c r="X559" s="6"/>
    </row>
    <row r="560" ht="15.75" customHeight="1">
      <c r="S560" s="92"/>
      <c r="X560" s="6"/>
    </row>
    <row r="561" ht="15.75" customHeight="1">
      <c r="S561" s="92"/>
      <c r="X561" s="6"/>
    </row>
    <row r="562" ht="15.75" customHeight="1">
      <c r="S562" s="92"/>
      <c r="X562" s="6"/>
    </row>
    <row r="563" ht="15.75" customHeight="1">
      <c r="S563" s="92"/>
      <c r="X563" s="6"/>
    </row>
    <row r="564" ht="15.75" customHeight="1">
      <c r="S564" s="92"/>
      <c r="X564" s="6"/>
    </row>
    <row r="565" ht="15.75" customHeight="1">
      <c r="S565" s="92"/>
      <c r="X565" s="6"/>
    </row>
    <row r="566" ht="15.75" customHeight="1">
      <c r="S566" s="92"/>
      <c r="X566" s="6"/>
    </row>
    <row r="567" ht="15.75" customHeight="1">
      <c r="S567" s="92"/>
      <c r="X567" s="6"/>
    </row>
    <row r="568" ht="15.75" customHeight="1">
      <c r="S568" s="92"/>
      <c r="X568" s="6"/>
    </row>
    <row r="569" ht="15.75" customHeight="1">
      <c r="S569" s="92"/>
      <c r="X569" s="6"/>
    </row>
    <row r="570" ht="15.75" customHeight="1">
      <c r="S570" s="92"/>
      <c r="X570" s="6"/>
    </row>
    <row r="571" ht="15.75" customHeight="1">
      <c r="S571" s="92"/>
      <c r="X571" s="6"/>
    </row>
    <row r="572" ht="15.75" customHeight="1">
      <c r="S572" s="92"/>
      <c r="X572" s="6"/>
    </row>
    <row r="573" ht="15.75" customHeight="1">
      <c r="S573" s="92"/>
      <c r="X573" s="6"/>
    </row>
    <row r="574" ht="15.75" customHeight="1">
      <c r="S574" s="92"/>
      <c r="X574" s="6"/>
    </row>
    <row r="575" ht="15.75" customHeight="1">
      <c r="S575" s="92"/>
      <c r="X575" s="6"/>
    </row>
    <row r="576" ht="15.75" customHeight="1">
      <c r="S576" s="92"/>
      <c r="X576" s="6"/>
    </row>
    <row r="577" ht="15.75" customHeight="1">
      <c r="S577" s="92"/>
      <c r="X577" s="6"/>
    </row>
    <row r="578" ht="15.75" customHeight="1">
      <c r="S578" s="92"/>
      <c r="X578" s="6"/>
    </row>
    <row r="579" ht="15.75" customHeight="1">
      <c r="S579" s="92"/>
      <c r="X579" s="6"/>
    </row>
    <row r="580" ht="15.75" customHeight="1">
      <c r="S580" s="92"/>
      <c r="X580" s="6"/>
    </row>
    <row r="581" ht="15.75" customHeight="1">
      <c r="S581" s="92"/>
      <c r="X581" s="6"/>
    </row>
    <row r="582" ht="15.75" customHeight="1">
      <c r="S582" s="92"/>
      <c r="X582" s="6"/>
    </row>
    <row r="583" ht="15.75" customHeight="1">
      <c r="S583" s="92"/>
      <c r="X583" s="6"/>
    </row>
    <row r="584" ht="15.75" customHeight="1">
      <c r="S584" s="92"/>
      <c r="X584" s="6"/>
    </row>
    <row r="585" ht="15.75" customHeight="1">
      <c r="S585" s="92"/>
      <c r="X585" s="6"/>
    </row>
    <row r="586" ht="15.75" customHeight="1">
      <c r="S586" s="92"/>
      <c r="X586" s="6"/>
    </row>
    <row r="587" ht="15.75" customHeight="1">
      <c r="S587" s="92"/>
      <c r="X587" s="6"/>
    </row>
    <row r="588" ht="15.75" customHeight="1">
      <c r="S588" s="92"/>
      <c r="X588" s="6"/>
    </row>
    <row r="589" ht="15.75" customHeight="1">
      <c r="S589" s="92"/>
      <c r="X589" s="6"/>
    </row>
    <row r="590" ht="15.75" customHeight="1">
      <c r="S590" s="92"/>
      <c r="X590" s="6"/>
    </row>
    <row r="591" ht="15.75" customHeight="1">
      <c r="S591" s="92"/>
      <c r="X591" s="6"/>
    </row>
    <row r="592" ht="15.75" customHeight="1">
      <c r="S592" s="92"/>
      <c r="X592" s="6"/>
    </row>
    <row r="593" ht="15.75" customHeight="1">
      <c r="S593" s="92"/>
      <c r="X593" s="6"/>
    </row>
    <row r="594" ht="15.75" customHeight="1">
      <c r="S594" s="92"/>
      <c r="X594" s="6"/>
    </row>
    <row r="595" ht="15.75" customHeight="1">
      <c r="S595" s="92"/>
      <c r="X595" s="6"/>
    </row>
    <row r="596" ht="15.75" customHeight="1">
      <c r="S596" s="92"/>
      <c r="X596" s="6"/>
    </row>
    <row r="597" ht="15.75" customHeight="1">
      <c r="S597" s="92"/>
      <c r="X597" s="6"/>
    </row>
    <row r="598" ht="15.75" customHeight="1">
      <c r="S598" s="92"/>
      <c r="X598" s="6"/>
    </row>
    <row r="599" ht="15.75" customHeight="1">
      <c r="S599" s="92"/>
      <c r="X599" s="6"/>
    </row>
    <row r="600" ht="15.75" customHeight="1">
      <c r="S600" s="92"/>
      <c r="X600" s="6"/>
    </row>
    <row r="601" ht="15.75" customHeight="1">
      <c r="S601" s="92"/>
      <c r="X601" s="6"/>
    </row>
    <row r="602" ht="15.75" customHeight="1">
      <c r="S602" s="92"/>
      <c r="X602" s="6"/>
    </row>
    <row r="603" ht="15.75" customHeight="1">
      <c r="S603" s="92"/>
      <c r="X603" s="6"/>
    </row>
    <row r="604" ht="15.75" customHeight="1">
      <c r="S604" s="92"/>
      <c r="X604" s="6"/>
    </row>
    <row r="605" ht="15.75" customHeight="1">
      <c r="S605" s="92"/>
      <c r="X605" s="6"/>
    </row>
    <row r="606" ht="15.75" customHeight="1">
      <c r="S606" s="92"/>
      <c r="X606" s="6"/>
    </row>
    <row r="607" ht="15.75" customHeight="1">
      <c r="S607" s="92"/>
      <c r="X607" s="6"/>
    </row>
    <row r="608" ht="15.75" customHeight="1">
      <c r="S608" s="92"/>
      <c r="X608" s="6"/>
    </row>
    <row r="609" ht="15.75" customHeight="1">
      <c r="S609" s="92"/>
      <c r="X609" s="6"/>
    </row>
    <row r="610" ht="15.75" customHeight="1">
      <c r="S610" s="92"/>
      <c r="X610" s="6"/>
    </row>
    <row r="611" ht="15.75" customHeight="1">
      <c r="S611" s="92"/>
      <c r="X611" s="6"/>
    </row>
    <row r="612" ht="15.75" customHeight="1">
      <c r="S612" s="92"/>
      <c r="X612" s="6"/>
    </row>
    <row r="613" ht="15.75" customHeight="1">
      <c r="S613" s="92"/>
      <c r="X613" s="6"/>
    </row>
    <row r="614" ht="15.75" customHeight="1">
      <c r="S614" s="92"/>
      <c r="X614" s="6"/>
    </row>
    <row r="615" ht="15.75" customHeight="1">
      <c r="S615" s="92"/>
      <c r="X615" s="6"/>
    </row>
    <row r="616" ht="15.75" customHeight="1">
      <c r="S616" s="92"/>
      <c r="X616" s="6"/>
    </row>
    <row r="617" ht="15.75" customHeight="1">
      <c r="S617" s="92"/>
      <c r="X617" s="6"/>
    </row>
    <row r="618" ht="15.75" customHeight="1">
      <c r="S618" s="92"/>
      <c r="X618" s="6"/>
    </row>
    <row r="619" ht="15.75" customHeight="1">
      <c r="S619" s="92"/>
      <c r="X619" s="6"/>
    </row>
    <row r="620" ht="15.75" customHeight="1">
      <c r="S620" s="92"/>
      <c r="X620" s="6"/>
    </row>
    <row r="621" ht="15.75" customHeight="1">
      <c r="S621" s="92"/>
      <c r="X621" s="6"/>
    </row>
    <row r="622" ht="15.75" customHeight="1">
      <c r="S622" s="92"/>
      <c r="X622" s="6"/>
    </row>
    <row r="623" ht="15.75" customHeight="1">
      <c r="S623" s="92"/>
      <c r="X623" s="6"/>
    </row>
    <row r="624" ht="15.75" customHeight="1">
      <c r="S624" s="92"/>
      <c r="X624" s="6"/>
    </row>
    <row r="625" ht="15.75" customHeight="1">
      <c r="S625" s="92"/>
      <c r="X625" s="6"/>
    </row>
    <row r="626" ht="15.75" customHeight="1">
      <c r="S626" s="92"/>
      <c r="X626" s="6"/>
    </row>
    <row r="627" ht="15.75" customHeight="1">
      <c r="S627" s="92"/>
      <c r="X627" s="6"/>
    </row>
    <row r="628" ht="15.75" customHeight="1">
      <c r="S628" s="92"/>
      <c r="X628" s="6"/>
    </row>
    <row r="629" ht="15.75" customHeight="1">
      <c r="S629" s="92"/>
      <c r="X629" s="6"/>
    </row>
    <row r="630" ht="15.75" customHeight="1">
      <c r="S630" s="92"/>
      <c r="X630" s="6"/>
    </row>
    <row r="631" ht="15.75" customHeight="1">
      <c r="S631" s="92"/>
      <c r="X631" s="6"/>
    </row>
    <row r="632" ht="15.75" customHeight="1">
      <c r="S632" s="92"/>
      <c r="X632" s="6"/>
    </row>
    <row r="633" ht="15.75" customHeight="1">
      <c r="S633" s="92"/>
      <c r="X633" s="6"/>
    </row>
    <row r="634" ht="15.75" customHeight="1">
      <c r="S634" s="92"/>
      <c r="X634" s="6"/>
    </row>
    <row r="635" ht="15.75" customHeight="1">
      <c r="S635" s="92"/>
      <c r="X635" s="6"/>
    </row>
    <row r="636" ht="15.75" customHeight="1">
      <c r="S636" s="92"/>
      <c r="X636" s="6"/>
    </row>
    <row r="637" ht="15.75" customHeight="1">
      <c r="S637" s="92"/>
      <c r="X637" s="6"/>
    </row>
    <row r="638" ht="15.75" customHeight="1">
      <c r="S638" s="92"/>
      <c r="X638" s="6"/>
    </row>
    <row r="639" ht="15.75" customHeight="1">
      <c r="S639" s="92"/>
      <c r="X639" s="6"/>
    </row>
    <row r="640" ht="15.75" customHeight="1">
      <c r="S640" s="92"/>
      <c r="X640" s="6"/>
    </row>
    <row r="641" ht="15.75" customHeight="1">
      <c r="S641" s="92"/>
      <c r="X641" s="6"/>
    </row>
    <row r="642" ht="15.75" customHeight="1">
      <c r="S642" s="92"/>
      <c r="X642" s="6"/>
    </row>
    <row r="643" ht="15.75" customHeight="1">
      <c r="S643" s="92"/>
      <c r="X643" s="6"/>
    </row>
    <row r="644" ht="15.75" customHeight="1">
      <c r="S644" s="92"/>
      <c r="X644" s="6"/>
    </row>
    <row r="645" ht="15.75" customHeight="1">
      <c r="S645" s="92"/>
      <c r="X645" s="6"/>
    </row>
    <row r="646" ht="15.75" customHeight="1">
      <c r="S646" s="92"/>
      <c r="X646" s="6"/>
    </row>
    <row r="647" ht="15.75" customHeight="1">
      <c r="S647" s="92"/>
      <c r="X647" s="6"/>
    </row>
    <row r="648" ht="15.75" customHeight="1">
      <c r="S648" s="92"/>
      <c r="X648" s="6"/>
    </row>
    <row r="649" ht="15.75" customHeight="1">
      <c r="S649" s="92"/>
      <c r="X649" s="6"/>
    </row>
    <row r="650" ht="15.75" customHeight="1">
      <c r="S650" s="92"/>
      <c r="X650" s="6"/>
    </row>
    <row r="651" ht="15.75" customHeight="1">
      <c r="S651" s="92"/>
      <c r="X651" s="6"/>
    </row>
    <row r="652" ht="15.75" customHeight="1">
      <c r="S652" s="92"/>
      <c r="X652" s="6"/>
    </row>
    <row r="653" ht="15.75" customHeight="1">
      <c r="S653" s="92"/>
      <c r="X653" s="6"/>
    </row>
    <row r="654" ht="15.75" customHeight="1">
      <c r="S654" s="92"/>
      <c r="X654" s="6"/>
    </row>
    <row r="655" ht="15.75" customHeight="1">
      <c r="S655" s="92"/>
      <c r="X655" s="6"/>
    </row>
    <row r="656" ht="15.75" customHeight="1">
      <c r="S656" s="92"/>
      <c r="X656" s="6"/>
    </row>
    <row r="657" ht="15.75" customHeight="1">
      <c r="S657" s="92"/>
      <c r="X657" s="6"/>
    </row>
    <row r="658" ht="15.75" customHeight="1">
      <c r="S658" s="92"/>
      <c r="X658" s="6"/>
    </row>
    <row r="659" ht="15.75" customHeight="1">
      <c r="S659" s="92"/>
      <c r="X659" s="6"/>
    </row>
    <row r="660" ht="15.75" customHeight="1">
      <c r="S660" s="92"/>
      <c r="X660" s="6"/>
    </row>
    <row r="661" ht="15.75" customHeight="1">
      <c r="S661" s="92"/>
      <c r="X661" s="6"/>
    </row>
    <row r="662" ht="15.75" customHeight="1">
      <c r="S662" s="92"/>
      <c r="X662" s="6"/>
    </row>
    <row r="663" ht="15.75" customHeight="1">
      <c r="S663" s="92"/>
      <c r="X663" s="6"/>
    </row>
    <row r="664" ht="15.75" customHeight="1">
      <c r="S664" s="92"/>
      <c r="X664" s="6"/>
    </row>
    <row r="665" ht="15.75" customHeight="1">
      <c r="S665" s="92"/>
      <c r="X665" s="6"/>
    </row>
    <row r="666" ht="15.75" customHeight="1">
      <c r="S666" s="92"/>
      <c r="X666" s="6"/>
    </row>
    <row r="667" ht="15.75" customHeight="1">
      <c r="S667" s="92"/>
      <c r="X667" s="6"/>
    </row>
    <row r="668" ht="15.75" customHeight="1">
      <c r="S668" s="92"/>
      <c r="X668" s="6"/>
    </row>
    <row r="669" ht="15.75" customHeight="1">
      <c r="S669" s="92"/>
      <c r="X669" s="6"/>
    </row>
    <row r="670" ht="15.75" customHeight="1">
      <c r="S670" s="92"/>
      <c r="X670" s="6"/>
    </row>
    <row r="671" ht="15.75" customHeight="1">
      <c r="S671" s="92"/>
      <c r="X671" s="6"/>
    </row>
    <row r="672" ht="15.75" customHeight="1">
      <c r="S672" s="92"/>
      <c r="X672" s="6"/>
    </row>
    <row r="673" ht="15.75" customHeight="1">
      <c r="S673" s="92"/>
      <c r="X673" s="6"/>
    </row>
    <row r="674" ht="15.75" customHeight="1">
      <c r="S674" s="92"/>
      <c r="X674" s="6"/>
    </row>
    <row r="675" ht="15.75" customHeight="1">
      <c r="S675" s="92"/>
      <c r="X675" s="6"/>
    </row>
    <row r="676" ht="15.75" customHeight="1">
      <c r="S676" s="92"/>
      <c r="X676" s="6"/>
    </row>
    <row r="677" ht="15.75" customHeight="1">
      <c r="S677" s="92"/>
      <c r="X677" s="6"/>
    </row>
    <row r="678" ht="15.75" customHeight="1">
      <c r="S678" s="92"/>
      <c r="X678" s="6"/>
    </row>
    <row r="679" ht="15.75" customHeight="1">
      <c r="S679" s="92"/>
      <c r="X679" s="6"/>
    </row>
    <row r="680" ht="15.75" customHeight="1">
      <c r="S680" s="92"/>
      <c r="X680" s="6"/>
    </row>
    <row r="681" ht="15.75" customHeight="1">
      <c r="S681" s="92"/>
      <c r="X681" s="6"/>
    </row>
    <row r="682" ht="15.75" customHeight="1">
      <c r="S682" s="92"/>
      <c r="X682" s="6"/>
    </row>
    <row r="683" ht="15.75" customHeight="1">
      <c r="S683" s="92"/>
      <c r="X683" s="6"/>
    </row>
    <row r="684" ht="15.75" customHeight="1">
      <c r="S684" s="92"/>
      <c r="X684" s="6"/>
    </row>
    <row r="685" ht="15.75" customHeight="1">
      <c r="S685" s="92"/>
      <c r="X685" s="6"/>
    </row>
    <row r="686" ht="15.75" customHeight="1">
      <c r="S686" s="92"/>
      <c r="X686" s="6"/>
    </row>
    <row r="687" ht="15.75" customHeight="1">
      <c r="S687" s="92"/>
      <c r="X687" s="6"/>
    </row>
    <row r="688" ht="15.75" customHeight="1">
      <c r="S688" s="92"/>
      <c r="X688" s="6"/>
    </row>
    <row r="689" ht="15.75" customHeight="1">
      <c r="S689" s="92"/>
      <c r="X689" s="6"/>
    </row>
    <row r="690" ht="15.75" customHeight="1">
      <c r="S690" s="92"/>
      <c r="X690" s="6"/>
    </row>
    <row r="691" ht="15.75" customHeight="1">
      <c r="S691" s="92"/>
      <c r="X691" s="6"/>
    </row>
    <row r="692" ht="15.75" customHeight="1">
      <c r="S692" s="92"/>
      <c r="X692" s="6"/>
    </row>
    <row r="693" ht="15.75" customHeight="1">
      <c r="S693" s="92"/>
      <c r="X693" s="6"/>
    </row>
    <row r="694" ht="15.75" customHeight="1">
      <c r="S694" s="92"/>
      <c r="X694" s="6"/>
    </row>
    <row r="695" ht="15.75" customHeight="1">
      <c r="S695" s="92"/>
      <c r="X695" s="6"/>
    </row>
    <row r="696" ht="15.75" customHeight="1">
      <c r="S696" s="92"/>
      <c r="X696" s="6"/>
    </row>
    <row r="697" ht="15.75" customHeight="1">
      <c r="S697" s="92"/>
      <c r="X697" s="6"/>
    </row>
    <row r="698" ht="15.75" customHeight="1">
      <c r="S698" s="92"/>
      <c r="X698" s="6"/>
    </row>
    <row r="699" ht="15.75" customHeight="1">
      <c r="S699" s="92"/>
      <c r="X699" s="6"/>
    </row>
    <row r="700" ht="15.75" customHeight="1">
      <c r="S700" s="92"/>
      <c r="X700" s="6"/>
    </row>
    <row r="701" ht="15.75" customHeight="1">
      <c r="S701" s="92"/>
      <c r="X701" s="6"/>
    </row>
    <row r="702" ht="15.75" customHeight="1">
      <c r="S702" s="92"/>
      <c r="X702" s="6"/>
    </row>
    <row r="703" ht="15.75" customHeight="1">
      <c r="S703" s="92"/>
      <c r="X703" s="6"/>
    </row>
    <row r="704" ht="15.75" customHeight="1">
      <c r="S704" s="92"/>
      <c r="X704" s="6"/>
    </row>
    <row r="705" ht="15.75" customHeight="1">
      <c r="S705" s="92"/>
      <c r="X705" s="6"/>
    </row>
    <row r="706" ht="15.75" customHeight="1">
      <c r="S706" s="92"/>
      <c r="X706" s="6"/>
    </row>
    <row r="707" ht="15.75" customHeight="1">
      <c r="S707" s="92"/>
      <c r="X707" s="6"/>
    </row>
    <row r="708" ht="15.75" customHeight="1">
      <c r="S708" s="92"/>
      <c r="X708" s="6"/>
    </row>
    <row r="709" ht="15.75" customHeight="1">
      <c r="S709" s="92"/>
      <c r="X709" s="6"/>
    </row>
    <row r="710" ht="15.75" customHeight="1">
      <c r="S710" s="92"/>
      <c r="X710" s="6"/>
    </row>
    <row r="711" ht="15.75" customHeight="1">
      <c r="S711" s="92"/>
      <c r="X711" s="6"/>
    </row>
    <row r="712" ht="15.75" customHeight="1">
      <c r="S712" s="92"/>
      <c r="X712" s="6"/>
    </row>
    <row r="713" ht="15.75" customHeight="1">
      <c r="S713" s="92"/>
      <c r="X713" s="6"/>
    </row>
    <row r="714" ht="15.75" customHeight="1">
      <c r="S714" s="92"/>
      <c r="X714" s="6"/>
    </row>
    <row r="715" ht="15.75" customHeight="1">
      <c r="S715" s="92"/>
      <c r="X715" s="6"/>
    </row>
    <row r="716" ht="15.75" customHeight="1">
      <c r="S716" s="92"/>
      <c r="X716" s="6"/>
    </row>
    <row r="717" ht="15.75" customHeight="1">
      <c r="S717" s="92"/>
      <c r="X717" s="6"/>
    </row>
    <row r="718" ht="15.75" customHeight="1">
      <c r="S718" s="92"/>
      <c r="X718" s="6"/>
    </row>
    <row r="719" ht="15.75" customHeight="1">
      <c r="S719" s="92"/>
      <c r="X719" s="6"/>
    </row>
    <row r="720" ht="15.75" customHeight="1">
      <c r="S720" s="92"/>
      <c r="X720" s="6"/>
    </row>
    <row r="721" ht="15.75" customHeight="1">
      <c r="S721" s="92"/>
      <c r="X721" s="6"/>
    </row>
    <row r="722" ht="15.75" customHeight="1">
      <c r="S722" s="92"/>
      <c r="X722" s="6"/>
    </row>
    <row r="723" ht="15.75" customHeight="1">
      <c r="S723" s="92"/>
      <c r="X723" s="6"/>
    </row>
    <row r="724" ht="15.75" customHeight="1">
      <c r="S724" s="92"/>
      <c r="X724" s="6"/>
    </row>
    <row r="725" ht="15.75" customHeight="1">
      <c r="S725" s="92"/>
      <c r="X725" s="6"/>
    </row>
    <row r="726" ht="15.75" customHeight="1">
      <c r="S726" s="92"/>
      <c r="X726" s="6"/>
    </row>
    <row r="727" ht="15.75" customHeight="1">
      <c r="S727" s="92"/>
      <c r="X727" s="6"/>
    </row>
    <row r="728" ht="15.75" customHeight="1">
      <c r="S728" s="92"/>
      <c r="X728" s="6"/>
    </row>
    <row r="729" ht="15.75" customHeight="1">
      <c r="S729" s="92"/>
      <c r="X729" s="6"/>
    </row>
    <row r="730" ht="15.75" customHeight="1">
      <c r="S730" s="92"/>
      <c r="X730" s="6"/>
    </row>
    <row r="731" ht="15.75" customHeight="1">
      <c r="S731" s="92"/>
      <c r="X731" s="6"/>
    </row>
    <row r="732" ht="15.75" customHeight="1">
      <c r="S732" s="92"/>
      <c r="X732" s="6"/>
    </row>
    <row r="733" ht="15.75" customHeight="1">
      <c r="S733" s="92"/>
      <c r="X733" s="6"/>
    </row>
    <row r="734" ht="15.75" customHeight="1">
      <c r="S734" s="92"/>
      <c r="X734" s="6"/>
    </row>
    <row r="735" ht="15.75" customHeight="1">
      <c r="S735" s="92"/>
      <c r="X735" s="6"/>
    </row>
    <row r="736" ht="15.75" customHeight="1">
      <c r="S736" s="92"/>
      <c r="X736" s="6"/>
    </row>
    <row r="737" ht="15.75" customHeight="1">
      <c r="S737" s="92"/>
      <c r="X737" s="6"/>
    </row>
    <row r="738" ht="15.75" customHeight="1">
      <c r="S738" s="92"/>
      <c r="X738" s="6"/>
    </row>
    <row r="739" ht="15.75" customHeight="1">
      <c r="S739" s="92"/>
      <c r="X739" s="6"/>
    </row>
    <row r="740" ht="15.75" customHeight="1">
      <c r="S740" s="92"/>
      <c r="X740" s="6"/>
    </row>
    <row r="741" ht="15.75" customHeight="1">
      <c r="S741" s="92"/>
      <c r="X741" s="6"/>
    </row>
    <row r="742" ht="15.75" customHeight="1">
      <c r="S742" s="92"/>
      <c r="X742" s="6"/>
    </row>
    <row r="743" ht="15.75" customHeight="1">
      <c r="S743" s="92"/>
      <c r="X743" s="6"/>
    </row>
    <row r="744" ht="15.75" customHeight="1">
      <c r="S744" s="92"/>
      <c r="X744" s="6"/>
    </row>
    <row r="745" ht="15.75" customHeight="1">
      <c r="S745" s="92"/>
      <c r="X745" s="6"/>
    </row>
    <row r="746" ht="15.75" customHeight="1">
      <c r="S746" s="92"/>
      <c r="X746" s="6"/>
    </row>
    <row r="747" ht="15.75" customHeight="1">
      <c r="S747" s="92"/>
      <c r="X747" s="6"/>
    </row>
    <row r="748" ht="15.75" customHeight="1">
      <c r="S748" s="92"/>
      <c r="X748" s="6"/>
    </row>
    <row r="749" ht="15.75" customHeight="1">
      <c r="S749" s="92"/>
      <c r="X749" s="6"/>
    </row>
    <row r="750" ht="15.75" customHeight="1">
      <c r="S750" s="92"/>
      <c r="X750" s="6"/>
    </row>
    <row r="751" ht="15.75" customHeight="1">
      <c r="S751" s="92"/>
      <c r="X751" s="6"/>
    </row>
    <row r="752" ht="15.75" customHeight="1">
      <c r="S752" s="92"/>
      <c r="X752" s="6"/>
    </row>
    <row r="753" ht="15.75" customHeight="1">
      <c r="S753" s="92"/>
      <c r="X753" s="6"/>
    </row>
    <row r="754" ht="15.75" customHeight="1">
      <c r="S754" s="92"/>
      <c r="X754" s="6"/>
    </row>
    <row r="755" ht="15.75" customHeight="1">
      <c r="S755" s="92"/>
      <c r="X755" s="6"/>
    </row>
    <row r="756" ht="15.75" customHeight="1">
      <c r="S756" s="92"/>
      <c r="X756" s="6"/>
    </row>
    <row r="757" ht="15.75" customHeight="1">
      <c r="S757" s="92"/>
      <c r="X757" s="6"/>
    </row>
    <row r="758" ht="15.75" customHeight="1">
      <c r="S758" s="92"/>
      <c r="X758" s="6"/>
    </row>
    <row r="759" ht="15.75" customHeight="1">
      <c r="S759" s="92"/>
      <c r="X759" s="6"/>
    </row>
    <row r="760" ht="15.75" customHeight="1">
      <c r="S760" s="92"/>
      <c r="X760" s="6"/>
    </row>
    <row r="761" ht="15.75" customHeight="1">
      <c r="S761" s="92"/>
      <c r="X761" s="6"/>
    </row>
    <row r="762" ht="15.75" customHeight="1">
      <c r="S762" s="92"/>
      <c r="X762" s="6"/>
    </row>
    <row r="763" ht="15.75" customHeight="1">
      <c r="S763" s="92"/>
      <c r="X763" s="6"/>
    </row>
    <row r="764" ht="15.75" customHeight="1">
      <c r="S764" s="92"/>
      <c r="X764" s="6"/>
    </row>
    <row r="765" ht="15.75" customHeight="1">
      <c r="S765" s="92"/>
      <c r="X765" s="6"/>
    </row>
    <row r="766" ht="15.75" customHeight="1">
      <c r="S766" s="92"/>
      <c r="X766" s="6"/>
    </row>
    <row r="767" ht="15.75" customHeight="1">
      <c r="S767" s="92"/>
      <c r="X767" s="6"/>
    </row>
    <row r="768" ht="15.75" customHeight="1">
      <c r="S768" s="92"/>
      <c r="X768" s="6"/>
    </row>
    <row r="769" ht="15.75" customHeight="1">
      <c r="S769" s="92"/>
      <c r="X769" s="6"/>
    </row>
    <row r="770" ht="15.75" customHeight="1">
      <c r="S770" s="92"/>
      <c r="X770" s="6"/>
    </row>
    <row r="771" ht="15.75" customHeight="1">
      <c r="S771" s="92"/>
      <c r="X771" s="6"/>
    </row>
    <row r="772" ht="15.75" customHeight="1">
      <c r="S772" s="92"/>
      <c r="X772" s="6"/>
    </row>
    <row r="773" ht="15.75" customHeight="1">
      <c r="S773" s="92"/>
      <c r="X773" s="6"/>
    </row>
    <row r="774" ht="15.75" customHeight="1">
      <c r="S774" s="92"/>
      <c r="X774" s="6"/>
    </row>
    <row r="775" ht="15.75" customHeight="1">
      <c r="S775" s="92"/>
      <c r="X775" s="6"/>
    </row>
    <row r="776" ht="15.75" customHeight="1">
      <c r="S776" s="92"/>
      <c r="X776" s="6"/>
    </row>
    <row r="777" ht="15.75" customHeight="1">
      <c r="S777" s="92"/>
      <c r="X777" s="6"/>
    </row>
    <row r="778" ht="15.75" customHeight="1">
      <c r="S778" s="92"/>
      <c r="X778" s="6"/>
    </row>
    <row r="779" ht="15.75" customHeight="1">
      <c r="S779" s="92"/>
      <c r="X779" s="6"/>
    </row>
    <row r="780" ht="15.75" customHeight="1">
      <c r="S780" s="92"/>
      <c r="X780" s="6"/>
    </row>
    <row r="781" ht="15.75" customHeight="1">
      <c r="S781" s="92"/>
      <c r="X781" s="6"/>
    </row>
    <row r="782" ht="15.75" customHeight="1">
      <c r="S782" s="92"/>
      <c r="X782" s="6"/>
    </row>
    <row r="783" ht="15.75" customHeight="1">
      <c r="S783" s="92"/>
      <c r="X783" s="6"/>
    </row>
    <row r="784" ht="15.75" customHeight="1">
      <c r="S784" s="92"/>
      <c r="X784" s="6"/>
    </row>
    <row r="785" ht="15.75" customHeight="1">
      <c r="S785" s="92"/>
      <c r="X785" s="6"/>
    </row>
    <row r="786" ht="15.75" customHeight="1">
      <c r="S786" s="92"/>
      <c r="X786" s="6"/>
    </row>
    <row r="787" ht="15.75" customHeight="1">
      <c r="S787" s="92"/>
      <c r="X787" s="6"/>
    </row>
    <row r="788" ht="15.75" customHeight="1">
      <c r="S788" s="92"/>
      <c r="X788" s="6"/>
    </row>
    <row r="789" ht="15.75" customHeight="1">
      <c r="S789" s="92"/>
      <c r="X789" s="6"/>
    </row>
    <row r="790" ht="15.75" customHeight="1">
      <c r="S790" s="92"/>
      <c r="X790" s="6"/>
    </row>
    <row r="791" ht="15.75" customHeight="1">
      <c r="S791" s="92"/>
      <c r="X791" s="6"/>
    </row>
    <row r="792" ht="15.75" customHeight="1">
      <c r="S792" s="92"/>
      <c r="X792" s="6"/>
    </row>
    <row r="793" ht="15.75" customHeight="1">
      <c r="S793" s="92"/>
      <c r="X793" s="6"/>
    </row>
    <row r="794" ht="15.75" customHeight="1">
      <c r="S794" s="92"/>
      <c r="X794" s="6"/>
    </row>
    <row r="795" ht="15.75" customHeight="1">
      <c r="S795" s="92"/>
      <c r="X795" s="6"/>
    </row>
    <row r="796" ht="15.75" customHeight="1">
      <c r="S796" s="92"/>
      <c r="X796" s="6"/>
    </row>
    <row r="797" ht="15.75" customHeight="1">
      <c r="S797" s="92"/>
      <c r="X797" s="6"/>
    </row>
    <row r="798" ht="15.75" customHeight="1">
      <c r="S798" s="92"/>
      <c r="X798" s="6"/>
    </row>
    <row r="799" ht="15.75" customHeight="1">
      <c r="S799" s="92"/>
      <c r="X799" s="6"/>
    </row>
    <row r="800" ht="15.75" customHeight="1">
      <c r="S800" s="92"/>
      <c r="X800" s="6"/>
    </row>
    <row r="801" ht="15.75" customHeight="1">
      <c r="S801" s="92"/>
      <c r="X801" s="6"/>
    </row>
    <row r="802" ht="15.75" customHeight="1">
      <c r="S802" s="92"/>
      <c r="X802" s="6"/>
    </row>
    <row r="803" ht="15.75" customHeight="1">
      <c r="S803" s="92"/>
      <c r="X803" s="6"/>
    </row>
    <row r="804" ht="15.75" customHeight="1">
      <c r="S804" s="92"/>
      <c r="X804" s="6"/>
    </row>
    <row r="805" ht="15.75" customHeight="1">
      <c r="S805" s="92"/>
      <c r="X805" s="6"/>
    </row>
    <row r="806" ht="15.75" customHeight="1">
      <c r="S806" s="92"/>
      <c r="X806" s="6"/>
    </row>
    <row r="807" ht="15.75" customHeight="1">
      <c r="S807" s="92"/>
      <c r="X807" s="6"/>
    </row>
    <row r="808" ht="15.75" customHeight="1">
      <c r="S808" s="92"/>
      <c r="X808" s="6"/>
    </row>
    <row r="809" ht="15.75" customHeight="1">
      <c r="S809" s="92"/>
      <c r="X809" s="6"/>
    </row>
    <row r="810" ht="15.75" customHeight="1">
      <c r="S810" s="92"/>
      <c r="X810" s="6"/>
    </row>
    <row r="811" ht="15.75" customHeight="1">
      <c r="S811" s="92"/>
      <c r="X811" s="6"/>
    </row>
    <row r="812" ht="15.75" customHeight="1">
      <c r="S812" s="92"/>
      <c r="X812" s="6"/>
    </row>
    <row r="813" ht="15.75" customHeight="1">
      <c r="S813" s="92"/>
      <c r="X813" s="6"/>
    </row>
    <row r="814" ht="15.75" customHeight="1">
      <c r="S814" s="92"/>
      <c r="X814" s="6"/>
    </row>
    <row r="815" ht="15.75" customHeight="1">
      <c r="S815" s="92"/>
      <c r="X815" s="6"/>
    </row>
    <row r="816" ht="15.75" customHeight="1">
      <c r="S816" s="92"/>
      <c r="X816" s="6"/>
    </row>
    <row r="817" ht="15.75" customHeight="1">
      <c r="S817" s="92"/>
      <c r="X817" s="6"/>
    </row>
    <row r="818" ht="15.75" customHeight="1">
      <c r="S818" s="92"/>
      <c r="X818" s="6"/>
    </row>
    <row r="819" ht="15.75" customHeight="1">
      <c r="S819" s="92"/>
      <c r="X819" s="6"/>
    </row>
    <row r="820" ht="15.75" customHeight="1">
      <c r="S820" s="92"/>
      <c r="X820" s="6"/>
    </row>
    <row r="821" ht="15.75" customHeight="1">
      <c r="S821" s="92"/>
      <c r="X821" s="6"/>
    </row>
    <row r="822" ht="15.75" customHeight="1">
      <c r="S822" s="92"/>
      <c r="X822" s="6"/>
    </row>
    <row r="823" ht="15.75" customHeight="1">
      <c r="S823" s="92"/>
      <c r="X823" s="6"/>
    </row>
    <row r="824" ht="15.75" customHeight="1">
      <c r="S824" s="92"/>
      <c r="X824" s="6"/>
    </row>
    <row r="825" ht="15.75" customHeight="1">
      <c r="S825" s="92"/>
      <c r="X825" s="6"/>
    </row>
    <row r="826" ht="15.75" customHeight="1">
      <c r="S826" s="92"/>
      <c r="X826" s="6"/>
    </row>
    <row r="827" ht="15.75" customHeight="1">
      <c r="S827" s="92"/>
      <c r="X827" s="6"/>
    </row>
    <row r="828" ht="15.75" customHeight="1">
      <c r="S828" s="92"/>
      <c r="X828" s="6"/>
    </row>
    <row r="829" ht="15.75" customHeight="1">
      <c r="S829" s="92"/>
      <c r="X829" s="6"/>
    </row>
    <row r="830" ht="15.75" customHeight="1">
      <c r="S830" s="92"/>
      <c r="X830" s="6"/>
    </row>
    <row r="831" ht="15.75" customHeight="1">
      <c r="S831" s="92"/>
      <c r="X831" s="6"/>
    </row>
    <row r="832" ht="15.75" customHeight="1">
      <c r="S832" s="92"/>
      <c r="X832" s="6"/>
    </row>
    <row r="833" ht="15.75" customHeight="1">
      <c r="S833" s="92"/>
      <c r="X833" s="6"/>
    </row>
    <row r="834" ht="15.75" customHeight="1">
      <c r="S834" s="92"/>
      <c r="X834" s="6"/>
    </row>
    <row r="835" ht="15.75" customHeight="1">
      <c r="S835" s="92"/>
      <c r="X835" s="6"/>
    </row>
    <row r="836" ht="15.75" customHeight="1">
      <c r="S836" s="92"/>
      <c r="X836" s="6"/>
    </row>
    <row r="837" ht="15.75" customHeight="1">
      <c r="S837" s="92"/>
      <c r="X837" s="6"/>
    </row>
    <row r="838" ht="15.75" customHeight="1">
      <c r="S838" s="92"/>
      <c r="X838" s="6"/>
    </row>
    <row r="839" ht="15.75" customHeight="1">
      <c r="S839" s="92"/>
      <c r="X839" s="6"/>
    </row>
    <row r="840" ht="15.75" customHeight="1">
      <c r="S840" s="92"/>
      <c r="X840" s="6"/>
    </row>
    <row r="841" ht="15.75" customHeight="1">
      <c r="S841" s="92"/>
      <c r="X841" s="6"/>
    </row>
    <row r="842" ht="15.75" customHeight="1">
      <c r="S842" s="92"/>
      <c r="X842" s="6"/>
    </row>
    <row r="843" ht="15.75" customHeight="1">
      <c r="S843" s="92"/>
      <c r="X843" s="6"/>
    </row>
    <row r="844" ht="15.75" customHeight="1">
      <c r="S844" s="92"/>
      <c r="X844" s="6"/>
    </row>
    <row r="845" ht="15.75" customHeight="1">
      <c r="S845" s="92"/>
      <c r="X845" s="6"/>
    </row>
    <row r="846" ht="15.75" customHeight="1">
      <c r="S846" s="92"/>
      <c r="X846" s="6"/>
    </row>
    <row r="847" ht="15.75" customHeight="1">
      <c r="S847" s="92"/>
      <c r="X847" s="6"/>
    </row>
    <row r="848" ht="15.75" customHeight="1">
      <c r="S848" s="92"/>
      <c r="X848" s="6"/>
    </row>
    <row r="849" ht="15.75" customHeight="1">
      <c r="S849" s="92"/>
      <c r="X849" s="6"/>
    </row>
    <row r="850" ht="15.75" customHeight="1">
      <c r="S850" s="92"/>
      <c r="X850" s="6"/>
    </row>
    <row r="851" ht="15.75" customHeight="1">
      <c r="S851" s="92"/>
      <c r="X851" s="6"/>
    </row>
    <row r="852" ht="15.75" customHeight="1">
      <c r="S852" s="92"/>
      <c r="X852" s="6"/>
    </row>
    <row r="853" ht="15.75" customHeight="1">
      <c r="S853" s="92"/>
      <c r="X853" s="6"/>
    </row>
    <row r="854" ht="15.75" customHeight="1">
      <c r="S854" s="92"/>
      <c r="X854" s="6"/>
    </row>
    <row r="855" ht="15.75" customHeight="1">
      <c r="S855" s="92"/>
      <c r="X855" s="6"/>
    </row>
    <row r="856" ht="15.75" customHeight="1">
      <c r="S856" s="92"/>
      <c r="X856" s="6"/>
    </row>
    <row r="857" ht="15.75" customHeight="1">
      <c r="S857" s="92"/>
      <c r="X857" s="6"/>
    </row>
    <row r="858" ht="15.75" customHeight="1">
      <c r="S858" s="92"/>
      <c r="X858" s="6"/>
    </row>
    <row r="859" ht="15.75" customHeight="1">
      <c r="S859" s="92"/>
      <c r="X859" s="6"/>
    </row>
    <row r="860" ht="15.75" customHeight="1">
      <c r="S860" s="92"/>
      <c r="X860" s="6"/>
    </row>
    <row r="861" ht="15.75" customHeight="1">
      <c r="S861" s="92"/>
      <c r="X861" s="6"/>
    </row>
    <row r="862" ht="15.75" customHeight="1">
      <c r="S862" s="92"/>
      <c r="X862" s="6"/>
    </row>
    <row r="863" ht="15.75" customHeight="1">
      <c r="S863" s="92"/>
      <c r="X863" s="6"/>
    </row>
    <row r="864" ht="15.75" customHeight="1">
      <c r="S864" s="92"/>
      <c r="X864" s="6"/>
    </row>
    <row r="865" ht="15.75" customHeight="1">
      <c r="S865" s="92"/>
      <c r="X865" s="6"/>
    </row>
    <row r="866" ht="15.75" customHeight="1">
      <c r="S866" s="92"/>
      <c r="X866" s="6"/>
    </row>
    <row r="867" ht="15.75" customHeight="1">
      <c r="S867" s="92"/>
      <c r="X867" s="6"/>
    </row>
    <row r="868" ht="15.75" customHeight="1">
      <c r="S868" s="92"/>
      <c r="X868" s="6"/>
    </row>
    <row r="869" ht="15.75" customHeight="1">
      <c r="S869" s="92"/>
      <c r="X869" s="6"/>
    </row>
    <row r="870" ht="15.75" customHeight="1">
      <c r="S870" s="92"/>
      <c r="X870" s="6"/>
    </row>
    <row r="871" ht="15.75" customHeight="1">
      <c r="S871" s="92"/>
      <c r="X871" s="6"/>
    </row>
    <row r="872" ht="15.75" customHeight="1">
      <c r="S872" s="92"/>
      <c r="X872" s="6"/>
    </row>
    <row r="873" ht="15.75" customHeight="1">
      <c r="S873" s="92"/>
      <c r="X873" s="6"/>
    </row>
    <row r="874" ht="15.75" customHeight="1">
      <c r="S874" s="92"/>
      <c r="X874" s="6"/>
    </row>
    <row r="875" ht="15.75" customHeight="1">
      <c r="S875" s="92"/>
      <c r="X875" s="6"/>
    </row>
    <row r="876" ht="15.75" customHeight="1">
      <c r="S876" s="92"/>
      <c r="X876" s="6"/>
    </row>
    <row r="877" ht="15.75" customHeight="1">
      <c r="S877" s="92"/>
      <c r="X877" s="6"/>
    </row>
    <row r="878" ht="15.75" customHeight="1">
      <c r="S878" s="92"/>
      <c r="X878" s="6"/>
    </row>
    <row r="879" ht="15.75" customHeight="1">
      <c r="S879" s="92"/>
      <c r="X879" s="6"/>
    </row>
    <row r="880" ht="15.75" customHeight="1">
      <c r="S880" s="92"/>
      <c r="X880" s="6"/>
    </row>
    <row r="881" ht="15.75" customHeight="1">
      <c r="S881" s="92"/>
      <c r="X881" s="6"/>
    </row>
    <row r="882" ht="15.75" customHeight="1">
      <c r="S882" s="92"/>
      <c r="X882" s="6"/>
    </row>
    <row r="883" ht="15.75" customHeight="1">
      <c r="S883" s="92"/>
      <c r="X883" s="6"/>
    </row>
    <row r="884" ht="15.75" customHeight="1">
      <c r="S884" s="92"/>
      <c r="X884" s="6"/>
    </row>
    <row r="885" ht="15.75" customHeight="1">
      <c r="S885" s="92"/>
      <c r="X885" s="6"/>
    </row>
    <row r="886" ht="15.75" customHeight="1">
      <c r="S886" s="92"/>
      <c r="X886" s="6"/>
    </row>
    <row r="887" ht="15.75" customHeight="1">
      <c r="S887" s="92"/>
      <c r="X887" s="6"/>
    </row>
    <row r="888" ht="15.75" customHeight="1">
      <c r="S888" s="92"/>
      <c r="X888" s="6"/>
    </row>
    <row r="889" ht="15.75" customHeight="1">
      <c r="S889" s="92"/>
      <c r="X889" s="6"/>
    </row>
    <row r="890" ht="15.75" customHeight="1">
      <c r="S890" s="92"/>
      <c r="X890" s="6"/>
    </row>
    <row r="891" ht="15.75" customHeight="1">
      <c r="S891" s="92"/>
      <c r="X891" s="6"/>
    </row>
    <row r="892" ht="15.75" customHeight="1">
      <c r="S892" s="92"/>
      <c r="X892" s="6"/>
    </row>
    <row r="893" ht="15.75" customHeight="1">
      <c r="S893" s="92"/>
      <c r="X893" s="6"/>
    </row>
    <row r="894" ht="15.75" customHeight="1">
      <c r="S894" s="92"/>
      <c r="X894" s="6"/>
    </row>
    <row r="895" ht="15.75" customHeight="1">
      <c r="S895" s="92"/>
      <c r="X895" s="6"/>
    </row>
    <row r="896" ht="15.75" customHeight="1">
      <c r="S896" s="92"/>
      <c r="X896" s="6"/>
    </row>
    <row r="897" ht="15.75" customHeight="1">
      <c r="S897" s="92"/>
      <c r="X897" s="6"/>
    </row>
    <row r="898" ht="15.75" customHeight="1">
      <c r="S898" s="92"/>
      <c r="X898" s="6"/>
    </row>
    <row r="899" ht="15.75" customHeight="1">
      <c r="S899" s="92"/>
      <c r="X899" s="6"/>
    </row>
    <row r="900" ht="15.75" customHeight="1">
      <c r="S900" s="92"/>
      <c r="X900" s="6"/>
    </row>
    <row r="901" ht="15.75" customHeight="1">
      <c r="S901" s="92"/>
      <c r="X901" s="6"/>
    </row>
    <row r="902" ht="15.75" customHeight="1">
      <c r="S902" s="92"/>
      <c r="X902" s="6"/>
    </row>
    <row r="903" ht="15.75" customHeight="1">
      <c r="S903" s="92"/>
      <c r="X903" s="6"/>
    </row>
    <row r="904" ht="15.75" customHeight="1">
      <c r="S904" s="92"/>
      <c r="X904" s="6"/>
    </row>
    <row r="905" ht="15.75" customHeight="1">
      <c r="S905" s="92"/>
      <c r="X905" s="6"/>
    </row>
    <row r="906" ht="15.75" customHeight="1">
      <c r="S906" s="92"/>
      <c r="X906" s="6"/>
    </row>
    <row r="907" ht="15.75" customHeight="1">
      <c r="S907" s="92"/>
      <c r="X907" s="6"/>
    </row>
    <row r="908" ht="15.75" customHeight="1">
      <c r="S908" s="92"/>
      <c r="X908" s="6"/>
    </row>
    <row r="909" ht="15.75" customHeight="1">
      <c r="S909" s="92"/>
      <c r="X909" s="6"/>
    </row>
    <row r="910" ht="15.75" customHeight="1">
      <c r="S910" s="92"/>
      <c r="X910" s="6"/>
    </row>
    <row r="911" ht="15.75" customHeight="1">
      <c r="S911" s="92"/>
      <c r="X911" s="6"/>
    </row>
    <row r="912" ht="15.75" customHeight="1">
      <c r="S912" s="92"/>
      <c r="X912" s="6"/>
    </row>
    <row r="913" ht="15.75" customHeight="1">
      <c r="S913" s="92"/>
      <c r="X913" s="6"/>
    </row>
    <row r="914" ht="15.75" customHeight="1">
      <c r="S914" s="92"/>
      <c r="X914" s="6"/>
    </row>
    <row r="915" ht="15.75" customHeight="1">
      <c r="S915" s="92"/>
      <c r="X915" s="6"/>
    </row>
    <row r="916" ht="15.75" customHeight="1">
      <c r="S916" s="92"/>
      <c r="X916" s="6"/>
    </row>
    <row r="917" ht="15.75" customHeight="1">
      <c r="S917" s="92"/>
      <c r="X917" s="6"/>
    </row>
    <row r="918" ht="15.75" customHeight="1">
      <c r="S918" s="92"/>
      <c r="X918" s="6"/>
    </row>
    <row r="919" ht="15.75" customHeight="1">
      <c r="S919" s="92"/>
      <c r="X919" s="6"/>
    </row>
    <row r="920" ht="15.75" customHeight="1">
      <c r="S920" s="92"/>
      <c r="X920" s="6"/>
    </row>
    <row r="921" ht="15.75" customHeight="1">
      <c r="S921" s="92"/>
      <c r="X921" s="6"/>
    </row>
    <row r="922" ht="15.75" customHeight="1">
      <c r="S922" s="92"/>
      <c r="X922" s="6"/>
    </row>
    <row r="923" ht="15.75" customHeight="1">
      <c r="S923" s="92"/>
      <c r="X923" s="6"/>
    </row>
    <row r="924" ht="15.75" customHeight="1">
      <c r="S924" s="92"/>
      <c r="X924" s="6"/>
    </row>
    <row r="925" ht="15.75" customHeight="1">
      <c r="S925" s="92"/>
      <c r="X925" s="6"/>
    </row>
    <row r="926" ht="15.75" customHeight="1">
      <c r="S926" s="92"/>
      <c r="X926" s="6"/>
    </row>
    <row r="927" ht="15.75" customHeight="1">
      <c r="S927" s="92"/>
      <c r="X927" s="6"/>
    </row>
    <row r="928" ht="15.75" customHeight="1">
      <c r="S928" s="92"/>
      <c r="X928" s="6"/>
    </row>
    <row r="929" ht="15.75" customHeight="1">
      <c r="S929" s="92"/>
      <c r="X929" s="6"/>
    </row>
    <row r="930" ht="15.75" customHeight="1">
      <c r="S930" s="92"/>
      <c r="X930" s="6"/>
    </row>
    <row r="931" ht="15.75" customHeight="1">
      <c r="S931" s="92"/>
      <c r="X931" s="6"/>
    </row>
    <row r="932" ht="15.75" customHeight="1">
      <c r="S932" s="92"/>
      <c r="X932" s="6"/>
    </row>
    <row r="933" ht="15.75" customHeight="1">
      <c r="S933" s="92"/>
      <c r="X933" s="6"/>
    </row>
    <row r="934" ht="15.75" customHeight="1">
      <c r="S934" s="92"/>
      <c r="X934" s="6"/>
    </row>
    <row r="935" ht="15.75" customHeight="1">
      <c r="S935" s="92"/>
      <c r="X935" s="6"/>
    </row>
    <row r="936" ht="15.75" customHeight="1">
      <c r="S936" s="92"/>
      <c r="X936" s="6"/>
    </row>
    <row r="937" ht="15.75" customHeight="1">
      <c r="S937" s="92"/>
      <c r="X937" s="6"/>
    </row>
    <row r="938" ht="15.75" customHeight="1">
      <c r="S938" s="92"/>
      <c r="X938" s="6"/>
    </row>
    <row r="939" ht="15.75" customHeight="1">
      <c r="S939" s="92"/>
      <c r="X939" s="6"/>
    </row>
    <row r="940" ht="15.75" customHeight="1">
      <c r="S940" s="92"/>
      <c r="X940" s="6"/>
    </row>
    <row r="941" ht="15.75" customHeight="1">
      <c r="S941" s="92"/>
      <c r="X941" s="6"/>
    </row>
    <row r="942" ht="15.75" customHeight="1">
      <c r="S942" s="92"/>
      <c r="X942" s="6"/>
    </row>
    <row r="943" ht="15.75" customHeight="1">
      <c r="S943" s="92"/>
      <c r="X943" s="6"/>
    </row>
    <row r="944" ht="15.75" customHeight="1">
      <c r="S944" s="92"/>
      <c r="X944" s="6"/>
    </row>
    <row r="945" ht="15.75" customHeight="1">
      <c r="S945" s="92"/>
      <c r="X945" s="6"/>
    </row>
    <row r="946" ht="15.75" customHeight="1">
      <c r="S946" s="92"/>
      <c r="X946" s="6"/>
    </row>
    <row r="947" ht="15.75" customHeight="1">
      <c r="S947" s="92"/>
      <c r="X947" s="6"/>
    </row>
    <row r="948" ht="15.75" customHeight="1">
      <c r="S948" s="92"/>
      <c r="X948" s="6"/>
    </row>
    <row r="949" ht="15.75" customHeight="1">
      <c r="S949" s="92"/>
      <c r="X949" s="6"/>
    </row>
    <row r="950" ht="15.75" customHeight="1">
      <c r="S950" s="92"/>
      <c r="X950" s="6"/>
    </row>
    <row r="951" ht="15.75" customHeight="1">
      <c r="S951" s="92"/>
      <c r="X951" s="6"/>
    </row>
    <row r="952" ht="15.75" customHeight="1">
      <c r="S952" s="92"/>
      <c r="X952" s="6"/>
    </row>
    <row r="953" ht="15.75" customHeight="1">
      <c r="S953" s="92"/>
      <c r="X953" s="6"/>
    </row>
    <row r="954" ht="15.75" customHeight="1">
      <c r="S954" s="92"/>
      <c r="X954" s="6"/>
    </row>
    <row r="955" ht="15.75" customHeight="1">
      <c r="S955" s="92"/>
      <c r="X955" s="6"/>
    </row>
    <row r="956" ht="15.75" customHeight="1">
      <c r="S956" s="92"/>
      <c r="X956" s="6"/>
    </row>
    <row r="957" ht="15.75" customHeight="1">
      <c r="S957" s="92"/>
      <c r="X957" s="6"/>
    </row>
    <row r="958" ht="15.75" customHeight="1">
      <c r="S958" s="92"/>
      <c r="X958" s="6"/>
    </row>
    <row r="959" ht="15.75" customHeight="1">
      <c r="S959" s="92"/>
      <c r="X959" s="6"/>
    </row>
    <row r="960" ht="15.75" customHeight="1">
      <c r="S960" s="92"/>
      <c r="X960" s="6"/>
    </row>
    <row r="961" ht="15.75" customHeight="1">
      <c r="S961" s="92"/>
      <c r="X961" s="6"/>
    </row>
    <row r="962" ht="15.75" customHeight="1">
      <c r="S962" s="92"/>
      <c r="X962" s="6"/>
    </row>
    <row r="963" ht="15.75" customHeight="1">
      <c r="S963" s="92"/>
      <c r="X963" s="6"/>
    </row>
    <row r="964" ht="15.75" customHeight="1">
      <c r="S964" s="92"/>
      <c r="X964" s="6"/>
    </row>
    <row r="965" ht="15.75" customHeight="1">
      <c r="S965" s="92"/>
      <c r="X965" s="6"/>
    </row>
    <row r="966" ht="15.75" customHeight="1">
      <c r="S966" s="92"/>
      <c r="X966" s="6"/>
    </row>
    <row r="967" ht="15.75" customHeight="1">
      <c r="S967" s="92"/>
      <c r="X967" s="6"/>
    </row>
    <row r="968" ht="15.75" customHeight="1">
      <c r="S968" s="92"/>
      <c r="X968" s="6"/>
    </row>
    <row r="969" ht="15.75" customHeight="1">
      <c r="S969" s="92"/>
      <c r="X969" s="6"/>
    </row>
    <row r="970" ht="15.75" customHeight="1">
      <c r="S970" s="92"/>
      <c r="X970" s="6"/>
    </row>
    <row r="971" ht="15.75" customHeight="1">
      <c r="S971" s="92"/>
      <c r="X971" s="6"/>
    </row>
    <row r="972" ht="15.75" customHeight="1">
      <c r="S972" s="92"/>
      <c r="X972" s="6"/>
    </row>
    <row r="973" ht="15.75" customHeight="1">
      <c r="S973" s="92"/>
      <c r="X973" s="6"/>
    </row>
    <row r="974" ht="15.75" customHeight="1">
      <c r="S974" s="92"/>
      <c r="X974" s="6"/>
    </row>
    <row r="975" ht="15.75" customHeight="1">
      <c r="S975" s="92"/>
      <c r="X975" s="6"/>
    </row>
    <row r="976" ht="15.75" customHeight="1">
      <c r="S976" s="92"/>
      <c r="X976" s="6"/>
    </row>
    <row r="977" ht="15.75" customHeight="1">
      <c r="S977" s="92"/>
      <c r="X977" s="6"/>
    </row>
    <row r="978" ht="15.75" customHeight="1">
      <c r="S978" s="92"/>
      <c r="X978" s="6"/>
    </row>
    <row r="979" ht="15.75" customHeight="1">
      <c r="S979" s="92"/>
      <c r="X979" s="6"/>
    </row>
    <row r="980" ht="15.75" customHeight="1">
      <c r="S980" s="92"/>
      <c r="X980" s="6"/>
    </row>
    <row r="981" ht="15.75" customHeight="1">
      <c r="S981" s="92"/>
      <c r="X981" s="6"/>
    </row>
    <row r="982" ht="15.75" customHeight="1">
      <c r="S982" s="92"/>
      <c r="X982" s="6"/>
    </row>
    <row r="983" ht="15.75" customHeight="1">
      <c r="S983" s="92"/>
      <c r="X983" s="6"/>
    </row>
    <row r="984" ht="15.75" customHeight="1">
      <c r="S984" s="92"/>
      <c r="X984" s="6"/>
    </row>
    <row r="985" ht="15.75" customHeight="1">
      <c r="S985" s="92"/>
      <c r="X985" s="6"/>
    </row>
    <row r="986" ht="15.75" customHeight="1">
      <c r="S986" s="92"/>
      <c r="X986" s="6"/>
    </row>
    <row r="987" ht="15.75" customHeight="1">
      <c r="S987" s="92"/>
      <c r="X987" s="6"/>
    </row>
    <row r="988" ht="15.75" customHeight="1">
      <c r="S988" s="92"/>
      <c r="X988" s="6"/>
    </row>
    <row r="989" ht="15.75" customHeight="1">
      <c r="S989" s="92"/>
      <c r="X989" s="6"/>
    </row>
    <row r="990" ht="15.75" customHeight="1">
      <c r="S990" s="92"/>
      <c r="X990" s="6"/>
    </row>
    <row r="991" ht="15.75" customHeight="1">
      <c r="S991" s="92"/>
      <c r="X991" s="6"/>
    </row>
    <row r="992" ht="15.75" customHeight="1">
      <c r="S992" s="92"/>
      <c r="X992" s="6"/>
    </row>
    <row r="993" ht="15.75" customHeight="1">
      <c r="S993" s="92"/>
      <c r="X993" s="6"/>
    </row>
    <row r="994" ht="15.75" customHeight="1">
      <c r="S994" s="92"/>
      <c r="X994" s="6"/>
    </row>
    <row r="995" ht="15.75" customHeight="1">
      <c r="S995" s="92"/>
      <c r="X995" s="6"/>
    </row>
    <row r="996" ht="15.75" customHeight="1">
      <c r="S996" s="92"/>
      <c r="X996" s="6"/>
    </row>
    <row r="997" ht="15.75" customHeight="1">
      <c r="S997" s="92"/>
      <c r="X997" s="6"/>
    </row>
    <row r="998" ht="15.75" customHeight="1">
      <c r="S998" s="92"/>
      <c r="X998" s="6"/>
    </row>
    <row r="999" ht="15.75" customHeight="1">
      <c r="S999" s="92"/>
      <c r="X999" s="6"/>
    </row>
    <row r="1000" ht="15.75" customHeight="1">
      <c r="S1000" s="92"/>
      <c r="X1000" s="6"/>
    </row>
  </sheetData>
  <mergeCells count="6">
    <mergeCell ref="N1:P1"/>
    <mergeCell ref="Q1:W1"/>
    <mergeCell ref="B2:M2"/>
    <mergeCell ref="N2:P2"/>
    <mergeCell ref="Q2:T2"/>
    <mergeCell ref="U2:W2"/>
  </mergeCells>
  <printOptions horizontalCentered="1"/>
  <pageMargins bottom="0.75" footer="0.0" header="0.0" left="0.25" right="0.25" top="0.75"/>
  <pageSetup fitToWidth="0" paperSize="3" orientation="landscape"/>
  <headerFooter>
    <oddFooter>&amp;L(1) AEG/React shows&amp;R&amp;P of </oddFooter>
  </headerFooter>
  <drawing r:id="rId1"/>
</worksheet>
</file>