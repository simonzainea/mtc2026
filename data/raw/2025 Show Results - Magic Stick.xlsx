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 Stick" sheetId="1" r:id="rId4"/>
    <sheet state="visible" name="Magic Stick-by Promoter" sheetId="2" r:id="rId5"/>
  </sheets>
  <definedNames/>
  <calcPr/>
  <extLst>
    <ext uri="GoogleSheetsCustomDataVersion2">
      <go:sheetsCustomData xmlns:go="http://customooxmlschemas.google.com/" r:id="rId6" roundtripDataChecksum="dTFzd1bWulArs3ZYkLNokGON0smyxfQe/Fu823cgN0E="/>
    </ext>
  </extLst>
</workbook>
</file>

<file path=xl/sharedStrings.xml><?xml version="1.0" encoding="utf-8"?>
<sst xmlns="http://schemas.openxmlformats.org/spreadsheetml/2006/main" count="150" uniqueCount="131">
  <si>
    <t>VENUE TOTAL</t>
  </si>
  <si>
    <t>***MAGIC STICK RESULTS***</t>
  </si>
  <si>
    <t xml:space="preserve">MAGIC STICK </t>
  </si>
  <si>
    <t>Name</t>
  </si>
  <si>
    <t>Promoter Code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</si>
  <si>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</si>
  <si>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</si>
  <si>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</si>
  <si>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</si>
  <si>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</si>
  <si>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</si>
  <si>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</si>
  <si>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</si>
  <si>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</si>
  <si>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</si>
  <si>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</si>
  <si>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</si>
  <si>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 - 100%</t>
  </si>
  <si>
    <t>Show Gross Proceeds (before COGS, Labor, &amp; Facility Costs)</t>
  </si>
  <si>
    <t>TOTALS</t>
  </si>
  <si>
    <t>AVERAGES</t>
  </si>
  <si>
    <t>Omnom</t>
  </si>
  <si>
    <t>Fulton Lee</t>
  </si>
  <si>
    <t>DJ  Pauly D</t>
  </si>
  <si>
    <t>Ayybo</t>
  </si>
  <si>
    <t>J Worra</t>
  </si>
  <si>
    <t>Girl Math</t>
  </si>
  <si>
    <t>Boombox</t>
  </si>
  <si>
    <t>Nemahsis</t>
  </si>
  <si>
    <t>Foster the People</t>
  </si>
  <si>
    <t>Third Prty</t>
  </si>
  <si>
    <t>JSTJR</t>
  </si>
  <si>
    <t>LF System</t>
  </si>
  <si>
    <t>Paul van Dyk</t>
  </si>
  <si>
    <t>Dino Munaco</t>
  </si>
  <si>
    <t>Qrion</t>
  </si>
  <si>
    <t>Nora en Pure</t>
  </si>
  <si>
    <t>Kaaze</t>
  </si>
  <si>
    <t>Marie Vaunt</t>
  </si>
  <si>
    <t>KC Lights</t>
  </si>
  <si>
    <t>No Thanks</t>
  </si>
  <si>
    <t>Afrobeats to the World</t>
  </si>
  <si>
    <t>Ranger Trucco</t>
  </si>
  <si>
    <t>Cristoph</t>
  </si>
  <si>
    <t>Desert Hearts</t>
  </si>
  <si>
    <t>G-Space</t>
  </si>
  <si>
    <t>Iann Dior</t>
  </si>
  <si>
    <t>Mereba</t>
  </si>
  <si>
    <t>Klangkarussell</t>
  </si>
  <si>
    <t>Joe Kay</t>
  </si>
  <si>
    <t>Acraze</t>
  </si>
  <si>
    <t>Raveena</t>
  </si>
  <si>
    <t>A-Trak</t>
  </si>
  <si>
    <t>Baroness</t>
  </si>
  <si>
    <t>Max Styler</t>
  </si>
  <si>
    <t>Defected</t>
  </si>
  <si>
    <t>Odd Mob</t>
  </si>
  <si>
    <t>Repopulate Mars</t>
  </si>
  <si>
    <t>Curtis Dalston</t>
  </si>
  <si>
    <t>Sander Kleinberg</t>
  </si>
  <si>
    <t>Glitterbox</t>
  </si>
  <si>
    <t>Geordie Kieffer</t>
  </si>
  <si>
    <t>Lords of Acid</t>
  </si>
  <si>
    <t>Crusy</t>
  </si>
  <si>
    <t>Caroline Baniewicz</t>
  </si>
  <si>
    <t>Austin Millz</t>
  </si>
  <si>
    <t>Hyaden James</t>
  </si>
  <si>
    <t>KenTheMan</t>
  </si>
  <si>
    <t>New Bomb Turks</t>
  </si>
  <si>
    <t>Kickstand Productions</t>
  </si>
  <si>
    <t>Spafford</t>
  </si>
  <si>
    <t>Wesghost</t>
  </si>
  <si>
    <t>R&amp;B Bangers</t>
  </si>
  <si>
    <t>Obi's House</t>
  </si>
  <si>
    <t>Simon Doty</t>
  </si>
  <si>
    <t>DJ Funk Benefit</t>
  </si>
  <si>
    <t>Spencer Brown</t>
  </si>
  <si>
    <t>Russian Circles</t>
  </si>
  <si>
    <t>Restricted</t>
  </si>
  <si>
    <t>Marsh</t>
  </si>
  <si>
    <t>Club 1 BD</t>
  </si>
  <si>
    <t>Anamanaguchi</t>
  </si>
  <si>
    <t>Torren Foot/Airwolf Paradise</t>
  </si>
  <si>
    <t>Pixel Grip</t>
  </si>
  <si>
    <t>Dombresky</t>
  </si>
  <si>
    <t>Sultan + Shepard</t>
  </si>
  <si>
    <t>Cuco</t>
  </si>
  <si>
    <t>Pretty Pink</t>
  </si>
  <si>
    <t>Bonnie x Clyde</t>
  </si>
  <si>
    <t>Skrilla</t>
  </si>
  <si>
    <t>Chezile</t>
  </si>
  <si>
    <t>Essel</t>
  </si>
  <si>
    <t>the Olllam</t>
  </si>
  <si>
    <t>Dogs in a Pile</t>
  </si>
  <si>
    <t>Lotus</t>
  </si>
  <si>
    <t>Only Fire</t>
  </si>
  <si>
    <t>Curbi</t>
  </si>
  <si>
    <t>Joel Corry</t>
  </si>
  <si>
    <t>Nils Hoffman</t>
  </si>
  <si>
    <t>Tony Romera</t>
  </si>
  <si>
    <t>Black V Neck</t>
  </si>
  <si>
    <t>Masceal</t>
  </si>
  <si>
    <t>Darude</t>
  </si>
  <si>
    <t>Ghost Note</t>
  </si>
  <si>
    <t>Fovos</t>
  </si>
  <si>
    <t>Protomatyr</t>
  </si>
  <si>
    <t>Sam Feldt</t>
  </si>
  <si>
    <t>Mustard Plug</t>
  </si>
  <si>
    <t>Habstrakt</t>
  </si>
  <si>
    <t>(1) In-House - Zach</t>
  </si>
  <si>
    <t>(2) In-House - Brie</t>
  </si>
  <si>
    <t>(3) Black Iris</t>
  </si>
  <si>
    <t>(4) Good Show - Jason Berry</t>
  </si>
  <si>
    <t>(5) Paxahau - Tom Pattyn</t>
  </si>
  <si>
    <t>(6) Rental event</t>
  </si>
  <si>
    <t>(7) Party Store co-pro</t>
  </si>
  <si>
    <t>(8) Further Frequencies</t>
  </si>
  <si>
    <t>MAGIC STICK TOTALS</t>
  </si>
  <si>
    <t>PROMOTER PER-SHOW AVERAGES</t>
  </si>
  <si>
    <t>Shows</t>
  </si>
  <si>
    <t>Shows &amp; Rentals</t>
  </si>
  <si>
    <t>% of Total Gross Proceeds</t>
  </si>
  <si>
    <t>Bar Sales  - 50%</t>
  </si>
  <si>
    <t>Paxahau - Tom Pattyn</t>
  </si>
  <si>
    <t>In-House - Zach</t>
  </si>
  <si>
    <t>In-House - Brie</t>
  </si>
  <si>
    <t>Further Frequencies</t>
  </si>
  <si>
    <t>Good Show - Jason Berry</t>
  </si>
  <si>
    <t>Black Iris</t>
  </si>
  <si>
    <t>Rental event</t>
  </si>
  <si>
    <t>Party Store co-pro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</si>
</sst>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"/>
    <numFmt numFmtId="169" formatCode="ddd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FF0000"/>
      <name val="Times New Roma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5" fontId="5" numFmtId="164" xfId="0" applyAlignment="1" applyBorder="1" applyFont="1" applyNumberForma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shrinkToFit="0" wrapText="1"/>
    </xf>
    <xf borderId="12" fillId="3" fontId="5" numFmtId="0" xfId="0" applyBorder="1" applyFont="1"/>
    <xf borderId="13" fillId="3" fontId="5" numFmtId="0" xfId="0" applyAlignment="1" applyBorder="1" applyFont="1">
      <alignment horizontal="center"/>
    </xf>
    <xf borderId="13" fillId="3" fontId="4" numFmtId="0" xfId="0" applyBorder="1" applyFont="1"/>
    <xf borderId="13" fillId="3" fontId="5" numFmtId="164" xfId="0" applyBorder="1" applyFont="1" applyNumberFormat="1"/>
    <xf borderId="13" fillId="2" fontId="5" numFmtId="164" xfId="0" applyBorder="1" applyFont="1" applyNumberFormat="1"/>
    <xf borderId="13" fillId="3" fontId="5" numFmtId="165" xfId="0" applyBorder="1" applyFont="1" applyNumberFormat="1"/>
    <xf borderId="14" fillId="2" fontId="5" numFmtId="165" xfId="0" applyBorder="1" applyFont="1" applyNumberFormat="1"/>
    <xf borderId="14" fillId="3" fontId="5" numFmtId="165" xfId="0" applyBorder="1" applyFont="1" applyNumberFormat="1"/>
    <xf borderId="13" fillId="3" fontId="5" numFmtId="10" xfId="0" applyBorder="1" applyFont="1" applyNumberFormat="1"/>
    <xf borderId="13" fillId="3" fontId="5" numFmtId="166" xfId="0" applyBorder="1" applyFont="1" applyNumberFormat="1"/>
    <xf borderId="14" fillId="3" fontId="5" numFmtId="10" xfId="0" applyBorder="1" applyFont="1" applyNumberFormat="1"/>
    <xf borderId="15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164" xfId="0" applyFont="1" applyNumberFormat="1"/>
    <xf borderId="16" fillId="0" fontId="4" numFmtId="167" xfId="0" applyBorder="1" applyFont="1" applyNumberFormat="1"/>
    <xf borderId="17" fillId="5" fontId="6" numFmtId="0" xfId="0" applyBorder="1" applyFont="1"/>
    <xf borderId="18" fillId="5" fontId="6" numFmtId="0" xfId="0" applyAlignment="1" applyBorder="1" applyFont="1">
      <alignment readingOrder="0"/>
    </xf>
    <xf borderId="17" fillId="5" fontId="6" numFmtId="0" xfId="0" applyAlignment="1" applyBorder="1" applyFont="1">
      <alignment horizontal="center" readingOrder="0"/>
    </xf>
    <xf borderId="17" fillId="5" fontId="6" numFmtId="168" xfId="0" applyAlignment="1" applyBorder="1" applyFont="1" applyNumberFormat="1">
      <alignment horizontal="center" readingOrder="0"/>
    </xf>
    <xf borderId="17" fillId="5" fontId="6" numFmtId="169" xfId="0" applyAlignment="1" applyBorder="1" applyFont="1" applyNumberFormat="1">
      <alignment horizontal="center"/>
    </xf>
    <xf borderId="17" fillId="5" fontId="6" numFmtId="164" xfId="0" applyAlignment="1" applyBorder="1" applyFont="1" applyNumberFormat="1">
      <alignment readingOrder="0"/>
    </xf>
    <xf borderId="17" fillId="5" fontId="6" numFmtId="164" xfId="0" applyBorder="1" applyFont="1" applyNumberFormat="1"/>
    <xf borderId="17" fillId="5" fontId="6" numFmtId="9" xfId="0" applyBorder="1" applyFont="1" applyNumberFormat="1"/>
    <xf borderId="17" fillId="5" fontId="6" numFmtId="165" xfId="0" applyAlignment="1" applyBorder="1" applyFont="1" applyNumberFormat="1">
      <alignment readingOrder="0"/>
    </xf>
    <xf borderId="17" fillId="5" fontId="6" numFmtId="166" xfId="0" applyBorder="1" applyFont="1" applyNumberFormat="1"/>
    <xf borderId="17" fillId="5" fontId="6" numFmtId="165" xfId="0" applyBorder="1" applyFont="1" applyNumberFormat="1"/>
    <xf borderId="19" fillId="5" fontId="6" numFmtId="9" xfId="0" applyBorder="1" applyFont="1" applyNumberFormat="1"/>
    <xf borderId="19" fillId="5" fontId="6" numFmtId="164" xfId="0" applyBorder="1" applyFont="1" applyNumberFormat="1"/>
    <xf borderId="0" fillId="0" fontId="6" numFmtId="0" xfId="0" applyFont="1"/>
    <xf borderId="15" fillId="0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8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9" xfId="0" applyFont="1" applyNumberFormat="1"/>
    <xf borderId="0" fillId="0" fontId="6" numFmtId="167" xfId="0" applyFont="1" applyNumberFormat="1"/>
    <xf borderId="16" fillId="0" fontId="6" numFmtId="9" xfId="0" applyBorder="1" applyFont="1" applyNumberFormat="1"/>
    <xf borderId="0" fillId="0" fontId="7" numFmtId="164" xfId="0" applyAlignment="1" applyFont="1" applyNumberFormat="1">
      <alignment readingOrder="0"/>
    </xf>
    <xf borderId="16" fillId="0" fontId="6" numFmtId="164" xfId="0" applyBorder="1" applyFont="1" applyNumberFormat="1"/>
    <xf borderId="17" fillId="5" fontId="6" numFmtId="167" xfId="0" applyBorder="1" applyFont="1" applyNumberFormat="1"/>
    <xf borderId="17" fillId="5" fontId="7" numFmtId="164" xfId="0" applyAlignment="1" applyBorder="1" applyFont="1" applyNumberFormat="1">
      <alignment readingOrder="0"/>
    </xf>
    <xf borderId="0" fillId="0" fontId="1" numFmtId="167" xfId="0" applyFont="1" applyNumberFormat="1"/>
    <xf borderId="0" fillId="0" fontId="7" numFmtId="164" xfId="0" applyFont="1" applyNumberFormat="1"/>
    <xf borderId="0" fillId="0" fontId="6" numFmtId="0" xfId="0" applyAlignment="1" applyFont="1">
      <alignment horizontal="center"/>
    </xf>
    <xf borderId="16" fillId="0" fontId="7" numFmtId="164" xfId="0" applyBorder="1" applyFont="1" applyNumberFormat="1"/>
    <xf borderId="19" fillId="5" fontId="7" numFmtId="164" xfId="0" applyBorder="1" applyFont="1" applyNumberFormat="1"/>
    <xf borderId="17" fillId="5" fontId="6" numFmtId="168" xfId="0" applyAlignment="1" applyBorder="1" applyFont="1" applyNumberFormat="1">
      <alignment horizontal="center"/>
    </xf>
    <xf borderId="18" fillId="6" fontId="6" numFmtId="0" xfId="0" applyAlignment="1" applyBorder="1" applyFill="1" applyFont="1">
      <alignment readingOrder="0"/>
    </xf>
    <xf borderId="0" fillId="0" fontId="1" numFmtId="164" xfId="0" applyFont="1" applyNumberFormat="1"/>
    <xf borderId="0" fillId="0" fontId="6" numFmtId="168" xfId="0" applyAlignment="1" applyFont="1" applyNumberFormat="1">
      <alignment horizontal="center"/>
    </xf>
    <xf borderId="17" fillId="5" fontId="7" numFmtId="164" xfId="0" applyBorder="1" applyFont="1" applyNumberFormat="1"/>
    <xf borderId="17" fillId="6" fontId="6" numFmtId="164" xfId="0" applyAlignment="1" applyBorder="1" applyFont="1" applyNumberFormat="1">
      <alignment readingOrder="0"/>
    </xf>
    <xf borderId="15" fillId="0" fontId="6" numFmtId="0" xfId="0" applyBorder="1" applyFont="1"/>
    <xf borderId="18" fillId="5" fontId="6" numFmtId="0" xfId="0" applyBorder="1" applyFont="1"/>
    <xf borderId="17" fillId="5" fontId="6" numFmtId="0" xfId="0" applyAlignment="1" applyBorder="1" applyFont="1">
      <alignment horizontal="center"/>
    </xf>
    <xf borderId="0" fillId="0" fontId="1" numFmtId="166" xfId="0" applyFont="1" applyNumberFormat="1"/>
    <xf borderId="1" fillId="4" fontId="4" numFmtId="0" xfId="0" applyAlignment="1" applyBorder="1" applyFont="1">
      <alignment horizontal="center" shrinkToFit="0" wrapText="1"/>
    </xf>
    <xf borderId="20" fillId="5" fontId="5" numFmtId="0" xfId="0" applyAlignment="1" applyBorder="1" applyFont="1">
      <alignment horizontal="center" shrinkToFit="0" wrapText="1"/>
    </xf>
    <xf borderId="12" fillId="3" fontId="5" numFmtId="165" xfId="0" applyBorder="1" applyFont="1" applyNumberFormat="1"/>
    <xf borderId="14" fillId="3" fontId="5" numFmtId="9" xfId="0" applyBorder="1" applyFont="1" applyNumberFormat="1"/>
    <xf borderId="12" fillId="2" fontId="5" numFmtId="165" xfId="0" applyBorder="1" applyFont="1" applyNumberFormat="1"/>
    <xf borderId="13" fillId="2" fontId="5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0" fillId="0" fontId="8" numFmtId="0" xfId="0" applyFont="1"/>
    <xf borderId="18" fillId="5" fontId="1" numFmtId="0" xfId="0" applyBorder="1" applyFont="1"/>
    <xf borderId="17" fillId="5" fontId="1" numFmtId="0" xfId="0" applyBorder="1" applyFont="1"/>
    <xf borderId="17" fillId="5" fontId="1" numFmtId="164" xfId="0" applyBorder="1" applyFont="1" applyNumberFormat="1"/>
    <xf borderId="17" fillId="5" fontId="1" numFmtId="10" xfId="0" applyBorder="1" applyFont="1" applyNumberFormat="1"/>
    <xf borderId="17" fillId="5" fontId="1" numFmtId="165" xfId="0" applyBorder="1" applyFont="1" applyNumberFormat="1"/>
    <xf borderId="17" fillId="5" fontId="1" numFmtId="166" xfId="0" applyBorder="1" applyFont="1" applyNumberFormat="1"/>
    <xf borderId="19" fillId="5" fontId="1" numFmtId="10" xfId="0" applyBorder="1" applyFont="1" applyNumberFormat="1"/>
    <xf borderId="18" fillId="5" fontId="1" numFmtId="165" xfId="0" applyBorder="1" applyFont="1" applyNumberFormat="1"/>
    <xf borderId="19" fillId="5" fontId="1" numFmtId="165" xfId="0" applyBorder="1" applyFont="1" applyNumberFormat="1"/>
    <xf borderId="0" fillId="0" fontId="1" numFmtId="10" xfId="0" applyFont="1" applyNumberFormat="1"/>
    <xf borderId="0" fillId="0" fontId="1" numFmtId="165" xfId="0" applyFont="1" applyNumberFormat="1"/>
    <xf borderId="16" fillId="0" fontId="1" numFmtId="10" xfId="0" applyBorder="1" applyFont="1" applyNumberFormat="1"/>
    <xf borderId="15" fillId="0" fontId="1" numFmtId="165" xfId="0" applyBorder="1" applyFont="1" applyNumberFormat="1"/>
    <xf borderId="16" fillId="0" fontId="1" numFmtId="165" xfId="0" applyBorder="1" applyFont="1" applyNumberForma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29.43"/>
    <col customWidth="1" min="3" max="3" width="10.57"/>
    <col customWidth="1" min="4" max="4" width="10.86"/>
    <col customWidth="1" min="5" max="5" width="6.43"/>
    <col customWidth="1" min="6" max="6" width="10.29"/>
    <col customWidth="1" min="7" max="7" width="9.0"/>
    <col customWidth="1" min="8" max="8" width="9.57"/>
    <col customWidth="1" min="9" max="9" width="12.71"/>
    <col customWidth="1" min="10" max="10" width="11.86"/>
    <col customWidth="1" min="11" max="11" width="12.14"/>
    <col customWidth="1" min="12" max="12" width="10.43"/>
    <col customWidth="1" min="13" max="13" width="12.29"/>
    <col customWidth="1" min="14" max="14" width="8.29"/>
    <col customWidth="1" min="15" max="15" width="11.86"/>
    <col customWidth="1" min="16" max="16" width="12.0"/>
    <col customWidth="1" min="17" max="17" width="13.86"/>
    <col customWidth="1" min="18" max="18" width="9.29"/>
    <col customWidth="1" min="19" max="20" width="9.14"/>
    <col customWidth="1" min="21" max="26" width="8.71"/>
  </cols>
  <sheetData>
    <row r="1">
      <c r="C1" s="1"/>
      <c r="O1" s="2" t="s">
        <v>0</v>
      </c>
      <c r="P1" s="3"/>
      <c r="Q1" s="4"/>
    </row>
    <row r="2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" t="s">
        <v>2</v>
      </c>
      <c r="P2" s="3"/>
      <c r="Q2" s="4"/>
    </row>
    <row r="3"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</row>
    <row r="4">
      <c r="B4" s="15" t="s">
        <v>19</v>
      </c>
      <c r="C4" s="16"/>
      <c r="D4" s="17"/>
      <c r="E4" s="17"/>
      <c r="F4" s="18">
        <f t="shared" ref="F4:G4" si="1">SUM(F7:F114)</f>
        <v>33013</v>
      </c>
      <c r="G4" s="18">
        <f t="shared" si="1"/>
        <v>76457</v>
      </c>
      <c r="H4" s="19"/>
      <c r="I4" s="20">
        <f>SUM(I7:I114)</f>
        <v>1139644.38</v>
      </c>
      <c r="J4" s="19"/>
      <c r="K4" s="20">
        <f>SUM(K7:K114)</f>
        <v>699964.5</v>
      </c>
      <c r="L4" s="19"/>
      <c r="M4" s="20">
        <f t="shared" ref="M4:Q4" si="2">SUM(M7:M114)</f>
        <v>624775.14</v>
      </c>
      <c r="N4" s="21">
        <f t="shared" si="2"/>
        <v>64.22371099</v>
      </c>
      <c r="O4" s="20">
        <f t="shared" si="2"/>
        <v>112015.24</v>
      </c>
      <c r="P4" s="20">
        <f t="shared" si="2"/>
        <v>699964.5</v>
      </c>
      <c r="Q4" s="22">
        <f t="shared" si="2"/>
        <v>811979.74</v>
      </c>
    </row>
    <row r="5">
      <c r="B5" s="15" t="s">
        <v>20</v>
      </c>
      <c r="C5" s="16"/>
      <c r="D5" s="17"/>
      <c r="E5" s="17"/>
      <c r="F5" s="18">
        <f t="shared" ref="F5:G5" si="3">F4/COUNTA(F7:F114)</f>
        <v>383.872093</v>
      </c>
      <c r="G5" s="18">
        <f t="shared" si="3"/>
        <v>764.57</v>
      </c>
      <c r="H5" s="23">
        <f>F4/G4</f>
        <v>0.4317851864</v>
      </c>
      <c r="I5" s="20">
        <f>I4/COUNTA(I7:I114)</f>
        <v>13251.67884</v>
      </c>
      <c r="J5" s="24">
        <f>I4/F4</f>
        <v>34.52107897</v>
      </c>
      <c r="K5" s="20">
        <f>K4/COUNTA(K7:K114)</f>
        <v>8139.122093</v>
      </c>
      <c r="L5" s="24">
        <f>K4/F4</f>
        <v>21.20269288</v>
      </c>
      <c r="M5" s="20">
        <f>M4/COUNTA(M7:M114)</f>
        <v>7264.827209</v>
      </c>
      <c r="N5" s="25">
        <f>M4/I4</f>
        <v>0.548219384</v>
      </c>
      <c r="O5" s="20">
        <f t="shared" ref="O5:Q5" si="4">O4/COUNTA(O7:O114)</f>
        <v>1333.514762</v>
      </c>
      <c r="P5" s="20">
        <f t="shared" si="4"/>
        <v>8139.122093</v>
      </c>
      <c r="Q5" s="22">
        <f t="shared" si="4"/>
        <v>8119.7974</v>
      </c>
    </row>
    <row r="6">
      <c r="B6" s="26"/>
      <c r="C6" s="27"/>
      <c r="D6" s="28"/>
      <c r="E6" s="28"/>
      <c r="F6" s="29"/>
      <c r="G6" s="29"/>
      <c r="H6" s="29"/>
      <c r="I6" s="29"/>
      <c r="J6" s="30"/>
      <c r="K6" s="29"/>
      <c r="L6" s="30"/>
      <c r="M6" s="29"/>
      <c r="N6" s="31"/>
      <c r="O6" s="29"/>
      <c r="P6" s="29"/>
      <c r="Q6" s="31"/>
    </row>
    <row r="7">
      <c r="A7" s="32">
        <v>1.0</v>
      </c>
      <c r="B7" s="33" t="s">
        <v>21</v>
      </c>
      <c r="C7" s="34">
        <v>5.0</v>
      </c>
      <c r="D7" s="35">
        <v>45682.0</v>
      </c>
      <c r="E7" s="36">
        <f t="shared" ref="E7:E106" si="5">D7</f>
        <v>45682</v>
      </c>
      <c r="F7" s="37">
        <v>819.0</v>
      </c>
      <c r="G7" s="38">
        <v>800.0</v>
      </c>
      <c r="H7" s="39">
        <f t="shared" ref="H7:H106" si="6">IFERROR(F7/G7,"")</f>
        <v>1.02375</v>
      </c>
      <c r="I7" s="40">
        <v>24929.0</v>
      </c>
      <c r="J7" s="41">
        <f t="shared" ref="J7:J106" si="7">IFERROR(I7/F7,"")</f>
        <v>30.43833944</v>
      </c>
      <c r="K7" s="40">
        <v>20096.0</v>
      </c>
      <c r="L7" s="41">
        <f t="shared" ref="L7:L106" si="8">IFERROR(K7/F7,"")</f>
        <v>24.53724054</v>
      </c>
      <c r="M7" s="42">
        <f>(5000+200+200+200)</f>
        <v>5600</v>
      </c>
      <c r="N7" s="43">
        <f t="shared" ref="N7:N106" si="9">IFERROR(M7/I7,"")</f>
        <v>0.2246379718</v>
      </c>
      <c r="O7" s="37">
        <v>8948.87</v>
      </c>
      <c r="P7" s="38">
        <f t="shared" ref="P7:P106" si="10">K7</f>
        <v>20096</v>
      </c>
      <c r="Q7" s="44">
        <f>SUM(O7:P7)</f>
        <v>29044.87</v>
      </c>
    </row>
    <row r="8">
      <c r="A8" s="45">
        <v>2.0</v>
      </c>
      <c r="B8" s="46" t="s">
        <v>22</v>
      </c>
      <c r="C8" s="47">
        <v>1.0</v>
      </c>
      <c r="D8" s="48">
        <v>45686.0</v>
      </c>
      <c r="E8" s="49">
        <f t="shared" si="5"/>
        <v>45686</v>
      </c>
      <c r="F8" s="50">
        <v>307.0</v>
      </c>
      <c r="G8" s="51">
        <v>800.0</v>
      </c>
      <c r="H8" s="52">
        <f t="shared" si="6"/>
        <v>0.38375</v>
      </c>
      <c r="I8" s="50">
        <v>10997.0</v>
      </c>
      <c r="J8" s="53">
        <f t="shared" si="7"/>
        <v>35.82084691</v>
      </c>
      <c r="K8" s="50">
        <v>2601.0</v>
      </c>
      <c r="L8" s="53">
        <f t="shared" si="8"/>
        <v>8.472312704</v>
      </c>
      <c r="M8" s="51">
        <f>5750</f>
        <v>5750</v>
      </c>
      <c r="N8" s="54">
        <f t="shared" si="9"/>
        <v>0.5228698736</v>
      </c>
      <c r="O8" s="55">
        <v>1712.63</v>
      </c>
      <c r="P8" s="51">
        <f t="shared" si="10"/>
        <v>2601</v>
      </c>
      <c r="Q8" s="56">
        <f t="shared" ref="Q8:Q106" si="11">O8+P8</f>
        <v>4313.63</v>
      </c>
    </row>
    <row r="9">
      <c r="A9" s="32">
        <v>3.0</v>
      </c>
      <c r="B9" s="33" t="s">
        <v>23</v>
      </c>
      <c r="C9" s="34">
        <v>5.0</v>
      </c>
      <c r="D9" s="35">
        <v>45688.0</v>
      </c>
      <c r="E9" s="36">
        <f t="shared" si="5"/>
        <v>45688</v>
      </c>
      <c r="F9" s="37">
        <v>905.0</v>
      </c>
      <c r="G9" s="38">
        <v>781.0</v>
      </c>
      <c r="H9" s="39">
        <f t="shared" si="6"/>
        <v>1.158770807</v>
      </c>
      <c r="I9" s="37">
        <v>49813.5</v>
      </c>
      <c r="J9" s="57">
        <f t="shared" si="7"/>
        <v>55.04254144</v>
      </c>
      <c r="K9" s="37">
        <v>31248.0</v>
      </c>
      <c r="L9" s="57">
        <f t="shared" si="8"/>
        <v>34.5281768</v>
      </c>
      <c r="M9" s="38">
        <f>(30000+1026+200+250+250)</f>
        <v>31726</v>
      </c>
      <c r="N9" s="43">
        <f t="shared" si="9"/>
        <v>0.6368956207</v>
      </c>
      <c r="O9" s="58">
        <v>10101.91</v>
      </c>
      <c r="P9" s="38">
        <f t="shared" si="10"/>
        <v>31248</v>
      </c>
      <c r="Q9" s="44">
        <f t="shared" si="11"/>
        <v>41349.91</v>
      </c>
    </row>
    <row r="10">
      <c r="A10" s="45">
        <v>4.0</v>
      </c>
      <c r="B10" s="46" t="s">
        <v>24</v>
      </c>
      <c r="C10" s="47">
        <v>5.0</v>
      </c>
      <c r="D10" s="48">
        <v>45689.0</v>
      </c>
      <c r="E10" s="49">
        <f t="shared" si="5"/>
        <v>45689</v>
      </c>
      <c r="F10" s="50">
        <v>932.0</v>
      </c>
      <c r="G10" s="51">
        <v>750.0</v>
      </c>
      <c r="H10" s="52">
        <f t="shared" si="6"/>
        <v>1.242666667</v>
      </c>
      <c r="I10" s="50">
        <v>26036.0</v>
      </c>
      <c r="J10" s="53">
        <f t="shared" si="7"/>
        <v>27.93562232</v>
      </c>
      <c r="K10" s="50">
        <v>26954.0</v>
      </c>
      <c r="L10" s="53">
        <f t="shared" si="8"/>
        <v>28.92060086</v>
      </c>
      <c r="M10" s="51">
        <f>(3000+200+200)</f>
        <v>3400</v>
      </c>
      <c r="N10" s="54">
        <f t="shared" si="9"/>
        <v>0.130588416</v>
      </c>
      <c r="O10" s="55">
        <v>10339.67</v>
      </c>
      <c r="P10" s="51">
        <f t="shared" si="10"/>
        <v>26954</v>
      </c>
      <c r="Q10" s="56">
        <f t="shared" si="11"/>
        <v>37293.67</v>
      </c>
    </row>
    <row r="11">
      <c r="A11" s="32">
        <v>5.0</v>
      </c>
      <c r="B11" s="33" t="s">
        <v>25</v>
      </c>
      <c r="C11" s="34">
        <v>5.0</v>
      </c>
      <c r="D11" s="35">
        <v>45695.0</v>
      </c>
      <c r="E11" s="36">
        <f t="shared" si="5"/>
        <v>45695</v>
      </c>
      <c r="F11" s="37">
        <v>425.0</v>
      </c>
      <c r="G11" s="38">
        <v>800.0</v>
      </c>
      <c r="H11" s="39">
        <f t="shared" si="6"/>
        <v>0.53125</v>
      </c>
      <c r="I11" s="37">
        <v>11313.5</v>
      </c>
      <c r="J11" s="57">
        <f t="shared" si="7"/>
        <v>26.62</v>
      </c>
      <c r="K11" s="37">
        <v>11968.0</v>
      </c>
      <c r="L11" s="57">
        <f t="shared" si="8"/>
        <v>28.16</v>
      </c>
      <c r="M11" s="38">
        <f>(7500+200+200)</f>
        <v>7900</v>
      </c>
      <c r="N11" s="43">
        <f t="shared" si="9"/>
        <v>0.698280815</v>
      </c>
      <c r="O11" s="37">
        <v>-1581.03</v>
      </c>
      <c r="P11" s="38">
        <f t="shared" si="10"/>
        <v>11968</v>
      </c>
      <c r="Q11" s="44">
        <f t="shared" si="11"/>
        <v>10386.97</v>
      </c>
    </row>
    <row r="12">
      <c r="A12" s="45">
        <v>6.0</v>
      </c>
      <c r="B12" s="46" t="s">
        <v>26</v>
      </c>
      <c r="C12" s="47">
        <v>5.0</v>
      </c>
      <c r="D12" s="48">
        <v>45702.0</v>
      </c>
      <c r="E12" s="49">
        <f t="shared" si="5"/>
        <v>45702</v>
      </c>
      <c r="F12" s="50">
        <v>413.0</v>
      </c>
      <c r="G12" s="51">
        <v>800.0</v>
      </c>
      <c r="H12" s="52">
        <f t="shared" si="6"/>
        <v>0.51625</v>
      </c>
      <c r="I12" s="50">
        <v>9819.5</v>
      </c>
      <c r="J12" s="53">
        <f t="shared" si="7"/>
        <v>23.77602906</v>
      </c>
      <c r="K12" s="50">
        <v>9578.0</v>
      </c>
      <c r="L12" s="53">
        <f t="shared" si="8"/>
        <v>23.19128329</v>
      </c>
      <c r="M12" s="51">
        <f>(3000+3000+300)</f>
        <v>6300</v>
      </c>
      <c r="N12" s="54">
        <f t="shared" si="9"/>
        <v>0.6415805285</v>
      </c>
      <c r="O12" s="50">
        <v>-1958.41</v>
      </c>
      <c r="P12" s="51">
        <f t="shared" si="10"/>
        <v>9578</v>
      </c>
      <c r="Q12" s="56">
        <f t="shared" si="11"/>
        <v>7619.59</v>
      </c>
    </row>
    <row r="13">
      <c r="A13" s="32">
        <v>7.0</v>
      </c>
      <c r="B13" s="33" t="s">
        <v>27</v>
      </c>
      <c r="C13" s="34">
        <v>1.0</v>
      </c>
      <c r="D13" s="35">
        <v>45703.0</v>
      </c>
      <c r="E13" s="36">
        <f t="shared" si="5"/>
        <v>45703</v>
      </c>
      <c r="F13" s="37">
        <v>400.0</v>
      </c>
      <c r="G13" s="38">
        <v>800.0</v>
      </c>
      <c r="H13" s="39">
        <f t="shared" si="6"/>
        <v>0.5</v>
      </c>
      <c r="I13" s="37">
        <v>9951.75</v>
      </c>
      <c r="J13" s="57">
        <f t="shared" si="7"/>
        <v>24.879375</v>
      </c>
      <c r="K13" s="37">
        <v>7801.0</v>
      </c>
      <c r="L13" s="57">
        <f t="shared" si="8"/>
        <v>19.5025</v>
      </c>
      <c r="M13" s="38">
        <f>(6500+300)</f>
        <v>6800</v>
      </c>
      <c r="N13" s="43">
        <f t="shared" si="9"/>
        <v>0.6832969076</v>
      </c>
      <c r="O13" s="58">
        <v>-375.11</v>
      </c>
      <c r="P13" s="38">
        <f t="shared" si="10"/>
        <v>7801</v>
      </c>
      <c r="Q13" s="44">
        <f t="shared" si="11"/>
        <v>7425.89</v>
      </c>
    </row>
    <row r="14">
      <c r="A14" s="45">
        <v>8.0</v>
      </c>
      <c r="B14" s="46" t="s">
        <v>28</v>
      </c>
      <c r="C14" s="47">
        <v>1.0</v>
      </c>
      <c r="D14" s="48">
        <v>45704.0</v>
      </c>
      <c r="E14" s="49">
        <f t="shared" si="5"/>
        <v>45704</v>
      </c>
      <c r="F14" s="50">
        <v>402.0</v>
      </c>
      <c r="G14" s="51">
        <v>814.0</v>
      </c>
      <c r="H14" s="52">
        <f t="shared" si="6"/>
        <v>0.4938574939</v>
      </c>
      <c r="I14" s="50">
        <v>14492.0</v>
      </c>
      <c r="J14" s="53">
        <f t="shared" si="7"/>
        <v>36.04975124</v>
      </c>
      <c r="K14" s="50">
        <v>1556.0</v>
      </c>
      <c r="L14" s="53">
        <f t="shared" si="8"/>
        <v>3.870646766</v>
      </c>
      <c r="M14" s="51">
        <f>7500+500</f>
        <v>8000</v>
      </c>
      <c r="N14" s="54">
        <f t="shared" si="9"/>
        <v>0.5520287055</v>
      </c>
      <c r="O14" s="50">
        <v>2796.84</v>
      </c>
      <c r="P14" s="51">
        <f t="shared" si="10"/>
        <v>1556</v>
      </c>
      <c r="Q14" s="56">
        <f t="shared" si="11"/>
        <v>4352.84</v>
      </c>
    </row>
    <row r="15">
      <c r="A15" s="32">
        <v>9.0</v>
      </c>
      <c r="B15" s="33" t="s">
        <v>29</v>
      </c>
      <c r="C15" s="34">
        <v>5.0</v>
      </c>
      <c r="D15" s="35">
        <v>45705.0</v>
      </c>
      <c r="E15" s="36">
        <f t="shared" si="5"/>
        <v>45705</v>
      </c>
      <c r="F15" s="37">
        <v>192.0</v>
      </c>
      <c r="G15" s="38">
        <v>800.0</v>
      </c>
      <c r="H15" s="39">
        <f t="shared" si="6"/>
        <v>0.24</v>
      </c>
      <c r="I15" s="37">
        <v>5536.5</v>
      </c>
      <c r="J15" s="57">
        <f t="shared" si="7"/>
        <v>28.8359375</v>
      </c>
      <c r="K15" s="37">
        <v>3244.0</v>
      </c>
      <c r="L15" s="57">
        <f t="shared" si="8"/>
        <v>16.89583333</v>
      </c>
      <c r="M15" s="38">
        <f>(2766+200)</f>
        <v>2966</v>
      </c>
      <c r="N15" s="43">
        <f t="shared" si="9"/>
        <v>0.5357175111</v>
      </c>
      <c r="O15" s="37">
        <v>-457.02</v>
      </c>
      <c r="P15" s="38">
        <f t="shared" si="10"/>
        <v>3244</v>
      </c>
      <c r="Q15" s="44">
        <f t="shared" si="11"/>
        <v>2786.98</v>
      </c>
    </row>
    <row r="16">
      <c r="A16" s="45">
        <v>10.0</v>
      </c>
      <c r="B16" s="46" t="s">
        <v>30</v>
      </c>
      <c r="C16" s="47">
        <v>2.0</v>
      </c>
      <c r="D16" s="48">
        <v>45709.0</v>
      </c>
      <c r="E16" s="49">
        <f t="shared" si="5"/>
        <v>45709</v>
      </c>
      <c r="F16" s="50">
        <v>197.0</v>
      </c>
      <c r="G16" s="51">
        <v>800.0</v>
      </c>
      <c r="H16" s="52">
        <f t="shared" si="6"/>
        <v>0.24625</v>
      </c>
      <c r="I16" s="50">
        <v>5165.25</v>
      </c>
      <c r="J16" s="53">
        <f t="shared" si="7"/>
        <v>26.21954315</v>
      </c>
      <c r="K16" s="50">
        <v>7279.0</v>
      </c>
      <c r="L16" s="53">
        <f t="shared" si="8"/>
        <v>36.94923858</v>
      </c>
      <c r="M16" s="51">
        <f>(4000+350+200+150)</f>
        <v>4700</v>
      </c>
      <c r="N16" s="54">
        <f t="shared" si="9"/>
        <v>0.9099269154</v>
      </c>
      <c r="O16" s="50">
        <v>-2227.39</v>
      </c>
      <c r="P16" s="51">
        <f t="shared" si="10"/>
        <v>7279</v>
      </c>
      <c r="Q16" s="56">
        <f t="shared" si="11"/>
        <v>5051.61</v>
      </c>
    </row>
    <row r="17">
      <c r="A17" s="32">
        <v>11.0</v>
      </c>
      <c r="B17" s="33" t="s">
        <v>31</v>
      </c>
      <c r="C17" s="34">
        <v>2.0</v>
      </c>
      <c r="D17" s="35">
        <v>45710.0</v>
      </c>
      <c r="E17" s="36">
        <f t="shared" si="5"/>
        <v>45710</v>
      </c>
      <c r="F17" s="37">
        <v>339.0</v>
      </c>
      <c r="G17" s="38">
        <v>800.0</v>
      </c>
      <c r="H17" s="39">
        <f t="shared" si="6"/>
        <v>0.42375</v>
      </c>
      <c r="I17" s="37">
        <v>10013.25</v>
      </c>
      <c r="J17" s="57">
        <f t="shared" si="7"/>
        <v>29.53761062</v>
      </c>
      <c r="K17" s="37">
        <v>7400.0</v>
      </c>
      <c r="L17" s="57">
        <f t="shared" si="8"/>
        <v>21.82890855</v>
      </c>
      <c r="M17" s="38">
        <f>(5000+300+250+150)</f>
        <v>5700</v>
      </c>
      <c r="N17" s="43">
        <f t="shared" si="9"/>
        <v>0.5692457494</v>
      </c>
      <c r="O17" s="37">
        <v>1129.18</v>
      </c>
      <c r="P17" s="38">
        <f t="shared" si="10"/>
        <v>7400</v>
      </c>
      <c r="Q17" s="44">
        <f t="shared" si="11"/>
        <v>8529.18</v>
      </c>
      <c r="R17" s="59"/>
    </row>
    <row r="18">
      <c r="A18" s="45">
        <v>12.0</v>
      </c>
      <c r="B18" s="46" t="s">
        <v>32</v>
      </c>
      <c r="C18" s="47">
        <v>2.0</v>
      </c>
      <c r="D18" s="48">
        <v>45717.0</v>
      </c>
      <c r="E18" s="49">
        <f t="shared" si="5"/>
        <v>45717</v>
      </c>
      <c r="F18" s="51"/>
      <c r="G18" s="51">
        <v>750.0</v>
      </c>
      <c r="H18" s="52">
        <f t="shared" si="6"/>
        <v>0</v>
      </c>
      <c r="I18" s="51"/>
      <c r="J18" s="53" t="str">
        <f t="shared" si="7"/>
        <v/>
      </c>
      <c r="K18" s="51"/>
      <c r="L18" s="53" t="str">
        <f t="shared" si="8"/>
        <v/>
      </c>
      <c r="M18" s="51"/>
      <c r="N18" s="54" t="str">
        <f t="shared" si="9"/>
        <v/>
      </c>
      <c r="O18" s="60"/>
      <c r="P18" s="51" t="str">
        <f t="shared" si="10"/>
        <v/>
      </c>
      <c r="Q18" s="56">
        <f t="shared" si="11"/>
        <v>0</v>
      </c>
    </row>
    <row r="19">
      <c r="A19" s="32">
        <v>13.0</v>
      </c>
      <c r="B19" s="33" t="s">
        <v>33</v>
      </c>
      <c r="C19" s="34">
        <v>5.0</v>
      </c>
      <c r="D19" s="35">
        <v>45730.0</v>
      </c>
      <c r="E19" s="36">
        <f t="shared" si="5"/>
        <v>45730</v>
      </c>
      <c r="F19" s="37">
        <v>591.0</v>
      </c>
      <c r="G19" s="38">
        <v>800.0</v>
      </c>
      <c r="H19" s="39">
        <f t="shared" si="6"/>
        <v>0.73875</v>
      </c>
      <c r="I19" s="37">
        <v>17304.0</v>
      </c>
      <c r="J19" s="57">
        <f t="shared" si="7"/>
        <v>29.27918782</v>
      </c>
      <c r="K19" s="37">
        <v>12779.0</v>
      </c>
      <c r="L19" s="57">
        <f t="shared" si="8"/>
        <v>21.62267343</v>
      </c>
      <c r="M19" s="38">
        <f>10000</f>
        <v>10000</v>
      </c>
      <c r="N19" s="43">
        <f t="shared" si="9"/>
        <v>0.5779010633</v>
      </c>
      <c r="O19" s="58">
        <v>1830.67</v>
      </c>
      <c r="P19" s="38">
        <f t="shared" si="10"/>
        <v>12779</v>
      </c>
      <c r="Q19" s="44">
        <f t="shared" si="11"/>
        <v>14609.67</v>
      </c>
    </row>
    <row r="20">
      <c r="A20" s="45">
        <v>14.0</v>
      </c>
      <c r="B20" s="46" t="s">
        <v>34</v>
      </c>
      <c r="C20" s="61"/>
      <c r="D20" s="48">
        <v>45731.0</v>
      </c>
      <c r="E20" s="49">
        <f t="shared" si="5"/>
        <v>45731</v>
      </c>
      <c r="F20" s="50">
        <v>153.0</v>
      </c>
      <c r="G20" s="51">
        <v>750.0</v>
      </c>
      <c r="H20" s="52">
        <f t="shared" si="6"/>
        <v>0.204</v>
      </c>
      <c r="I20" s="50">
        <v>3470.5</v>
      </c>
      <c r="J20" s="53">
        <f t="shared" si="7"/>
        <v>22.68300654</v>
      </c>
      <c r="K20" s="50">
        <v>4636.0</v>
      </c>
      <c r="L20" s="53">
        <f t="shared" si="8"/>
        <v>30.30065359</v>
      </c>
      <c r="M20" s="51">
        <f>(500+700)</f>
        <v>1200</v>
      </c>
      <c r="N20" s="54">
        <f t="shared" si="9"/>
        <v>0.3457715027</v>
      </c>
      <c r="O20" s="55">
        <v>798.47</v>
      </c>
      <c r="P20" s="51">
        <f t="shared" si="10"/>
        <v>4636</v>
      </c>
      <c r="Q20" s="62">
        <f t="shared" si="11"/>
        <v>5434.47</v>
      </c>
      <c r="S20" s="59"/>
      <c r="T20" s="59"/>
    </row>
    <row r="21" ht="15.75" customHeight="1">
      <c r="A21" s="32">
        <v>15.0</v>
      </c>
      <c r="B21" s="33" t="s">
        <v>35</v>
      </c>
      <c r="C21" s="34">
        <v>5.0</v>
      </c>
      <c r="D21" s="35">
        <v>45737.0</v>
      </c>
      <c r="E21" s="36">
        <f t="shared" si="5"/>
        <v>45737</v>
      </c>
      <c r="F21" s="37">
        <v>140.0</v>
      </c>
      <c r="G21" s="38">
        <v>800.0</v>
      </c>
      <c r="H21" s="39">
        <f t="shared" si="6"/>
        <v>0.175</v>
      </c>
      <c r="I21" s="37">
        <v>2678.0</v>
      </c>
      <c r="J21" s="57">
        <f t="shared" si="7"/>
        <v>19.12857143</v>
      </c>
      <c r="K21" s="37">
        <v>2262.0</v>
      </c>
      <c r="L21" s="57">
        <f t="shared" si="8"/>
        <v>16.15714286</v>
      </c>
      <c r="M21" s="38">
        <f>(2000+200+200)</f>
        <v>2400</v>
      </c>
      <c r="N21" s="43">
        <f t="shared" si="9"/>
        <v>0.8961911875</v>
      </c>
      <c r="O21" s="58">
        <v>-2346.71</v>
      </c>
      <c r="P21" s="38">
        <f t="shared" si="10"/>
        <v>2262</v>
      </c>
      <c r="Q21" s="63">
        <f t="shared" si="11"/>
        <v>-84.71</v>
      </c>
    </row>
    <row r="22" ht="15.75" customHeight="1">
      <c r="A22" s="45">
        <v>16.0</v>
      </c>
      <c r="B22" s="46" t="s">
        <v>36</v>
      </c>
      <c r="C22" s="47">
        <v>5.0</v>
      </c>
      <c r="D22" s="48">
        <v>45744.0</v>
      </c>
      <c r="E22" s="49">
        <f t="shared" si="5"/>
        <v>45744</v>
      </c>
      <c r="F22" s="50">
        <v>741.0</v>
      </c>
      <c r="G22" s="51">
        <v>750.0</v>
      </c>
      <c r="H22" s="52">
        <f t="shared" si="6"/>
        <v>0.988</v>
      </c>
      <c r="I22" s="50">
        <v>33729.0</v>
      </c>
      <c r="J22" s="53">
        <f t="shared" si="7"/>
        <v>45.51821862</v>
      </c>
      <c r="K22" s="50">
        <v>18889.0</v>
      </c>
      <c r="L22" s="53">
        <f t="shared" si="8"/>
        <v>25.49122807</v>
      </c>
      <c r="M22" s="51">
        <f>(25000+200+200)</f>
        <v>25400</v>
      </c>
      <c r="N22" s="54">
        <f t="shared" si="9"/>
        <v>0.753061164</v>
      </c>
      <c r="O22" s="50">
        <v>-513.1</v>
      </c>
      <c r="P22" s="51">
        <f t="shared" si="10"/>
        <v>18889</v>
      </c>
      <c r="Q22" s="56">
        <f t="shared" si="11"/>
        <v>18375.9</v>
      </c>
    </row>
    <row r="23" ht="15.75" customHeight="1">
      <c r="A23" s="32">
        <v>17.0</v>
      </c>
      <c r="B23" s="33" t="s">
        <v>37</v>
      </c>
      <c r="C23" s="34">
        <v>2.0</v>
      </c>
      <c r="D23" s="64">
        <v>45369.0</v>
      </c>
      <c r="E23" s="36">
        <f t="shared" si="5"/>
        <v>45369</v>
      </c>
      <c r="F23" s="37">
        <v>242.0</v>
      </c>
      <c r="G23" s="38">
        <v>750.0</v>
      </c>
      <c r="H23" s="39">
        <f t="shared" si="6"/>
        <v>0.3226666667</v>
      </c>
      <c r="I23" s="37">
        <v>6432.25</v>
      </c>
      <c r="J23" s="57">
        <f t="shared" si="7"/>
        <v>26.57954545</v>
      </c>
      <c r="K23" s="37">
        <v>5790.0</v>
      </c>
      <c r="L23" s="57">
        <f t="shared" si="8"/>
        <v>23.92561983</v>
      </c>
      <c r="M23" s="38">
        <f>(5000+400+350)</f>
        <v>5750</v>
      </c>
      <c r="N23" s="43">
        <f t="shared" si="9"/>
        <v>0.8939329162</v>
      </c>
      <c r="O23" s="58">
        <v>-2088.85</v>
      </c>
      <c r="P23" s="38">
        <f t="shared" si="10"/>
        <v>5790</v>
      </c>
      <c r="Q23" s="44">
        <f t="shared" si="11"/>
        <v>3701.15</v>
      </c>
    </row>
    <row r="24" ht="15.75" customHeight="1">
      <c r="A24" s="45">
        <v>18.0</v>
      </c>
      <c r="B24" s="46" t="s">
        <v>38</v>
      </c>
      <c r="C24" s="47">
        <v>2.0</v>
      </c>
      <c r="D24" s="48">
        <v>45751.0</v>
      </c>
      <c r="E24" s="49">
        <f t="shared" si="5"/>
        <v>45751</v>
      </c>
      <c r="F24" s="50">
        <v>169.0</v>
      </c>
      <c r="G24" s="51">
        <v>1503.0</v>
      </c>
      <c r="H24" s="52">
        <f t="shared" si="6"/>
        <v>0.1124417831</v>
      </c>
      <c r="I24" s="50">
        <v>4131.75</v>
      </c>
      <c r="J24" s="53">
        <f t="shared" si="7"/>
        <v>24.44822485</v>
      </c>
      <c r="K24" s="50">
        <v>3327.0</v>
      </c>
      <c r="L24" s="53">
        <f t="shared" si="8"/>
        <v>19.68639053</v>
      </c>
      <c r="M24" s="51">
        <f>(3500+300+200)</f>
        <v>4000</v>
      </c>
      <c r="N24" s="54">
        <f t="shared" si="9"/>
        <v>0.9681127851</v>
      </c>
      <c r="O24" s="50">
        <v>-2789.39</v>
      </c>
      <c r="P24" s="51">
        <f t="shared" si="10"/>
        <v>3327</v>
      </c>
      <c r="Q24" s="56">
        <f t="shared" si="11"/>
        <v>537.61</v>
      </c>
    </row>
    <row r="25" ht="15.75" customHeight="1">
      <c r="A25" s="32">
        <v>19.0</v>
      </c>
      <c r="B25" s="33" t="s">
        <v>39</v>
      </c>
      <c r="C25" s="34">
        <v>2.0</v>
      </c>
      <c r="D25" s="35">
        <v>45752.0</v>
      </c>
      <c r="E25" s="36">
        <f t="shared" si="5"/>
        <v>45752</v>
      </c>
      <c r="F25" s="37">
        <v>271.0</v>
      </c>
      <c r="G25" s="38">
        <v>750.0</v>
      </c>
      <c r="H25" s="39">
        <f t="shared" si="6"/>
        <v>0.3613333333</v>
      </c>
      <c r="I25" s="37">
        <v>6463.0</v>
      </c>
      <c r="J25" s="57">
        <f t="shared" si="7"/>
        <v>23.84870849</v>
      </c>
      <c r="K25" s="37">
        <v>7878.0</v>
      </c>
      <c r="L25" s="57">
        <f t="shared" si="8"/>
        <v>29.0701107</v>
      </c>
      <c r="M25" s="38">
        <f>(3500+1750+250+150)</f>
        <v>5650</v>
      </c>
      <c r="N25" s="43">
        <f t="shared" si="9"/>
        <v>0.8742070246</v>
      </c>
      <c r="O25" s="37">
        <v>-2896.22</v>
      </c>
      <c r="P25" s="38">
        <f t="shared" si="10"/>
        <v>7878</v>
      </c>
      <c r="Q25" s="44">
        <f t="shared" si="11"/>
        <v>4981.78</v>
      </c>
    </row>
    <row r="26" ht="15.75" customHeight="1">
      <c r="A26" s="45">
        <v>20.0</v>
      </c>
      <c r="B26" s="46" t="s">
        <v>40</v>
      </c>
      <c r="C26" s="47">
        <v>2.0</v>
      </c>
      <c r="D26" s="48">
        <v>45758.0</v>
      </c>
      <c r="E26" s="49">
        <f t="shared" si="5"/>
        <v>45758</v>
      </c>
      <c r="F26" s="50">
        <v>170.0</v>
      </c>
      <c r="G26" s="51">
        <v>800.0</v>
      </c>
      <c r="H26" s="52">
        <f t="shared" si="6"/>
        <v>0.2125</v>
      </c>
      <c r="I26" s="50">
        <v>2327.0</v>
      </c>
      <c r="J26" s="53">
        <f t="shared" si="7"/>
        <v>13.68823529</v>
      </c>
      <c r="K26" s="50">
        <v>3199.0</v>
      </c>
      <c r="L26" s="53">
        <f t="shared" si="8"/>
        <v>18.81764706</v>
      </c>
      <c r="M26" s="50">
        <f>(3000+300+200)</f>
        <v>3500</v>
      </c>
      <c r="N26" s="54">
        <f t="shared" si="9"/>
        <v>1.50408251</v>
      </c>
      <c r="O26" s="55">
        <v>-3340.79</v>
      </c>
      <c r="P26" s="51">
        <f t="shared" si="10"/>
        <v>3199</v>
      </c>
      <c r="Q26" s="56">
        <f t="shared" si="11"/>
        <v>-141.79</v>
      </c>
    </row>
    <row r="27" ht="15.75" customHeight="1">
      <c r="A27" s="32">
        <v>21.0</v>
      </c>
      <c r="B27" s="33" t="s">
        <v>41</v>
      </c>
      <c r="C27" s="34">
        <v>1.0</v>
      </c>
      <c r="D27" s="35">
        <v>45759.0</v>
      </c>
      <c r="E27" s="36">
        <f t="shared" si="5"/>
        <v>45759</v>
      </c>
      <c r="F27" s="37">
        <v>738.0</v>
      </c>
      <c r="G27" s="38">
        <v>800.0</v>
      </c>
      <c r="H27" s="39">
        <f t="shared" si="6"/>
        <v>0.9225</v>
      </c>
      <c r="I27" s="37">
        <v>21580.0</v>
      </c>
      <c r="J27" s="57">
        <f t="shared" si="7"/>
        <v>29.24119241</v>
      </c>
      <c r="K27" s="37">
        <v>14283.0</v>
      </c>
      <c r="L27" s="57">
        <f t="shared" si="8"/>
        <v>19.35365854</v>
      </c>
      <c r="M27" s="38">
        <f>16422</f>
        <v>16422</v>
      </c>
      <c r="N27" s="43">
        <f t="shared" si="9"/>
        <v>0.7609823911</v>
      </c>
      <c r="O27" s="58">
        <v>2769.9</v>
      </c>
      <c r="P27" s="38">
        <f t="shared" si="10"/>
        <v>14283</v>
      </c>
      <c r="Q27" s="44">
        <f t="shared" si="11"/>
        <v>17052.9</v>
      </c>
    </row>
    <row r="28" ht="15.75" customHeight="1">
      <c r="A28" s="45">
        <v>22.0</v>
      </c>
      <c r="B28" s="46" t="s">
        <v>42</v>
      </c>
      <c r="C28" s="47">
        <v>5.0</v>
      </c>
      <c r="D28" s="48">
        <v>45766.0</v>
      </c>
      <c r="E28" s="49">
        <f t="shared" si="5"/>
        <v>45766</v>
      </c>
      <c r="F28" s="50">
        <v>386.0</v>
      </c>
      <c r="G28" s="51">
        <v>750.0</v>
      </c>
      <c r="H28" s="52">
        <f t="shared" si="6"/>
        <v>0.5146666667</v>
      </c>
      <c r="I28" s="50">
        <v>9980.0</v>
      </c>
      <c r="J28" s="53">
        <f t="shared" si="7"/>
        <v>25.85492228</v>
      </c>
      <c r="K28" s="50">
        <v>9990.0</v>
      </c>
      <c r="L28" s="53">
        <f t="shared" si="8"/>
        <v>25.88082902</v>
      </c>
      <c r="M28" s="50">
        <v>5000.0</v>
      </c>
      <c r="N28" s="54">
        <f t="shared" si="9"/>
        <v>0.501002004</v>
      </c>
      <c r="O28" s="55">
        <v>-49.74</v>
      </c>
      <c r="P28" s="51">
        <f t="shared" si="10"/>
        <v>9990</v>
      </c>
      <c r="Q28" s="56">
        <f t="shared" si="11"/>
        <v>9940.26</v>
      </c>
    </row>
    <row r="29" ht="15.75" customHeight="1">
      <c r="A29" s="32">
        <v>23.0</v>
      </c>
      <c r="B29" s="33" t="s">
        <v>43</v>
      </c>
      <c r="C29" s="34">
        <v>5.0</v>
      </c>
      <c r="D29" s="35">
        <v>45772.0</v>
      </c>
      <c r="E29" s="36">
        <f t="shared" si="5"/>
        <v>45772</v>
      </c>
      <c r="F29" s="37">
        <v>294.0</v>
      </c>
      <c r="G29" s="38">
        <v>750.0</v>
      </c>
      <c r="H29" s="39">
        <f t="shared" si="6"/>
        <v>0.392</v>
      </c>
      <c r="I29" s="37">
        <v>8409.0</v>
      </c>
      <c r="J29" s="57">
        <f t="shared" si="7"/>
        <v>28.60204082</v>
      </c>
      <c r="K29" s="37">
        <v>7098.0</v>
      </c>
      <c r="L29" s="57">
        <f t="shared" si="8"/>
        <v>24.14285714</v>
      </c>
      <c r="M29" s="37">
        <v>5000.0</v>
      </c>
      <c r="N29" s="43">
        <f t="shared" si="9"/>
        <v>0.5946010227</v>
      </c>
      <c r="O29" s="58">
        <v>-1382.41</v>
      </c>
      <c r="P29" s="38">
        <f t="shared" si="10"/>
        <v>7098</v>
      </c>
      <c r="Q29" s="63">
        <f t="shared" si="11"/>
        <v>5715.59</v>
      </c>
    </row>
    <row r="30" ht="15.75" customHeight="1">
      <c r="A30" s="45">
        <v>24.0</v>
      </c>
      <c r="B30" s="65" t="s">
        <v>44</v>
      </c>
      <c r="C30" s="47">
        <v>5.0</v>
      </c>
      <c r="D30" s="48">
        <v>45773.0</v>
      </c>
      <c r="E30" s="49">
        <f t="shared" si="5"/>
        <v>45773</v>
      </c>
      <c r="F30" s="50">
        <v>466.0</v>
      </c>
      <c r="G30" s="51">
        <v>750.0</v>
      </c>
      <c r="H30" s="52">
        <f t="shared" si="6"/>
        <v>0.6213333333</v>
      </c>
      <c r="I30" s="50">
        <v>13895.75</v>
      </c>
      <c r="J30" s="53">
        <f t="shared" si="7"/>
        <v>29.81920601</v>
      </c>
      <c r="K30" s="50">
        <v>12756.0</v>
      </c>
      <c r="L30" s="53">
        <f t="shared" si="8"/>
        <v>27.37339056</v>
      </c>
      <c r="M30" s="51">
        <f>(2500+2500+2500)</f>
        <v>7500</v>
      </c>
      <c r="N30" s="54">
        <f t="shared" si="9"/>
        <v>0.5397333717</v>
      </c>
      <c r="O30" s="55">
        <v>-2479.68</v>
      </c>
      <c r="P30" s="51">
        <f t="shared" si="10"/>
        <v>12756</v>
      </c>
      <c r="Q30" s="56">
        <f t="shared" si="11"/>
        <v>10276.32</v>
      </c>
    </row>
    <row r="31" ht="15.75" customHeight="1">
      <c r="A31" s="32">
        <v>25.0</v>
      </c>
      <c r="B31" s="33" t="s">
        <v>45</v>
      </c>
      <c r="C31" s="34">
        <v>5.0</v>
      </c>
      <c r="D31" s="35">
        <v>45780.0</v>
      </c>
      <c r="E31" s="36">
        <f t="shared" si="5"/>
        <v>45780</v>
      </c>
      <c r="F31" s="37">
        <v>101.0</v>
      </c>
      <c r="G31" s="38">
        <v>754.0</v>
      </c>
      <c r="H31" s="39">
        <f t="shared" si="6"/>
        <v>0.1339522546</v>
      </c>
      <c r="I31" s="37">
        <v>2492.5</v>
      </c>
      <c r="J31" s="57">
        <f t="shared" si="7"/>
        <v>24.67821782</v>
      </c>
      <c r="K31" s="37">
        <v>2614.0</v>
      </c>
      <c r="L31" s="57">
        <f t="shared" si="8"/>
        <v>25.88118812</v>
      </c>
      <c r="M31" s="38">
        <f>(3000+1000+500+150)</f>
        <v>4650</v>
      </c>
      <c r="N31" s="43">
        <f t="shared" si="9"/>
        <v>1.86559679</v>
      </c>
      <c r="O31" s="58">
        <v>4030.77</v>
      </c>
      <c r="P31" s="38">
        <f t="shared" si="10"/>
        <v>2614</v>
      </c>
      <c r="Q31" s="44">
        <f t="shared" si="11"/>
        <v>6644.77</v>
      </c>
    </row>
    <row r="32" ht="15.75" customHeight="1">
      <c r="A32" s="45">
        <v>26.0</v>
      </c>
      <c r="B32" s="65" t="s">
        <v>46</v>
      </c>
      <c r="C32" s="47">
        <v>1.0</v>
      </c>
      <c r="D32" s="48">
        <v>45781.0</v>
      </c>
      <c r="E32" s="49">
        <f t="shared" si="5"/>
        <v>45781</v>
      </c>
      <c r="F32" s="50">
        <v>228.0</v>
      </c>
      <c r="G32" s="51">
        <v>750.0</v>
      </c>
      <c r="H32" s="52">
        <f t="shared" si="6"/>
        <v>0.304</v>
      </c>
      <c r="I32" s="50">
        <v>11855.25</v>
      </c>
      <c r="J32" s="53">
        <f t="shared" si="7"/>
        <v>51.99671053</v>
      </c>
      <c r="K32" s="50">
        <v>1736.0</v>
      </c>
      <c r="L32" s="53">
        <f t="shared" si="8"/>
        <v>7.614035088</v>
      </c>
      <c r="M32" s="51">
        <f>(6000+500)</f>
        <v>6500</v>
      </c>
      <c r="N32" s="54">
        <f t="shared" si="9"/>
        <v>0.5482802978</v>
      </c>
      <c r="O32" s="55">
        <v>-2158.27</v>
      </c>
      <c r="P32" s="51">
        <f t="shared" si="10"/>
        <v>1736</v>
      </c>
      <c r="Q32" s="56">
        <f t="shared" si="11"/>
        <v>-422.27</v>
      </c>
      <c r="S32" s="66"/>
    </row>
    <row r="33" ht="15.75" customHeight="1">
      <c r="A33" s="32">
        <v>27.0</v>
      </c>
      <c r="B33" s="33" t="s">
        <v>47</v>
      </c>
      <c r="C33" s="34">
        <v>1.0</v>
      </c>
      <c r="D33" s="35">
        <v>45784.0</v>
      </c>
      <c r="E33" s="36">
        <f t="shared" si="5"/>
        <v>45784</v>
      </c>
      <c r="F33" s="37">
        <v>314.0</v>
      </c>
      <c r="G33" s="38">
        <v>800.0</v>
      </c>
      <c r="H33" s="39">
        <f t="shared" si="6"/>
        <v>0.3925</v>
      </c>
      <c r="I33" s="37">
        <v>9547.5</v>
      </c>
      <c r="J33" s="57">
        <f t="shared" si="7"/>
        <v>30.40605096</v>
      </c>
      <c r="K33" s="37">
        <v>2803.0</v>
      </c>
      <c r="L33" s="57">
        <f t="shared" si="8"/>
        <v>8.926751592</v>
      </c>
      <c r="M33" s="38">
        <f>3500+500</f>
        <v>4000</v>
      </c>
      <c r="N33" s="43">
        <f t="shared" si="9"/>
        <v>0.4189578424</v>
      </c>
      <c r="O33" s="37">
        <v>2093.17</v>
      </c>
      <c r="P33" s="38">
        <f t="shared" si="10"/>
        <v>2803</v>
      </c>
      <c r="Q33" s="44">
        <f t="shared" si="11"/>
        <v>4896.17</v>
      </c>
      <c r="S33" s="59"/>
    </row>
    <row r="34" ht="15.75" customHeight="1">
      <c r="A34" s="45">
        <v>28.0</v>
      </c>
      <c r="B34" s="65" t="s">
        <v>48</v>
      </c>
      <c r="C34" s="47">
        <v>2.0</v>
      </c>
      <c r="D34" s="48">
        <v>45785.0</v>
      </c>
      <c r="E34" s="49">
        <f t="shared" si="5"/>
        <v>45785</v>
      </c>
      <c r="F34" s="50">
        <v>196.0</v>
      </c>
      <c r="G34" s="51">
        <v>800.0</v>
      </c>
      <c r="H34" s="52">
        <f t="shared" si="6"/>
        <v>0.245</v>
      </c>
      <c r="I34" s="50">
        <v>5657.0</v>
      </c>
      <c r="J34" s="53">
        <f t="shared" si="7"/>
        <v>28.8622449</v>
      </c>
      <c r="K34" s="50">
        <v>4391.0</v>
      </c>
      <c r="L34" s="53">
        <f t="shared" si="8"/>
        <v>22.40306122</v>
      </c>
      <c r="M34" s="51">
        <f>(4000+150+300)</f>
        <v>4450</v>
      </c>
      <c r="N34" s="54">
        <f t="shared" si="9"/>
        <v>0.7866360262</v>
      </c>
      <c r="O34" s="50">
        <v>-1741.99</v>
      </c>
      <c r="P34" s="51">
        <f t="shared" si="10"/>
        <v>4391</v>
      </c>
      <c r="Q34" s="56">
        <f t="shared" si="11"/>
        <v>2649.01</v>
      </c>
      <c r="S34" s="59"/>
    </row>
    <row r="35" ht="15.75" customHeight="1">
      <c r="A35" s="32">
        <v>29.0</v>
      </c>
      <c r="B35" s="33" t="s">
        <v>49</v>
      </c>
      <c r="C35" s="34">
        <v>5.0</v>
      </c>
      <c r="D35" s="35">
        <v>45786.0</v>
      </c>
      <c r="E35" s="36">
        <f t="shared" si="5"/>
        <v>45786</v>
      </c>
      <c r="F35" s="37">
        <v>741.0</v>
      </c>
      <c r="G35" s="38">
        <v>700.0</v>
      </c>
      <c r="H35" s="39">
        <f t="shared" si="6"/>
        <v>1.058571429</v>
      </c>
      <c r="I35" s="37">
        <v>31671.0</v>
      </c>
      <c r="J35" s="57">
        <f t="shared" si="7"/>
        <v>42.74089069</v>
      </c>
      <c r="K35" s="37">
        <v>17147.0</v>
      </c>
      <c r="L35" s="57">
        <f t="shared" si="8"/>
        <v>23.14035088</v>
      </c>
      <c r="M35" s="38">
        <f>(10000+500)</f>
        <v>10500</v>
      </c>
      <c r="N35" s="43">
        <f t="shared" si="9"/>
        <v>0.3315335796</v>
      </c>
      <c r="O35" s="37">
        <v>10300.4</v>
      </c>
      <c r="P35" s="38">
        <f t="shared" si="10"/>
        <v>17147</v>
      </c>
      <c r="Q35" s="44">
        <f t="shared" si="11"/>
        <v>27447.4</v>
      </c>
      <c r="S35" s="59"/>
    </row>
    <row r="36" ht="15.75" customHeight="1">
      <c r="A36" s="45">
        <v>30.0</v>
      </c>
      <c r="B36" s="46" t="s">
        <v>50</v>
      </c>
      <c r="C36" s="47">
        <v>5.0</v>
      </c>
      <c r="D36" s="48">
        <v>45787.0</v>
      </c>
      <c r="E36" s="49">
        <f t="shared" si="5"/>
        <v>45787</v>
      </c>
      <c r="F36" s="50">
        <v>500.0</v>
      </c>
      <c r="G36" s="51">
        <v>800.0</v>
      </c>
      <c r="H36" s="52">
        <f t="shared" si="6"/>
        <v>0.625</v>
      </c>
      <c r="I36" s="50">
        <v>16227.0</v>
      </c>
      <c r="J36" s="53">
        <f t="shared" si="7"/>
        <v>32.454</v>
      </c>
      <c r="K36" s="50">
        <v>12848.0</v>
      </c>
      <c r="L36" s="53">
        <f t="shared" si="8"/>
        <v>25.696</v>
      </c>
      <c r="M36" s="51">
        <f>(10000+200+200+200)</f>
        <v>10600</v>
      </c>
      <c r="N36" s="54">
        <f t="shared" si="9"/>
        <v>0.6532322672</v>
      </c>
      <c r="O36" s="50">
        <v>262.87</v>
      </c>
      <c r="P36" s="51">
        <f t="shared" si="10"/>
        <v>12848</v>
      </c>
      <c r="Q36" s="56">
        <f t="shared" si="11"/>
        <v>13110.87</v>
      </c>
      <c r="S36" s="59"/>
    </row>
    <row r="37" ht="15.75" customHeight="1">
      <c r="A37" s="32">
        <v>31.0</v>
      </c>
      <c r="B37" s="33" t="s">
        <v>51</v>
      </c>
      <c r="C37" s="34">
        <v>1.0</v>
      </c>
      <c r="D37" s="35">
        <v>45788.0</v>
      </c>
      <c r="E37" s="36">
        <f t="shared" si="5"/>
        <v>45788</v>
      </c>
      <c r="F37" s="37">
        <v>326.0</v>
      </c>
      <c r="G37" s="38">
        <v>750.0</v>
      </c>
      <c r="H37" s="39">
        <f t="shared" si="6"/>
        <v>0.4346666667</v>
      </c>
      <c r="I37" s="37">
        <v>13887.75</v>
      </c>
      <c r="J37" s="57">
        <f t="shared" si="7"/>
        <v>42.60046012</v>
      </c>
      <c r="K37" s="37">
        <v>1868.5</v>
      </c>
      <c r="L37" s="57">
        <f t="shared" si="8"/>
        <v>5.731595092</v>
      </c>
      <c r="M37" s="38">
        <f>(9000+500)</f>
        <v>9500</v>
      </c>
      <c r="N37" s="43">
        <f t="shared" si="9"/>
        <v>0.6840560926</v>
      </c>
      <c r="O37" s="58">
        <v>-3025.89</v>
      </c>
      <c r="P37" s="38">
        <f t="shared" si="10"/>
        <v>1868.5</v>
      </c>
      <c r="Q37" s="44">
        <f t="shared" si="11"/>
        <v>-1157.39</v>
      </c>
      <c r="S37" s="59"/>
    </row>
    <row r="38" ht="15.75" customHeight="1">
      <c r="A38" s="45">
        <v>32.0</v>
      </c>
      <c r="B38" s="46" t="s">
        <v>52</v>
      </c>
      <c r="C38" s="47">
        <v>5.0</v>
      </c>
      <c r="D38" s="67">
        <v>45419.0</v>
      </c>
      <c r="E38" s="49">
        <f t="shared" si="5"/>
        <v>45419</v>
      </c>
      <c r="F38" s="51"/>
      <c r="G38" s="51">
        <v>750.0</v>
      </c>
      <c r="H38" s="52">
        <f t="shared" si="6"/>
        <v>0</v>
      </c>
      <c r="I38" s="51"/>
      <c r="J38" s="53" t="str">
        <f t="shared" si="7"/>
        <v/>
      </c>
      <c r="K38" s="51"/>
      <c r="L38" s="53" t="str">
        <f t="shared" si="8"/>
        <v/>
      </c>
      <c r="M38" s="51"/>
      <c r="N38" s="54" t="str">
        <f t="shared" si="9"/>
        <v/>
      </c>
      <c r="O38" s="60"/>
      <c r="P38" s="51" t="str">
        <f t="shared" si="10"/>
        <v/>
      </c>
      <c r="Q38" s="62">
        <f t="shared" si="11"/>
        <v>0</v>
      </c>
    </row>
    <row r="39" ht="15.75" customHeight="1">
      <c r="A39" s="32">
        <v>33.0</v>
      </c>
      <c r="B39" s="33" t="s">
        <v>53</v>
      </c>
      <c r="C39" s="34">
        <v>1.0</v>
      </c>
      <c r="D39" s="35">
        <v>45794.0</v>
      </c>
      <c r="E39" s="36">
        <f t="shared" si="5"/>
        <v>45794</v>
      </c>
      <c r="F39" s="37">
        <v>518.0</v>
      </c>
      <c r="G39" s="37">
        <v>750.0</v>
      </c>
      <c r="H39" s="39">
        <f t="shared" si="6"/>
        <v>0.6906666667</v>
      </c>
      <c r="I39" s="37">
        <v>18635.0</v>
      </c>
      <c r="J39" s="57">
        <f t="shared" si="7"/>
        <v>35.97490347</v>
      </c>
      <c r="K39" s="37">
        <v>7087.0</v>
      </c>
      <c r="L39" s="57">
        <f t="shared" si="8"/>
        <v>13.68146718</v>
      </c>
      <c r="M39" s="38">
        <f>(8254.66+250)</f>
        <v>8504.66</v>
      </c>
      <c r="N39" s="43">
        <f t="shared" si="9"/>
        <v>0.4563810035</v>
      </c>
      <c r="O39" s="58">
        <v>5443.21</v>
      </c>
      <c r="P39" s="38">
        <f t="shared" si="10"/>
        <v>7087</v>
      </c>
      <c r="Q39" s="44">
        <f t="shared" si="11"/>
        <v>12530.21</v>
      </c>
    </row>
    <row r="40" ht="15.75" customHeight="1">
      <c r="A40" s="45">
        <v>34.0</v>
      </c>
      <c r="B40" s="46" t="s">
        <v>54</v>
      </c>
      <c r="C40" s="47">
        <v>5.0</v>
      </c>
      <c r="D40" s="48">
        <v>45800.0</v>
      </c>
      <c r="E40" s="49">
        <f t="shared" si="5"/>
        <v>45800</v>
      </c>
      <c r="F40" s="50">
        <v>932.0</v>
      </c>
      <c r="G40" s="51">
        <v>800.0</v>
      </c>
      <c r="H40" s="52">
        <f t="shared" si="6"/>
        <v>1.165</v>
      </c>
      <c r="I40" s="50">
        <v>42057.5</v>
      </c>
      <c r="J40" s="53">
        <f t="shared" si="7"/>
        <v>45.12607296</v>
      </c>
      <c r="K40" s="50">
        <v>31398.0</v>
      </c>
      <c r="L40" s="53">
        <f t="shared" si="8"/>
        <v>33.6888412</v>
      </c>
      <c r="M40" s="51">
        <f>(12500+2200+400)</f>
        <v>15100</v>
      </c>
      <c r="N40" s="54">
        <f t="shared" si="9"/>
        <v>0.3590322772</v>
      </c>
      <c r="O40" s="55">
        <v>13560.94</v>
      </c>
      <c r="P40" s="51">
        <f t="shared" si="10"/>
        <v>31398</v>
      </c>
      <c r="Q40" s="62">
        <f t="shared" si="11"/>
        <v>44958.94</v>
      </c>
    </row>
    <row r="41" ht="15.75" customHeight="1">
      <c r="A41" s="32">
        <v>35.0</v>
      </c>
      <c r="B41" s="33" t="s">
        <v>55</v>
      </c>
      <c r="C41" s="34">
        <v>5.0</v>
      </c>
      <c r="D41" s="35">
        <v>45801.0</v>
      </c>
      <c r="E41" s="36">
        <f t="shared" si="5"/>
        <v>45801</v>
      </c>
      <c r="F41" s="37">
        <v>1005.0</v>
      </c>
      <c r="G41" s="38">
        <v>800.0</v>
      </c>
      <c r="H41" s="39">
        <f t="shared" si="6"/>
        <v>1.25625</v>
      </c>
      <c r="I41" s="37">
        <v>56166.0</v>
      </c>
      <c r="J41" s="57">
        <f t="shared" si="7"/>
        <v>55.88656716</v>
      </c>
      <c r="K41" s="37">
        <v>21795.0</v>
      </c>
      <c r="L41" s="57">
        <f t="shared" si="8"/>
        <v>21.68656716</v>
      </c>
      <c r="M41" s="38">
        <f>3500+10000</f>
        <v>13500</v>
      </c>
      <c r="N41" s="43">
        <f t="shared" si="9"/>
        <v>0.240358936</v>
      </c>
      <c r="O41" s="58">
        <v>25317.24</v>
      </c>
      <c r="P41" s="38">
        <f t="shared" si="10"/>
        <v>21795</v>
      </c>
      <c r="Q41" s="44">
        <f t="shared" si="11"/>
        <v>47112.24</v>
      </c>
    </row>
    <row r="42" ht="15.75" customHeight="1">
      <c r="A42" s="45">
        <v>36.0</v>
      </c>
      <c r="B42" s="46" t="s">
        <v>56</v>
      </c>
      <c r="C42" s="47">
        <v>5.0</v>
      </c>
      <c r="D42" s="48">
        <v>45802.0</v>
      </c>
      <c r="E42" s="49">
        <f t="shared" si="5"/>
        <v>45802</v>
      </c>
      <c r="F42" s="50">
        <v>987.0</v>
      </c>
      <c r="G42" s="51">
        <v>750.0</v>
      </c>
      <c r="H42" s="52">
        <f t="shared" si="6"/>
        <v>1.316</v>
      </c>
      <c r="I42" s="50">
        <v>53726.0</v>
      </c>
      <c r="J42" s="53">
        <f t="shared" si="7"/>
        <v>54.43363728</v>
      </c>
      <c r="K42" s="50">
        <v>23002.0</v>
      </c>
      <c r="L42" s="53">
        <f t="shared" si="8"/>
        <v>23.30496454</v>
      </c>
      <c r="M42" s="51">
        <f>(17500+2500+300+400)</f>
        <v>20700</v>
      </c>
      <c r="N42" s="54">
        <f t="shared" si="9"/>
        <v>0.3852883148</v>
      </c>
      <c r="O42" s="50">
        <v>21150.76</v>
      </c>
      <c r="P42" s="51">
        <f t="shared" si="10"/>
        <v>23002</v>
      </c>
      <c r="Q42" s="56">
        <f t="shared" si="11"/>
        <v>44152.76</v>
      </c>
    </row>
    <row r="43" ht="15.75" customHeight="1">
      <c r="A43" s="32">
        <v>37.0</v>
      </c>
      <c r="B43" s="33" t="s">
        <v>57</v>
      </c>
      <c r="C43" s="34">
        <v>5.0</v>
      </c>
      <c r="D43" s="35">
        <v>45803.0</v>
      </c>
      <c r="E43" s="36">
        <f t="shared" si="5"/>
        <v>45803</v>
      </c>
      <c r="F43" s="37">
        <v>624.0</v>
      </c>
      <c r="G43" s="38">
        <v>750.0</v>
      </c>
      <c r="H43" s="39">
        <f t="shared" si="6"/>
        <v>0.832</v>
      </c>
      <c r="I43" s="37">
        <v>27651.0</v>
      </c>
      <c r="J43" s="57">
        <f t="shared" si="7"/>
        <v>44.3125</v>
      </c>
      <c r="K43" s="37">
        <v>12348.0</v>
      </c>
      <c r="L43" s="57">
        <f t="shared" si="8"/>
        <v>19.78846154</v>
      </c>
      <c r="M43" s="38">
        <f>(5000+5000+5000+1000+600)</f>
        <v>16600</v>
      </c>
      <c r="N43" s="43">
        <f t="shared" si="9"/>
        <v>0.6003399515</v>
      </c>
      <c r="O43" s="58">
        <v>2504.97</v>
      </c>
      <c r="P43" s="38">
        <f t="shared" si="10"/>
        <v>12348</v>
      </c>
      <c r="Q43" s="44">
        <f t="shared" si="11"/>
        <v>14852.97</v>
      </c>
    </row>
    <row r="44" ht="15.75" customHeight="1">
      <c r="A44" s="45">
        <v>38.0</v>
      </c>
      <c r="B44" s="46" t="s">
        <v>58</v>
      </c>
      <c r="C44" s="47">
        <v>6.0</v>
      </c>
      <c r="D44" s="48">
        <v>45807.0</v>
      </c>
      <c r="E44" s="49">
        <f t="shared" si="5"/>
        <v>45807</v>
      </c>
      <c r="F44" s="50">
        <v>700.0</v>
      </c>
      <c r="G44" s="51">
        <v>830.0</v>
      </c>
      <c r="H44" s="52">
        <f t="shared" si="6"/>
        <v>0.843373494</v>
      </c>
      <c r="I44" s="50">
        <v>4902.0</v>
      </c>
      <c r="J44" s="53">
        <f t="shared" si="7"/>
        <v>7.002857143</v>
      </c>
      <c r="K44" s="50">
        <v>11816.0</v>
      </c>
      <c r="L44" s="53">
        <f t="shared" si="8"/>
        <v>16.88</v>
      </c>
      <c r="M44" s="50">
        <v>0.0</v>
      </c>
      <c r="N44" s="54">
        <f t="shared" si="9"/>
        <v>0</v>
      </c>
      <c r="O44" s="50">
        <v>2609.0</v>
      </c>
      <c r="P44" s="51">
        <f t="shared" si="10"/>
        <v>11816</v>
      </c>
      <c r="Q44" s="56">
        <f t="shared" si="11"/>
        <v>14425</v>
      </c>
    </row>
    <row r="45" ht="15.75" customHeight="1">
      <c r="A45" s="32">
        <v>39.0</v>
      </c>
      <c r="B45" s="33" t="s">
        <v>59</v>
      </c>
      <c r="C45" s="34">
        <v>5.0</v>
      </c>
      <c r="D45" s="35">
        <v>45814.0</v>
      </c>
      <c r="E45" s="36">
        <f t="shared" si="5"/>
        <v>45814</v>
      </c>
      <c r="F45" s="38"/>
      <c r="G45" s="38">
        <v>850.0</v>
      </c>
      <c r="H45" s="39">
        <f t="shared" si="6"/>
        <v>0</v>
      </c>
      <c r="I45" s="38"/>
      <c r="J45" s="57" t="str">
        <f t="shared" si="7"/>
        <v/>
      </c>
      <c r="K45" s="38"/>
      <c r="L45" s="57" t="str">
        <f t="shared" si="8"/>
        <v/>
      </c>
      <c r="M45" s="38"/>
      <c r="N45" s="43" t="str">
        <f t="shared" si="9"/>
        <v/>
      </c>
      <c r="O45" s="38"/>
      <c r="P45" s="38" t="str">
        <f t="shared" si="10"/>
        <v/>
      </c>
      <c r="Q45" s="44">
        <f t="shared" si="11"/>
        <v>0</v>
      </c>
    </row>
    <row r="46" ht="15.75" customHeight="1">
      <c r="A46" s="45">
        <v>40.0</v>
      </c>
      <c r="B46" s="46" t="s">
        <v>60</v>
      </c>
      <c r="C46" s="47">
        <v>5.0</v>
      </c>
      <c r="D46" s="48">
        <v>45815.0</v>
      </c>
      <c r="E46" s="49">
        <f t="shared" si="5"/>
        <v>45815</v>
      </c>
      <c r="F46" s="50">
        <v>371.0</v>
      </c>
      <c r="G46" s="51">
        <v>850.0</v>
      </c>
      <c r="H46" s="52">
        <f t="shared" si="6"/>
        <v>0.4364705882</v>
      </c>
      <c r="I46" s="50">
        <v>13133.25</v>
      </c>
      <c r="J46" s="53">
        <f t="shared" si="7"/>
        <v>35.39959569</v>
      </c>
      <c r="K46" s="50">
        <v>11367.0</v>
      </c>
      <c r="L46" s="53">
        <f t="shared" si="8"/>
        <v>30.63881402</v>
      </c>
      <c r="M46" s="51">
        <f>(8000+1500+1000+500+1500+1500)</f>
        <v>14000</v>
      </c>
      <c r="N46" s="54">
        <f t="shared" si="9"/>
        <v>1.065996612</v>
      </c>
      <c r="O46" s="50">
        <v>-9856.88</v>
      </c>
      <c r="P46" s="51">
        <f t="shared" si="10"/>
        <v>11367</v>
      </c>
      <c r="Q46" s="56">
        <f t="shared" si="11"/>
        <v>1510.12</v>
      </c>
    </row>
    <row r="47" ht="15.75" customHeight="1">
      <c r="A47" s="32">
        <v>41.0</v>
      </c>
      <c r="B47" s="33" t="s">
        <v>61</v>
      </c>
      <c r="C47" s="34">
        <v>1.0</v>
      </c>
      <c r="D47" s="35">
        <v>45816.0</v>
      </c>
      <c r="E47" s="36">
        <f t="shared" si="5"/>
        <v>45816</v>
      </c>
      <c r="F47" s="37">
        <v>158.0</v>
      </c>
      <c r="G47" s="38">
        <v>800.0</v>
      </c>
      <c r="H47" s="39">
        <f t="shared" si="6"/>
        <v>0.1975</v>
      </c>
      <c r="I47" s="37">
        <v>6922.0</v>
      </c>
      <c r="J47" s="57">
        <f t="shared" si="7"/>
        <v>43.81012658</v>
      </c>
      <c r="K47" s="37">
        <v>2147.0</v>
      </c>
      <c r="L47" s="57">
        <f t="shared" si="8"/>
        <v>13.58860759</v>
      </c>
      <c r="M47" s="38">
        <f>(4000+500)</f>
        <v>4500</v>
      </c>
      <c r="N47" s="43">
        <f t="shared" si="9"/>
        <v>0.6501011268</v>
      </c>
      <c r="O47" s="37">
        <v>-1991.56</v>
      </c>
      <c r="P47" s="38">
        <f t="shared" si="10"/>
        <v>2147</v>
      </c>
      <c r="Q47" s="44">
        <f t="shared" si="11"/>
        <v>155.44</v>
      </c>
    </row>
    <row r="48" ht="15.75" customHeight="1">
      <c r="A48" s="45">
        <v>42.0</v>
      </c>
      <c r="B48" s="46" t="s">
        <v>62</v>
      </c>
      <c r="C48" s="47">
        <v>1.0</v>
      </c>
      <c r="D48" s="48">
        <v>45817.0</v>
      </c>
      <c r="E48" s="49">
        <f t="shared" si="5"/>
        <v>45817</v>
      </c>
      <c r="F48" s="50">
        <v>534.0</v>
      </c>
      <c r="G48" s="51">
        <v>800.0</v>
      </c>
      <c r="H48" s="52">
        <f t="shared" si="6"/>
        <v>0.6675</v>
      </c>
      <c r="I48" s="50">
        <v>21962.0</v>
      </c>
      <c r="J48" s="53">
        <f t="shared" si="7"/>
        <v>41.12734082</v>
      </c>
      <c r="K48" s="50">
        <v>6973.0</v>
      </c>
      <c r="L48" s="53">
        <f t="shared" si="8"/>
        <v>13.05805243</v>
      </c>
      <c r="M48" s="51">
        <f>(8000+3000)</f>
        <v>11000</v>
      </c>
      <c r="N48" s="54">
        <f t="shared" si="9"/>
        <v>0.5008651307</v>
      </c>
      <c r="O48" s="50">
        <v>5561.9</v>
      </c>
      <c r="P48" s="51">
        <f t="shared" si="10"/>
        <v>6973</v>
      </c>
      <c r="Q48" s="56">
        <f t="shared" si="11"/>
        <v>12534.9</v>
      </c>
    </row>
    <row r="49" ht="15.75" customHeight="1">
      <c r="A49" s="32">
        <v>43.0</v>
      </c>
      <c r="B49" s="33" t="s">
        <v>63</v>
      </c>
      <c r="C49" s="34">
        <v>2.0</v>
      </c>
      <c r="D49" s="35">
        <v>45821.0</v>
      </c>
      <c r="E49" s="36">
        <f t="shared" si="5"/>
        <v>45821</v>
      </c>
      <c r="F49" s="37">
        <v>60.0</v>
      </c>
      <c r="G49" s="38">
        <v>250.0</v>
      </c>
      <c r="H49" s="39">
        <f t="shared" si="6"/>
        <v>0.24</v>
      </c>
      <c r="I49" s="37">
        <v>1210.0</v>
      </c>
      <c r="J49" s="57">
        <f t="shared" si="7"/>
        <v>20.16666667</v>
      </c>
      <c r="K49" s="37">
        <v>1238.0</v>
      </c>
      <c r="L49" s="57">
        <f t="shared" si="8"/>
        <v>20.63333333</v>
      </c>
      <c r="M49" s="38">
        <f>(2000+150+100+100)</f>
        <v>2350</v>
      </c>
      <c r="N49" s="43">
        <f t="shared" si="9"/>
        <v>1.94214876</v>
      </c>
      <c r="O49" s="58">
        <v>-2286.68</v>
      </c>
      <c r="P49" s="38">
        <f t="shared" si="10"/>
        <v>1238</v>
      </c>
      <c r="Q49" s="44">
        <f t="shared" si="11"/>
        <v>-1048.68</v>
      </c>
    </row>
    <row r="50" ht="15.75" customHeight="1">
      <c r="A50" s="45">
        <v>44.0</v>
      </c>
      <c r="B50" s="46" t="s">
        <v>64</v>
      </c>
      <c r="C50" s="47">
        <v>1.0</v>
      </c>
      <c r="D50" s="48">
        <v>45830.0</v>
      </c>
      <c r="E50" s="49">
        <f t="shared" si="5"/>
        <v>45830</v>
      </c>
      <c r="F50" s="50">
        <v>18.0</v>
      </c>
      <c r="G50" s="51">
        <v>750.0</v>
      </c>
      <c r="H50" s="52">
        <f t="shared" si="6"/>
        <v>0.024</v>
      </c>
      <c r="I50" s="50">
        <v>565.5</v>
      </c>
      <c r="J50" s="53">
        <f t="shared" si="7"/>
        <v>31.41666667</v>
      </c>
      <c r="K50" s="50">
        <v>174.0</v>
      </c>
      <c r="L50" s="53">
        <f t="shared" si="8"/>
        <v>9.666666667</v>
      </c>
      <c r="M50" s="51">
        <f>1000</f>
        <v>1000</v>
      </c>
      <c r="N50" s="54">
        <f t="shared" si="9"/>
        <v>1.768346596</v>
      </c>
      <c r="O50" s="50">
        <v>-2738.0</v>
      </c>
      <c r="P50" s="51">
        <f t="shared" si="10"/>
        <v>174</v>
      </c>
      <c r="Q50" s="56">
        <f t="shared" si="11"/>
        <v>-2564</v>
      </c>
    </row>
    <row r="51" ht="15.75" customHeight="1">
      <c r="A51" s="32">
        <v>45.0</v>
      </c>
      <c r="B51" s="33" t="s">
        <v>65</v>
      </c>
      <c r="C51" s="34">
        <v>5.0</v>
      </c>
      <c r="D51" s="35">
        <v>45850.0</v>
      </c>
      <c r="E51" s="36">
        <f t="shared" si="5"/>
        <v>45850</v>
      </c>
      <c r="F51" s="37">
        <v>242.0</v>
      </c>
      <c r="G51" s="38">
        <v>750.0</v>
      </c>
      <c r="H51" s="39">
        <f t="shared" si="6"/>
        <v>0.3226666667</v>
      </c>
      <c r="I51" s="37">
        <v>7330.5</v>
      </c>
      <c r="J51" s="57">
        <f t="shared" si="7"/>
        <v>30.29132231</v>
      </c>
      <c r="K51" s="37">
        <v>7314.0</v>
      </c>
      <c r="L51" s="57">
        <f t="shared" si="8"/>
        <v>30.2231405</v>
      </c>
      <c r="M51" s="38">
        <f>(4500+350+350)</f>
        <v>5200</v>
      </c>
      <c r="N51" s="43">
        <f t="shared" si="9"/>
        <v>0.7093649819</v>
      </c>
      <c r="O51" s="37">
        <v>-803.06</v>
      </c>
      <c r="P51" s="38">
        <f t="shared" si="10"/>
        <v>7314</v>
      </c>
      <c r="Q51" s="44">
        <f t="shared" si="11"/>
        <v>6510.94</v>
      </c>
    </row>
    <row r="52" ht="15.75" customHeight="1">
      <c r="A52" s="45">
        <v>46.0</v>
      </c>
      <c r="B52" s="46" t="s">
        <v>66</v>
      </c>
      <c r="C52" s="47">
        <v>5.0</v>
      </c>
      <c r="D52" s="48">
        <v>45856.0</v>
      </c>
      <c r="E52" s="49">
        <f t="shared" si="5"/>
        <v>45856</v>
      </c>
      <c r="F52" s="50">
        <v>659.0</v>
      </c>
      <c r="G52" s="51">
        <v>750.0</v>
      </c>
      <c r="H52" s="52">
        <f t="shared" si="6"/>
        <v>0.8786666667</v>
      </c>
      <c r="I52" s="50">
        <v>20798.0</v>
      </c>
      <c r="J52" s="53">
        <f t="shared" si="7"/>
        <v>31.5599393</v>
      </c>
      <c r="K52" s="50">
        <v>18263.0</v>
      </c>
      <c r="L52" s="53">
        <f t="shared" si="8"/>
        <v>27.71320182</v>
      </c>
      <c r="M52" s="51">
        <f>(10000+200+200)</f>
        <v>10400</v>
      </c>
      <c r="N52" s="54">
        <f t="shared" si="9"/>
        <v>0.5000480815</v>
      </c>
      <c r="O52" s="51"/>
      <c r="P52" s="51">
        <f t="shared" si="10"/>
        <v>18263</v>
      </c>
      <c r="Q52" s="56">
        <f t="shared" si="11"/>
        <v>18263</v>
      </c>
    </row>
    <row r="53" ht="15.75" customHeight="1">
      <c r="A53" s="32">
        <v>47.0</v>
      </c>
      <c r="B53" s="33" t="s">
        <v>41</v>
      </c>
      <c r="C53" s="34">
        <v>1.0</v>
      </c>
      <c r="D53" s="35">
        <v>45857.0</v>
      </c>
      <c r="E53" s="36">
        <f t="shared" si="5"/>
        <v>45857</v>
      </c>
      <c r="F53" s="37">
        <v>465.0</v>
      </c>
      <c r="G53" s="37">
        <v>750.0</v>
      </c>
      <c r="H53" s="39">
        <f t="shared" si="6"/>
        <v>0.62</v>
      </c>
      <c r="I53" s="37">
        <v>12493.5</v>
      </c>
      <c r="J53" s="57">
        <f t="shared" si="7"/>
        <v>26.86774194</v>
      </c>
      <c r="K53" s="37">
        <v>8045.0</v>
      </c>
      <c r="L53" s="57">
        <f t="shared" si="8"/>
        <v>17.30107527</v>
      </c>
      <c r="M53" s="38">
        <f>8924</f>
        <v>8924</v>
      </c>
      <c r="N53" s="43">
        <f t="shared" si="9"/>
        <v>0.7142914315</v>
      </c>
      <c r="O53" s="37">
        <v>512.76</v>
      </c>
      <c r="P53" s="38">
        <f t="shared" si="10"/>
        <v>8045</v>
      </c>
      <c r="Q53" s="44">
        <f t="shared" si="11"/>
        <v>8557.76</v>
      </c>
    </row>
    <row r="54" ht="15.75" customHeight="1">
      <c r="A54" s="45">
        <v>48.0</v>
      </c>
      <c r="B54" s="46" t="s">
        <v>67</v>
      </c>
      <c r="C54" s="47">
        <v>1.0</v>
      </c>
      <c r="D54" s="48">
        <v>45858.0</v>
      </c>
      <c r="E54" s="49">
        <f t="shared" si="5"/>
        <v>45858</v>
      </c>
      <c r="F54" s="50">
        <v>750.0</v>
      </c>
      <c r="G54" s="51">
        <v>700.0</v>
      </c>
      <c r="H54" s="52">
        <f t="shared" si="6"/>
        <v>1.071428571</v>
      </c>
      <c r="I54" s="50">
        <v>27556.25</v>
      </c>
      <c r="J54" s="53">
        <f t="shared" si="7"/>
        <v>36.74166667</v>
      </c>
      <c r="K54" s="50">
        <v>8431.0</v>
      </c>
      <c r="L54" s="53">
        <f t="shared" si="8"/>
        <v>11.24133333</v>
      </c>
      <c r="M54" s="51">
        <f>11380.93</f>
        <v>11380.93</v>
      </c>
      <c r="N54" s="54">
        <f t="shared" si="9"/>
        <v>0.4130072125</v>
      </c>
      <c r="O54" s="51"/>
      <c r="P54" s="51">
        <f t="shared" si="10"/>
        <v>8431</v>
      </c>
      <c r="Q54" s="56">
        <f t="shared" si="11"/>
        <v>8431</v>
      </c>
    </row>
    <row r="55" ht="15.75" customHeight="1">
      <c r="A55" s="32">
        <v>49.0</v>
      </c>
      <c r="B55" s="33" t="s">
        <v>68</v>
      </c>
      <c r="C55" s="34">
        <v>1.0</v>
      </c>
      <c r="D55" s="35">
        <v>45863.0</v>
      </c>
      <c r="E55" s="36">
        <f t="shared" si="5"/>
        <v>45863</v>
      </c>
      <c r="F55" s="37">
        <v>188.0</v>
      </c>
      <c r="G55" s="38">
        <v>800.0</v>
      </c>
      <c r="H55" s="39">
        <f t="shared" si="6"/>
        <v>0.235</v>
      </c>
      <c r="I55" s="37">
        <v>6061.0</v>
      </c>
      <c r="J55" s="57">
        <f t="shared" si="7"/>
        <v>32.2393617</v>
      </c>
      <c r="K55" s="37">
        <v>4192.0</v>
      </c>
      <c r="L55" s="57">
        <f t="shared" si="8"/>
        <v>22.29787234</v>
      </c>
      <c r="M55" s="38">
        <f>(5000+1500+250+200)</f>
        <v>6950</v>
      </c>
      <c r="N55" s="43">
        <f t="shared" si="9"/>
        <v>1.146675466</v>
      </c>
      <c r="O55" s="37">
        <v>-4651.74</v>
      </c>
      <c r="P55" s="38">
        <f t="shared" si="10"/>
        <v>4192</v>
      </c>
      <c r="Q55" s="44">
        <f t="shared" si="11"/>
        <v>-459.74</v>
      </c>
    </row>
    <row r="56" ht="15.75" customHeight="1">
      <c r="A56" s="45">
        <v>50.0</v>
      </c>
      <c r="B56" s="46" t="s">
        <v>69</v>
      </c>
      <c r="C56" s="47">
        <v>6.0</v>
      </c>
      <c r="D56" s="48">
        <v>45865.0</v>
      </c>
      <c r="E56" s="49">
        <f t="shared" si="5"/>
        <v>45865</v>
      </c>
      <c r="F56" s="50">
        <v>554.0</v>
      </c>
      <c r="G56" s="51">
        <v>800.0</v>
      </c>
      <c r="H56" s="52">
        <f t="shared" si="6"/>
        <v>0.6925</v>
      </c>
      <c r="I56" s="50">
        <v>19384.75</v>
      </c>
      <c r="J56" s="53">
        <f t="shared" si="7"/>
        <v>34.99052347</v>
      </c>
      <c r="K56" s="50">
        <v>3017.0</v>
      </c>
      <c r="L56" s="53">
        <f t="shared" si="8"/>
        <v>5.445848375</v>
      </c>
      <c r="M56" s="50">
        <v>12343.0</v>
      </c>
      <c r="N56" s="54">
        <f t="shared" si="9"/>
        <v>0.6367376417</v>
      </c>
      <c r="O56" s="55">
        <v>3570.6</v>
      </c>
      <c r="P56" s="51">
        <f t="shared" si="10"/>
        <v>3017</v>
      </c>
      <c r="Q56" s="56">
        <f t="shared" si="11"/>
        <v>6587.6</v>
      </c>
    </row>
    <row r="57" ht="15.75" customHeight="1">
      <c r="A57" s="32">
        <v>51.0</v>
      </c>
      <c r="B57" s="33" t="s">
        <v>70</v>
      </c>
      <c r="C57" s="34">
        <v>1.0</v>
      </c>
      <c r="D57" s="35">
        <v>45872.0</v>
      </c>
      <c r="E57" s="36">
        <f t="shared" si="5"/>
        <v>45872</v>
      </c>
      <c r="F57" s="37">
        <v>226.0</v>
      </c>
      <c r="G57" s="38">
        <v>850.0</v>
      </c>
      <c r="H57" s="39">
        <f t="shared" si="6"/>
        <v>0.2658823529</v>
      </c>
      <c r="I57" s="37">
        <v>6800.51</v>
      </c>
      <c r="J57" s="57">
        <f t="shared" si="7"/>
        <v>30.09075221</v>
      </c>
      <c r="K57" s="37">
        <v>5417.0</v>
      </c>
      <c r="L57" s="57">
        <f t="shared" si="8"/>
        <v>23.96902655</v>
      </c>
      <c r="M57" s="38">
        <f>(4000+500)</f>
        <v>4500</v>
      </c>
      <c r="N57" s="43">
        <f t="shared" si="9"/>
        <v>0.6617150773</v>
      </c>
      <c r="O57" s="37">
        <v>2049.3</v>
      </c>
      <c r="P57" s="38">
        <f t="shared" si="10"/>
        <v>5417</v>
      </c>
      <c r="Q57" s="44">
        <f t="shared" si="11"/>
        <v>7466.3</v>
      </c>
    </row>
    <row r="58" ht="15.75" customHeight="1">
      <c r="A58" s="45">
        <v>52.0</v>
      </c>
      <c r="B58" s="46" t="s">
        <v>71</v>
      </c>
      <c r="C58" s="47">
        <v>1.0</v>
      </c>
      <c r="D58" s="48">
        <v>45878.0</v>
      </c>
      <c r="E58" s="49">
        <f t="shared" si="5"/>
        <v>45878</v>
      </c>
      <c r="F58" s="50">
        <v>280.0</v>
      </c>
      <c r="G58" s="51">
        <v>800.0</v>
      </c>
      <c r="H58" s="52">
        <f t="shared" si="6"/>
        <v>0.35</v>
      </c>
      <c r="I58" s="50">
        <v>14711.0</v>
      </c>
      <c r="J58" s="53">
        <f t="shared" si="7"/>
        <v>52.53928571</v>
      </c>
      <c r="K58" s="50">
        <v>2684.0</v>
      </c>
      <c r="L58" s="53">
        <f t="shared" si="8"/>
        <v>9.585714286</v>
      </c>
      <c r="M58" s="51">
        <f>3000+500</f>
        <v>3500</v>
      </c>
      <c r="N58" s="54">
        <f t="shared" si="9"/>
        <v>0.2379172048</v>
      </c>
      <c r="O58" s="55">
        <v>1967.01</v>
      </c>
      <c r="P58" s="51">
        <f t="shared" si="10"/>
        <v>2684</v>
      </c>
      <c r="Q58" s="56">
        <f t="shared" si="11"/>
        <v>4651.01</v>
      </c>
    </row>
    <row r="59" ht="15.75" customHeight="1">
      <c r="A59" s="32">
        <v>53.0</v>
      </c>
      <c r="B59" s="33" t="s">
        <v>72</v>
      </c>
      <c r="C59" s="34">
        <v>6.0</v>
      </c>
      <c r="D59" s="35">
        <v>45885.0</v>
      </c>
      <c r="E59" s="36">
        <f t="shared" si="5"/>
        <v>45885</v>
      </c>
      <c r="F59" s="37">
        <v>45.0</v>
      </c>
      <c r="G59" s="38">
        <v>750.0</v>
      </c>
      <c r="H59" s="39">
        <f t="shared" si="6"/>
        <v>0.06</v>
      </c>
      <c r="I59" s="37">
        <v>6228.5</v>
      </c>
      <c r="J59" s="57">
        <f t="shared" si="7"/>
        <v>138.4111111</v>
      </c>
      <c r="K59" s="37">
        <v>10215.0</v>
      </c>
      <c r="L59" s="57">
        <f t="shared" si="8"/>
        <v>227</v>
      </c>
      <c r="M59" s="37">
        <v>1185.0</v>
      </c>
      <c r="N59" s="43">
        <f t="shared" si="9"/>
        <v>0.1902544754</v>
      </c>
      <c r="O59" s="58">
        <v>3065.94</v>
      </c>
      <c r="P59" s="38">
        <f t="shared" si="10"/>
        <v>10215</v>
      </c>
      <c r="Q59" s="63">
        <f t="shared" si="11"/>
        <v>13280.94</v>
      </c>
    </row>
    <row r="60" ht="15.75" customHeight="1">
      <c r="A60" s="45">
        <v>54.0</v>
      </c>
      <c r="B60" s="46" t="s">
        <v>73</v>
      </c>
      <c r="C60" s="47">
        <v>6.0</v>
      </c>
      <c r="D60" s="48">
        <v>45886.0</v>
      </c>
      <c r="E60" s="49">
        <f t="shared" si="5"/>
        <v>45886</v>
      </c>
      <c r="F60" s="50">
        <v>192.0</v>
      </c>
      <c r="G60" s="50">
        <v>750.0</v>
      </c>
      <c r="H60" s="52">
        <f t="shared" si="6"/>
        <v>0.256</v>
      </c>
      <c r="I60" s="50">
        <v>13331.5</v>
      </c>
      <c r="J60" s="53">
        <f t="shared" si="7"/>
        <v>69.43489583</v>
      </c>
      <c r="K60" s="50">
        <v>11824.0</v>
      </c>
      <c r="L60" s="53">
        <f t="shared" si="8"/>
        <v>61.58333333</v>
      </c>
      <c r="M60" s="51">
        <f>7553+288</f>
        <v>7841</v>
      </c>
      <c r="N60" s="54">
        <f t="shared" si="9"/>
        <v>0.5881558714</v>
      </c>
      <c r="O60" s="55">
        <v>3079.51</v>
      </c>
      <c r="P60" s="51">
        <f t="shared" si="10"/>
        <v>11824</v>
      </c>
      <c r="Q60" s="62">
        <f t="shared" si="11"/>
        <v>14903.51</v>
      </c>
    </row>
    <row r="61" ht="15.75" customHeight="1">
      <c r="A61" s="32">
        <v>55.0</v>
      </c>
      <c r="B61" s="33" t="s">
        <v>74</v>
      </c>
      <c r="C61" s="34">
        <v>5.0</v>
      </c>
      <c r="D61" s="35">
        <v>45892.0</v>
      </c>
      <c r="E61" s="36">
        <f t="shared" si="5"/>
        <v>45892</v>
      </c>
      <c r="F61" s="37">
        <v>150.0</v>
      </c>
      <c r="G61" s="38">
        <v>750.0</v>
      </c>
      <c r="H61" s="39">
        <f t="shared" si="6"/>
        <v>0.2</v>
      </c>
      <c r="I61" s="37">
        <v>3619.75</v>
      </c>
      <c r="J61" s="57">
        <f t="shared" si="7"/>
        <v>24.13166667</v>
      </c>
      <c r="K61" s="37">
        <v>3404.0</v>
      </c>
      <c r="L61" s="57">
        <f t="shared" si="8"/>
        <v>22.69333333</v>
      </c>
      <c r="M61" s="37">
        <v>-336.48</v>
      </c>
      <c r="N61" s="43">
        <f t="shared" si="9"/>
        <v>-0.0929566959</v>
      </c>
      <c r="O61" s="68">
        <f>2000+200+150</f>
        <v>2350</v>
      </c>
      <c r="P61" s="38">
        <f t="shared" si="10"/>
        <v>3404</v>
      </c>
      <c r="Q61" s="44">
        <f t="shared" si="11"/>
        <v>5754</v>
      </c>
    </row>
    <row r="62" ht="15.75" customHeight="1">
      <c r="A62" s="45">
        <v>56.0</v>
      </c>
      <c r="B62" s="46" t="s">
        <v>75</v>
      </c>
      <c r="C62" s="61"/>
      <c r="D62" s="48">
        <v>45899.0</v>
      </c>
      <c r="E62" s="49">
        <f t="shared" si="5"/>
        <v>45899</v>
      </c>
      <c r="F62" s="50">
        <v>85.0</v>
      </c>
      <c r="G62" s="50">
        <v>750.0</v>
      </c>
      <c r="H62" s="52">
        <f t="shared" si="6"/>
        <v>0.1133333333</v>
      </c>
      <c r="I62" s="50">
        <v>1792.62</v>
      </c>
      <c r="J62" s="53">
        <f t="shared" si="7"/>
        <v>21.08964706</v>
      </c>
      <c r="K62" s="50">
        <v>1720.0</v>
      </c>
      <c r="L62" s="53">
        <f t="shared" si="8"/>
        <v>20.23529412</v>
      </c>
      <c r="M62" s="50">
        <v>680.0</v>
      </c>
      <c r="N62" s="54">
        <f t="shared" si="9"/>
        <v>0.3793330433</v>
      </c>
      <c r="O62" s="50">
        <v>-286.92</v>
      </c>
      <c r="P62" s="51">
        <f t="shared" si="10"/>
        <v>1720</v>
      </c>
      <c r="Q62" s="56">
        <f t="shared" si="11"/>
        <v>1433.08</v>
      </c>
    </row>
    <row r="63" ht="15.75" customHeight="1">
      <c r="A63" s="32">
        <v>57.0</v>
      </c>
      <c r="B63" s="33" t="s">
        <v>76</v>
      </c>
      <c r="C63" s="34">
        <v>5.0</v>
      </c>
      <c r="D63" s="35">
        <v>45905.0</v>
      </c>
      <c r="E63" s="36">
        <f t="shared" si="5"/>
        <v>45905</v>
      </c>
      <c r="F63" s="37">
        <v>82.0</v>
      </c>
      <c r="G63" s="37">
        <v>250.0</v>
      </c>
      <c r="H63" s="39">
        <f t="shared" si="6"/>
        <v>0.328</v>
      </c>
      <c r="I63" s="37">
        <v>1477.75</v>
      </c>
      <c r="J63" s="57">
        <f t="shared" si="7"/>
        <v>18.02134146</v>
      </c>
      <c r="K63" s="37">
        <v>1759.0</v>
      </c>
      <c r="L63" s="57">
        <f t="shared" si="8"/>
        <v>21.45121951</v>
      </c>
      <c r="M63" s="38">
        <f>(2500+200)</f>
        <v>2700</v>
      </c>
      <c r="N63" s="43">
        <f t="shared" si="9"/>
        <v>1.827102013</v>
      </c>
      <c r="O63" s="58">
        <v>-2976.92</v>
      </c>
      <c r="P63" s="38">
        <f t="shared" si="10"/>
        <v>1759</v>
      </c>
      <c r="Q63" s="44">
        <f t="shared" si="11"/>
        <v>-1217.92</v>
      </c>
    </row>
    <row r="64" ht="15.75" customHeight="1">
      <c r="A64" s="45">
        <v>58.0</v>
      </c>
      <c r="B64" s="46" t="s">
        <v>77</v>
      </c>
      <c r="C64" s="47">
        <v>1.0</v>
      </c>
      <c r="D64" s="48">
        <v>45911.0</v>
      </c>
      <c r="E64" s="49">
        <f t="shared" si="5"/>
        <v>45911</v>
      </c>
      <c r="F64" s="50">
        <v>287.0</v>
      </c>
      <c r="G64" s="51">
        <v>250.0</v>
      </c>
      <c r="H64" s="52">
        <f t="shared" si="6"/>
        <v>1.148</v>
      </c>
      <c r="I64" s="50">
        <v>9586.93</v>
      </c>
      <c r="J64" s="53">
        <f t="shared" si="7"/>
        <v>33.40393728</v>
      </c>
      <c r="K64" s="50">
        <v>3829.0</v>
      </c>
      <c r="L64" s="53">
        <f t="shared" si="8"/>
        <v>13.34146341</v>
      </c>
      <c r="M64" s="51">
        <f>(5000+1500)</f>
        <v>6500</v>
      </c>
      <c r="N64" s="54">
        <f t="shared" si="9"/>
        <v>0.6780064108</v>
      </c>
      <c r="O64" s="55">
        <v>-793.97</v>
      </c>
      <c r="P64" s="51">
        <f t="shared" si="10"/>
        <v>3829</v>
      </c>
      <c r="Q64" s="56">
        <f t="shared" si="11"/>
        <v>3035.03</v>
      </c>
    </row>
    <row r="65" ht="15.75" customHeight="1">
      <c r="A65" s="32">
        <v>59.0</v>
      </c>
      <c r="B65" s="33" t="s">
        <v>78</v>
      </c>
      <c r="C65" s="34">
        <v>2.0</v>
      </c>
      <c r="D65" s="35">
        <v>45913.0</v>
      </c>
      <c r="E65" s="36">
        <f t="shared" si="5"/>
        <v>45913</v>
      </c>
      <c r="F65" s="37">
        <v>593.0</v>
      </c>
      <c r="G65" s="38">
        <v>750.0</v>
      </c>
      <c r="H65" s="39">
        <f t="shared" si="6"/>
        <v>0.7906666667</v>
      </c>
      <c r="I65" s="37">
        <v>18591.31</v>
      </c>
      <c r="J65" s="57">
        <f t="shared" si="7"/>
        <v>31.35128162</v>
      </c>
      <c r="K65" s="37">
        <v>10332.0</v>
      </c>
      <c r="L65" s="57">
        <f t="shared" si="8"/>
        <v>17.4232715</v>
      </c>
      <c r="M65" s="38">
        <f>(4000+1500+150)</f>
        <v>5650</v>
      </c>
      <c r="N65" s="43">
        <f t="shared" si="9"/>
        <v>0.3039054268</v>
      </c>
      <c r="O65" s="58">
        <v>7158.91</v>
      </c>
      <c r="P65" s="38">
        <f t="shared" si="10"/>
        <v>10332</v>
      </c>
      <c r="Q65" s="44">
        <f t="shared" si="11"/>
        <v>17490.91</v>
      </c>
    </row>
    <row r="66" ht="15.75" customHeight="1">
      <c r="A66" s="45">
        <v>60.0</v>
      </c>
      <c r="B66" s="46" t="s">
        <v>79</v>
      </c>
      <c r="C66" s="47">
        <v>5.0</v>
      </c>
      <c r="D66" s="48">
        <v>45926.0</v>
      </c>
      <c r="E66" s="49">
        <f t="shared" si="5"/>
        <v>45926</v>
      </c>
      <c r="F66" s="50">
        <v>288.0</v>
      </c>
      <c r="G66" s="51">
        <v>700.0</v>
      </c>
      <c r="H66" s="52">
        <f t="shared" si="6"/>
        <v>0.4114285714</v>
      </c>
      <c r="I66" s="50">
        <v>6937.0</v>
      </c>
      <c r="J66" s="53">
        <f t="shared" si="7"/>
        <v>24.08680556</v>
      </c>
      <c r="K66" s="50">
        <v>7413.0</v>
      </c>
      <c r="L66" s="53">
        <f t="shared" si="8"/>
        <v>25.73958333</v>
      </c>
      <c r="M66" s="51">
        <f>(4000+200+200)</f>
        <v>4400</v>
      </c>
      <c r="N66" s="54">
        <f t="shared" si="9"/>
        <v>0.6342799481</v>
      </c>
      <c r="O66" s="55">
        <v>-321.97</v>
      </c>
      <c r="P66" s="51">
        <f t="shared" si="10"/>
        <v>7413</v>
      </c>
      <c r="Q66" s="62">
        <f t="shared" si="11"/>
        <v>7091.03</v>
      </c>
    </row>
    <row r="67" ht="15.75" customHeight="1">
      <c r="A67" s="32">
        <v>61.0</v>
      </c>
      <c r="B67" s="33" t="s">
        <v>80</v>
      </c>
      <c r="C67" s="34">
        <v>1.0</v>
      </c>
      <c r="D67" s="35">
        <v>45927.0</v>
      </c>
      <c r="E67" s="36">
        <f t="shared" si="5"/>
        <v>45927</v>
      </c>
      <c r="F67" s="37">
        <v>802.0</v>
      </c>
      <c r="G67" s="38">
        <v>750.0</v>
      </c>
      <c r="H67" s="39">
        <f t="shared" si="6"/>
        <v>1.069333333</v>
      </c>
      <c r="I67" s="37">
        <v>28781.75</v>
      </c>
      <c r="J67" s="57">
        <f t="shared" si="7"/>
        <v>35.88746883</v>
      </c>
      <c r="K67" s="37">
        <v>11593.0</v>
      </c>
      <c r="L67" s="57">
        <f t="shared" si="8"/>
        <v>14.45511222</v>
      </c>
      <c r="M67" s="38">
        <f>18736</f>
        <v>18736</v>
      </c>
      <c r="N67" s="43">
        <f t="shared" si="9"/>
        <v>0.6509680614</v>
      </c>
      <c r="O67" s="58">
        <v>7310.37</v>
      </c>
      <c r="P67" s="38">
        <f t="shared" si="10"/>
        <v>11593</v>
      </c>
      <c r="Q67" s="44">
        <f t="shared" si="11"/>
        <v>18903.37</v>
      </c>
    </row>
    <row r="68" ht="15.75" customHeight="1">
      <c r="A68" s="45">
        <v>62.0</v>
      </c>
      <c r="B68" s="46" t="s">
        <v>81</v>
      </c>
      <c r="C68" s="47">
        <v>6.0</v>
      </c>
      <c r="D68" s="48">
        <v>45933.0</v>
      </c>
      <c r="E68" s="49">
        <f t="shared" si="5"/>
        <v>45933</v>
      </c>
      <c r="F68" s="50">
        <v>328.0</v>
      </c>
      <c r="G68" s="51">
        <v>800.0</v>
      </c>
      <c r="H68" s="52">
        <f t="shared" si="6"/>
        <v>0.41</v>
      </c>
      <c r="I68" s="50">
        <v>11391.56</v>
      </c>
      <c r="J68" s="53">
        <f t="shared" si="7"/>
        <v>34.73036585</v>
      </c>
      <c r="K68" s="50">
        <v>4375.0</v>
      </c>
      <c r="L68" s="53">
        <f t="shared" si="8"/>
        <v>13.33841463</v>
      </c>
      <c r="M68" s="51">
        <f>(7249.75)</f>
        <v>7249.75</v>
      </c>
      <c r="N68" s="54">
        <f t="shared" si="9"/>
        <v>0.6364141522</v>
      </c>
      <c r="O68" s="55">
        <v>1558.58</v>
      </c>
      <c r="P68" s="51">
        <f t="shared" si="10"/>
        <v>4375</v>
      </c>
      <c r="Q68" s="56">
        <f t="shared" si="11"/>
        <v>5933.58</v>
      </c>
    </row>
    <row r="69" ht="15.75" customHeight="1">
      <c r="A69" s="32">
        <v>63.0</v>
      </c>
      <c r="B69" s="33" t="s">
        <v>82</v>
      </c>
      <c r="C69" s="34">
        <v>5.0</v>
      </c>
      <c r="D69" s="35">
        <v>45934.0</v>
      </c>
      <c r="E69" s="36">
        <f t="shared" si="5"/>
        <v>45934</v>
      </c>
      <c r="F69" s="37">
        <v>186.0</v>
      </c>
      <c r="G69" s="38">
        <v>800.0</v>
      </c>
      <c r="H69" s="39">
        <f t="shared" si="6"/>
        <v>0.2325</v>
      </c>
      <c r="I69" s="37">
        <v>4936.75</v>
      </c>
      <c r="J69" s="57">
        <f t="shared" si="7"/>
        <v>26.54166667</v>
      </c>
      <c r="K69" s="37">
        <v>4430.0</v>
      </c>
      <c r="L69" s="57">
        <f t="shared" si="8"/>
        <v>23.8172043</v>
      </c>
      <c r="M69" s="38">
        <f>(3000+150+150)</f>
        <v>3300</v>
      </c>
      <c r="N69" s="43">
        <f t="shared" si="9"/>
        <v>0.668455968</v>
      </c>
      <c r="O69" s="37">
        <v>-1108.11</v>
      </c>
      <c r="P69" s="38">
        <f t="shared" si="10"/>
        <v>4430</v>
      </c>
      <c r="Q69" s="44">
        <f t="shared" si="11"/>
        <v>3321.89</v>
      </c>
    </row>
    <row r="70" ht="15.75" customHeight="1">
      <c r="A70" s="45">
        <v>64.0</v>
      </c>
      <c r="B70" s="46" t="s">
        <v>83</v>
      </c>
      <c r="C70" s="47">
        <v>1.0</v>
      </c>
      <c r="D70" s="48">
        <v>45939.0</v>
      </c>
      <c r="E70" s="49">
        <f t="shared" si="5"/>
        <v>45939</v>
      </c>
      <c r="F70" s="50">
        <v>340.0</v>
      </c>
      <c r="G70" s="50">
        <v>750.0</v>
      </c>
      <c r="H70" s="52">
        <f t="shared" si="6"/>
        <v>0.4533333333</v>
      </c>
      <c r="I70" s="50">
        <v>8483.5</v>
      </c>
      <c r="J70" s="53">
        <f t="shared" si="7"/>
        <v>24.95147059</v>
      </c>
      <c r="K70" s="50">
        <v>4084.0</v>
      </c>
      <c r="L70" s="53">
        <f t="shared" si="8"/>
        <v>12.01176471</v>
      </c>
      <c r="M70" s="51">
        <f>3500+500</f>
        <v>4000</v>
      </c>
      <c r="N70" s="54">
        <f t="shared" si="9"/>
        <v>0.4715035068</v>
      </c>
      <c r="O70" s="50">
        <v>-475.58</v>
      </c>
      <c r="P70" s="51">
        <f t="shared" si="10"/>
        <v>4084</v>
      </c>
      <c r="Q70" s="56">
        <f t="shared" si="11"/>
        <v>3608.42</v>
      </c>
    </row>
    <row r="71" ht="15.75" customHeight="1">
      <c r="A71" s="32">
        <v>65.0</v>
      </c>
      <c r="B71" s="33" t="s">
        <v>84</v>
      </c>
      <c r="C71" s="34">
        <v>5.0</v>
      </c>
      <c r="D71" s="35">
        <v>45940.0</v>
      </c>
      <c r="E71" s="36">
        <f t="shared" si="5"/>
        <v>45940</v>
      </c>
      <c r="F71" s="37">
        <v>770.0</v>
      </c>
      <c r="G71" s="37">
        <v>750.0</v>
      </c>
      <c r="H71" s="39">
        <f t="shared" si="6"/>
        <v>1.026666667</v>
      </c>
      <c r="I71" s="37">
        <v>28177.25</v>
      </c>
      <c r="J71" s="57">
        <f t="shared" si="7"/>
        <v>36.59383117</v>
      </c>
      <c r="K71" s="37">
        <v>20068.0</v>
      </c>
      <c r="L71" s="57">
        <f t="shared" si="8"/>
        <v>26.06233766</v>
      </c>
      <c r="M71" s="38">
        <f>(10000+250+250+2000+200)</f>
        <v>12700</v>
      </c>
      <c r="N71" s="43">
        <f t="shared" si="9"/>
        <v>0.4507182213</v>
      </c>
      <c r="O71" s="37">
        <v>5096.45</v>
      </c>
      <c r="P71" s="38">
        <f t="shared" si="10"/>
        <v>20068</v>
      </c>
      <c r="Q71" s="44">
        <f t="shared" si="11"/>
        <v>25164.45</v>
      </c>
    </row>
    <row r="72" ht="15.75" customHeight="1">
      <c r="A72" s="45">
        <v>66.0</v>
      </c>
      <c r="B72" s="46" t="s">
        <v>85</v>
      </c>
      <c r="C72" s="47">
        <v>5.0</v>
      </c>
      <c r="D72" s="48">
        <v>45941.0</v>
      </c>
      <c r="E72" s="49">
        <f t="shared" si="5"/>
        <v>45941</v>
      </c>
      <c r="F72" s="50">
        <v>494.0</v>
      </c>
      <c r="G72" s="51">
        <v>700.0</v>
      </c>
      <c r="H72" s="52">
        <f t="shared" si="6"/>
        <v>0.7057142857</v>
      </c>
      <c r="I72" s="50">
        <v>14594.0</v>
      </c>
      <c r="J72" s="53">
        <f t="shared" si="7"/>
        <v>29.54251012</v>
      </c>
      <c r="K72" s="50">
        <v>8867.0</v>
      </c>
      <c r="L72" s="53">
        <f t="shared" si="8"/>
        <v>17.94939271</v>
      </c>
      <c r="M72" s="51">
        <f>(7500+200+200)</f>
        <v>7900</v>
      </c>
      <c r="N72" s="54">
        <f t="shared" si="9"/>
        <v>0.54131835</v>
      </c>
      <c r="O72" s="55">
        <v>3378.5</v>
      </c>
      <c r="P72" s="51">
        <f t="shared" si="10"/>
        <v>8867</v>
      </c>
      <c r="Q72" s="56">
        <f t="shared" si="11"/>
        <v>12245.5</v>
      </c>
    </row>
    <row r="73" ht="15.75" customHeight="1">
      <c r="A73" s="32">
        <v>67.0</v>
      </c>
      <c r="B73" s="33" t="s">
        <v>86</v>
      </c>
      <c r="C73" s="34">
        <v>1.0</v>
      </c>
      <c r="D73" s="35">
        <v>45946.0</v>
      </c>
      <c r="E73" s="36">
        <f t="shared" si="5"/>
        <v>45946</v>
      </c>
      <c r="F73" s="37">
        <v>750.0</v>
      </c>
      <c r="G73" s="38">
        <v>800.0</v>
      </c>
      <c r="H73" s="39">
        <f t="shared" si="6"/>
        <v>0.9375</v>
      </c>
      <c r="I73" s="37">
        <v>30229.0</v>
      </c>
      <c r="J73" s="57">
        <f t="shared" si="7"/>
        <v>40.30533333</v>
      </c>
      <c r="K73" s="37">
        <v>3557.0</v>
      </c>
      <c r="L73" s="57">
        <f t="shared" si="8"/>
        <v>4.742666667</v>
      </c>
      <c r="M73" s="38">
        <f>10000</f>
        <v>10000</v>
      </c>
      <c r="N73" s="43">
        <f t="shared" si="9"/>
        <v>0.3308081643</v>
      </c>
      <c r="O73" s="37">
        <v>5799.12</v>
      </c>
      <c r="P73" s="38">
        <f t="shared" si="10"/>
        <v>3557</v>
      </c>
      <c r="Q73" s="44">
        <f t="shared" si="11"/>
        <v>9356.12</v>
      </c>
    </row>
    <row r="74" ht="15.75" customHeight="1">
      <c r="A74" s="45">
        <v>68.0</v>
      </c>
      <c r="B74" s="46" t="s">
        <v>87</v>
      </c>
      <c r="C74" s="47">
        <v>2.0</v>
      </c>
      <c r="D74" s="48">
        <v>45948.0</v>
      </c>
      <c r="E74" s="49">
        <f t="shared" si="5"/>
        <v>45948</v>
      </c>
      <c r="F74" s="50">
        <v>82.0</v>
      </c>
      <c r="G74" s="51">
        <v>800.0</v>
      </c>
      <c r="H74" s="52">
        <f t="shared" si="6"/>
        <v>0.1025</v>
      </c>
      <c r="I74" s="50">
        <v>2010.9</v>
      </c>
      <c r="J74" s="53">
        <f t="shared" si="7"/>
        <v>24.52317073</v>
      </c>
      <c r="K74" s="50">
        <v>1551.0</v>
      </c>
      <c r="L74" s="53">
        <f t="shared" si="8"/>
        <v>18.91463415</v>
      </c>
      <c r="M74" s="51">
        <f>(3500+300+200-1000)</f>
        <v>3000</v>
      </c>
      <c r="N74" s="54">
        <f t="shared" si="9"/>
        <v>1.491869312</v>
      </c>
      <c r="O74" s="50">
        <v>-2788.24</v>
      </c>
      <c r="P74" s="51">
        <f t="shared" si="10"/>
        <v>1551</v>
      </c>
      <c r="Q74" s="56">
        <f t="shared" si="11"/>
        <v>-1237.24</v>
      </c>
    </row>
    <row r="75" ht="15.75" customHeight="1">
      <c r="A75" s="32">
        <v>69.0</v>
      </c>
      <c r="B75" s="33" t="s">
        <v>88</v>
      </c>
      <c r="C75" s="34">
        <v>5.0</v>
      </c>
      <c r="D75" s="35">
        <v>45954.0</v>
      </c>
      <c r="E75" s="36">
        <f t="shared" si="5"/>
        <v>45954</v>
      </c>
      <c r="F75" s="37">
        <v>293.0</v>
      </c>
      <c r="G75" s="38">
        <v>650.0</v>
      </c>
      <c r="H75" s="39">
        <f t="shared" si="6"/>
        <v>0.4507692308</v>
      </c>
      <c r="I75" s="37">
        <v>8150.0</v>
      </c>
      <c r="J75" s="57">
        <f t="shared" si="7"/>
        <v>27.81569966</v>
      </c>
      <c r="K75" s="37">
        <v>8746.0</v>
      </c>
      <c r="L75" s="57">
        <f t="shared" si="8"/>
        <v>29.84982935</v>
      </c>
      <c r="M75" s="38">
        <f>(4000+200)</f>
        <v>4200</v>
      </c>
      <c r="N75" s="43">
        <f t="shared" si="9"/>
        <v>0.5153374233</v>
      </c>
      <c r="O75" s="58">
        <v>-1298.89</v>
      </c>
      <c r="P75" s="38">
        <f t="shared" si="10"/>
        <v>8746</v>
      </c>
      <c r="Q75" s="63">
        <f t="shared" si="11"/>
        <v>7447.11</v>
      </c>
    </row>
    <row r="76" ht="15.75" customHeight="1">
      <c r="A76" s="45">
        <v>70.0</v>
      </c>
      <c r="B76" s="46" t="s">
        <v>89</v>
      </c>
      <c r="C76" s="47">
        <v>1.0</v>
      </c>
      <c r="D76" s="48">
        <v>45957.0</v>
      </c>
      <c r="E76" s="49">
        <f t="shared" si="5"/>
        <v>45957</v>
      </c>
      <c r="F76" s="50">
        <v>121.0</v>
      </c>
      <c r="G76" s="51">
        <v>800.0</v>
      </c>
      <c r="H76" s="52">
        <f t="shared" si="6"/>
        <v>0.15125</v>
      </c>
      <c r="I76" s="50">
        <v>3384.0</v>
      </c>
      <c r="J76" s="53">
        <f t="shared" si="7"/>
        <v>27.96694215</v>
      </c>
      <c r="K76" s="50">
        <v>1090.0</v>
      </c>
      <c r="L76" s="53">
        <f t="shared" si="8"/>
        <v>9.008264463</v>
      </c>
      <c r="M76" s="51">
        <f>3500+250</f>
        <v>3750</v>
      </c>
      <c r="N76" s="54">
        <f t="shared" si="9"/>
        <v>1.108156028</v>
      </c>
      <c r="O76" s="55">
        <v>2951.1</v>
      </c>
      <c r="P76" s="51">
        <f t="shared" si="10"/>
        <v>1090</v>
      </c>
      <c r="Q76" s="62">
        <f t="shared" si="11"/>
        <v>4041.1</v>
      </c>
    </row>
    <row r="77" ht="15.75" customHeight="1">
      <c r="A77" s="32">
        <v>71.0</v>
      </c>
      <c r="B77" s="33" t="s">
        <v>90</v>
      </c>
      <c r="C77" s="34">
        <v>1.0</v>
      </c>
      <c r="D77" s="35">
        <v>45961.0</v>
      </c>
      <c r="E77" s="36">
        <f t="shared" si="5"/>
        <v>45961</v>
      </c>
      <c r="F77" s="37">
        <v>217.0</v>
      </c>
      <c r="G77" s="38">
        <v>800.0</v>
      </c>
      <c r="H77" s="39">
        <f t="shared" si="6"/>
        <v>0.27125</v>
      </c>
      <c r="I77" s="37">
        <v>6677.25</v>
      </c>
      <c r="J77" s="57">
        <f t="shared" si="7"/>
        <v>30.77073733</v>
      </c>
      <c r="K77" s="37">
        <v>315.0</v>
      </c>
      <c r="L77" s="57">
        <f t="shared" si="8"/>
        <v>1.451612903</v>
      </c>
      <c r="M77" s="38">
        <f>4500+500</f>
        <v>5000</v>
      </c>
      <c r="N77" s="43">
        <f t="shared" si="9"/>
        <v>0.7488112621</v>
      </c>
      <c r="O77" s="37">
        <v>-1412.71</v>
      </c>
      <c r="P77" s="38">
        <f t="shared" si="10"/>
        <v>315</v>
      </c>
      <c r="Q77" s="44">
        <f t="shared" si="11"/>
        <v>-1097.71</v>
      </c>
    </row>
    <row r="78" ht="15.75" customHeight="1">
      <c r="A78" s="45">
        <v>72.0</v>
      </c>
      <c r="B78" s="46" t="s">
        <v>91</v>
      </c>
      <c r="C78" s="47">
        <v>2.0</v>
      </c>
      <c r="D78" s="48">
        <v>45962.0</v>
      </c>
      <c r="E78" s="49">
        <f t="shared" si="5"/>
        <v>45962</v>
      </c>
      <c r="F78" s="50">
        <v>75.0</v>
      </c>
      <c r="G78" s="51">
        <v>750.0</v>
      </c>
      <c r="H78" s="52">
        <f t="shared" si="6"/>
        <v>0.1</v>
      </c>
      <c r="I78" s="50">
        <v>2041.25</v>
      </c>
      <c r="J78" s="53">
        <f t="shared" si="7"/>
        <v>27.21666667</v>
      </c>
      <c r="K78" s="69">
        <v>1689.0</v>
      </c>
      <c r="L78" s="53">
        <f t="shared" si="8"/>
        <v>22.52</v>
      </c>
      <c r="M78" s="51">
        <f>(3500+300+200)</f>
        <v>4000</v>
      </c>
      <c r="N78" s="54">
        <f t="shared" si="9"/>
        <v>1.959583588</v>
      </c>
      <c r="O78" s="50">
        <v>-3766.74</v>
      </c>
      <c r="P78" s="51">
        <f t="shared" si="10"/>
        <v>1689</v>
      </c>
      <c r="Q78" s="56">
        <f t="shared" si="11"/>
        <v>-2077.74</v>
      </c>
    </row>
    <row r="79" ht="15.75" customHeight="1">
      <c r="A79" s="32">
        <v>73.0</v>
      </c>
      <c r="B79" s="33" t="s">
        <v>92</v>
      </c>
      <c r="C79" s="34">
        <v>1.0</v>
      </c>
      <c r="D79" s="35">
        <v>45968.0</v>
      </c>
      <c r="E79" s="36">
        <f t="shared" si="5"/>
        <v>45968</v>
      </c>
      <c r="F79" s="37">
        <v>271.0</v>
      </c>
      <c r="G79" s="38">
        <v>750.0</v>
      </c>
      <c r="H79" s="39">
        <f t="shared" si="6"/>
        <v>0.3613333333</v>
      </c>
      <c r="I79" s="37">
        <v>9070.37</v>
      </c>
      <c r="J79" s="57">
        <f t="shared" si="7"/>
        <v>33.47</v>
      </c>
      <c r="K79" s="37">
        <v>3137.0</v>
      </c>
      <c r="L79" s="57">
        <f t="shared" si="8"/>
        <v>11.57564576</v>
      </c>
      <c r="M79" s="37">
        <f>5500+800</f>
        <v>6300</v>
      </c>
      <c r="N79" s="43">
        <f t="shared" si="9"/>
        <v>0.6945692403</v>
      </c>
      <c r="O79" s="58">
        <v>-1028.97</v>
      </c>
      <c r="P79" s="38">
        <f t="shared" si="10"/>
        <v>3137</v>
      </c>
      <c r="Q79" s="63">
        <f t="shared" si="11"/>
        <v>2108.03</v>
      </c>
    </row>
    <row r="80" ht="15.75" customHeight="1">
      <c r="A80" s="45">
        <v>74.0</v>
      </c>
      <c r="B80" s="46" t="s">
        <v>93</v>
      </c>
      <c r="C80" s="47">
        <v>1.0</v>
      </c>
      <c r="D80" s="48">
        <v>45969.0</v>
      </c>
      <c r="E80" s="49">
        <f t="shared" si="5"/>
        <v>45969</v>
      </c>
      <c r="F80" s="50">
        <v>320.0</v>
      </c>
      <c r="G80" s="51">
        <v>750.0</v>
      </c>
      <c r="H80" s="52">
        <f t="shared" si="6"/>
        <v>0.4266666667</v>
      </c>
      <c r="I80" s="50">
        <v>9939.26</v>
      </c>
      <c r="J80" s="53">
        <f t="shared" si="7"/>
        <v>31.0601875</v>
      </c>
      <c r="K80" s="50">
        <v>5801.0</v>
      </c>
      <c r="L80" s="53">
        <f t="shared" si="8"/>
        <v>18.128125</v>
      </c>
      <c r="M80" s="51">
        <f>5000+750</f>
        <v>5750</v>
      </c>
      <c r="N80" s="54">
        <f t="shared" si="9"/>
        <v>0.5785138934</v>
      </c>
      <c r="O80" s="55">
        <v>216.57</v>
      </c>
      <c r="P80" s="51">
        <f t="shared" si="10"/>
        <v>5801</v>
      </c>
      <c r="Q80" s="56">
        <f t="shared" si="11"/>
        <v>6017.57</v>
      </c>
    </row>
    <row r="81" ht="15.75" customHeight="1">
      <c r="A81" s="32">
        <v>75.0</v>
      </c>
      <c r="B81" s="33" t="s">
        <v>94</v>
      </c>
      <c r="C81" s="34">
        <v>1.0</v>
      </c>
      <c r="D81" s="35">
        <v>45975.0</v>
      </c>
      <c r="E81" s="36">
        <f t="shared" si="5"/>
        <v>45975</v>
      </c>
      <c r="F81" s="37">
        <v>531.0</v>
      </c>
      <c r="G81" s="38">
        <v>800.0</v>
      </c>
      <c r="H81" s="39">
        <f t="shared" si="6"/>
        <v>0.66375</v>
      </c>
      <c r="I81" s="37">
        <v>19040.0</v>
      </c>
      <c r="J81" s="57">
        <f t="shared" si="7"/>
        <v>35.85687382</v>
      </c>
      <c r="K81" s="37">
        <v>12703.0</v>
      </c>
      <c r="L81" s="57">
        <f t="shared" si="8"/>
        <v>23.92278719</v>
      </c>
      <c r="M81" s="38">
        <f>10000</f>
        <v>10000</v>
      </c>
      <c r="N81" s="43">
        <f t="shared" si="9"/>
        <v>0.525210084</v>
      </c>
      <c r="O81" s="58">
        <v>4353.15</v>
      </c>
      <c r="P81" s="38">
        <f t="shared" si="10"/>
        <v>12703</v>
      </c>
      <c r="Q81" s="44">
        <f t="shared" si="11"/>
        <v>17056.15</v>
      </c>
    </row>
    <row r="82" ht="15.75" customHeight="1">
      <c r="A82" s="45">
        <v>76.0</v>
      </c>
      <c r="B82" s="46" t="s">
        <v>95</v>
      </c>
      <c r="C82" s="47">
        <v>1.0</v>
      </c>
      <c r="D82" s="48">
        <v>45976.0</v>
      </c>
      <c r="E82" s="49">
        <f t="shared" si="5"/>
        <v>45976</v>
      </c>
      <c r="F82" s="50">
        <v>89.0</v>
      </c>
      <c r="G82" s="51">
        <v>800.0</v>
      </c>
      <c r="H82" s="52">
        <f t="shared" si="6"/>
        <v>0.11125</v>
      </c>
      <c r="I82" s="50">
        <v>1875.0</v>
      </c>
      <c r="J82" s="53">
        <f t="shared" si="7"/>
        <v>21.06741573</v>
      </c>
      <c r="K82" s="50">
        <v>1907.0</v>
      </c>
      <c r="L82" s="53">
        <f t="shared" si="8"/>
        <v>21.42696629</v>
      </c>
      <c r="M82" s="51">
        <f>3000+300+300</f>
        <v>3600</v>
      </c>
      <c r="N82" s="54">
        <f t="shared" si="9"/>
        <v>1.92</v>
      </c>
      <c r="O82" s="50">
        <v>3447.83</v>
      </c>
      <c r="P82" s="51">
        <f t="shared" si="10"/>
        <v>1907</v>
      </c>
      <c r="Q82" s="56">
        <f t="shared" si="11"/>
        <v>5354.83</v>
      </c>
    </row>
    <row r="83" ht="15.75" customHeight="1">
      <c r="A83" s="32">
        <v>77.0</v>
      </c>
      <c r="B83" s="33" t="s">
        <v>96</v>
      </c>
      <c r="C83" s="34">
        <v>2.0</v>
      </c>
      <c r="D83" s="35">
        <v>45981.0</v>
      </c>
      <c r="E83" s="36">
        <f t="shared" si="5"/>
        <v>45981</v>
      </c>
      <c r="F83" s="37">
        <v>114.0</v>
      </c>
      <c r="G83" s="38">
        <v>750.0</v>
      </c>
      <c r="H83" s="39">
        <f t="shared" si="6"/>
        <v>0.152</v>
      </c>
      <c r="I83" s="37">
        <v>2524.75</v>
      </c>
      <c r="J83" s="57">
        <f t="shared" si="7"/>
        <v>22.14692982</v>
      </c>
      <c r="K83" s="37">
        <v>4316.0</v>
      </c>
      <c r="L83" s="57">
        <f t="shared" si="8"/>
        <v>37.85964912</v>
      </c>
      <c r="M83" s="38">
        <f>2500+200+300+150</f>
        <v>3150</v>
      </c>
      <c r="N83" s="43">
        <f t="shared" si="9"/>
        <v>1.247648282</v>
      </c>
      <c r="O83" s="37">
        <v>-3282.13</v>
      </c>
      <c r="P83" s="38">
        <f t="shared" si="10"/>
        <v>4316</v>
      </c>
      <c r="Q83" s="44">
        <f t="shared" si="11"/>
        <v>1033.87</v>
      </c>
    </row>
    <row r="84" ht="15.75" customHeight="1">
      <c r="A84" s="45">
        <v>78.0</v>
      </c>
      <c r="B84" s="46" t="s">
        <v>97</v>
      </c>
      <c r="C84" s="47">
        <v>5.0</v>
      </c>
      <c r="D84" s="48">
        <v>45982.0</v>
      </c>
      <c r="E84" s="49">
        <f t="shared" si="5"/>
        <v>45982</v>
      </c>
      <c r="F84" s="50">
        <v>234.0</v>
      </c>
      <c r="G84" s="51">
        <v>800.0</v>
      </c>
      <c r="H84" s="52">
        <f t="shared" si="6"/>
        <v>0.2925</v>
      </c>
      <c r="I84" s="50">
        <v>6457.5</v>
      </c>
      <c r="J84" s="53">
        <f t="shared" si="7"/>
        <v>27.59615385</v>
      </c>
      <c r="K84" s="50">
        <v>6506.0</v>
      </c>
      <c r="L84" s="53">
        <f t="shared" si="8"/>
        <v>27.8034188</v>
      </c>
      <c r="M84" s="51">
        <f>5000+200+200</f>
        <v>5400</v>
      </c>
      <c r="N84" s="54">
        <f t="shared" si="9"/>
        <v>0.8362369338</v>
      </c>
      <c r="O84" s="55">
        <v>-3152.0</v>
      </c>
      <c r="P84" s="51">
        <f t="shared" si="10"/>
        <v>6506</v>
      </c>
      <c r="Q84" s="56">
        <f t="shared" si="11"/>
        <v>3354</v>
      </c>
    </row>
    <row r="85" ht="15.75" customHeight="1">
      <c r="A85" s="32">
        <v>79.0</v>
      </c>
      <c r="B85" s="33" t="s">
        <v>98</v>
      </c>
      <c r="C85" s="34">
        <v>5.0</v>
      </c>
      <c r="D85" s="35">
        <v>45983.0</v>
      </c>
      <c r="E85" s="36">
        <f t="shared" si="5"/>
        <v>45983</v>
      </c>
      <c r="F85" s="37">
        <v>191.0</v>
      </c>
      <c r="G85" s="38">
        <v>750.0</v>
      </c>
      <c r="H85" s="39">
        <f t="shared" si="6"/>
        <v>0.2546666667</v>
      </c>
      <c r="I85" s="37">
        <v>4854.0</v>
      </c>
      <c r="J85" s="57">
        <f t="shared" si="7"/>
        <v>25.41361257</v>
      </c>
      <c r="K85" s="37">
        <v>4136.0</v>
      </c>
      <c r="L85" s="57">
        <f t="shared" si="8"/>
        <v>21.65445026</v>
      </c>
      <c r="M85" s="38">
        <f>2500+200+200</f>
        <v>2900</v>
      </c>
      <c r="N85" s="43">
        <f t="shared" si="9"/>
        <v>0.5974454059</v>
      </c>
      <c r="O85" s="37">
        <v>-1044.96</v>
      </c>
      <c r="P85" s="38">
        <f t="shared" si="10"/>
        <v>4136</v>
      </c>
      <c r="Q85" s="44">
        <f t="shared" si="11"/>
        <v>3091.04</v>
      </c>
    </row>
    <row r="86" ht="15.75" customHeight="1">
      <c r="A86" s="45">
        <v>80.0</v>
      </c>
      <c r="B86" s="46" t="s">
        <v>99</v>
      </c>
      <c r="C86" s="47">
        <v>2.0</v>
      </c>
      <c r="D86" s="48">
        <v>45989.0</v>
      </c>
      <c r="E86" s="49">
        <f t="shared" si="5"/>
        <v>45989</v>
      </c>
      <c r="F86" s="50">
        <v>82.0</v>
      </c>
      <c r="G86" s="51">
        <v>800.0</v>
      </c>
      <c r="H86" s="52">
        <f t="shared" si="6"/>
        <v>0.1025</v>
      </c>
      <c r="I86" s="50">
        <v>2572.87</v>
      </c>
      <c r="J86" s="53">
        <f t="shared" si="7"/>
        <v>31.37646341</v>
      </c>
      <c r="K86" s="50">
        <v>2363.0</v>
      </c>
      <c r="L86" s="53">
        <f t="shared" si="8"/>
        <v>28.81707317</v>
      </c>
      <c r="M86" s="51">
        <f>(2500+2500+2500)</f>
        <v>7500</v>
      </c>
      <c r="N86" s="54">
        <f t="shared" si="9"/>
        <v>2.915032629</v>
      </c>
      <c r="O86" s="55">
        <v>-8190.62</v>
      </c>
      <c r="P86" s="51">
        <f t="shared" si="10"/>
        <v>2363</v>
      </c>
      <c r="Q86" s="56">
        <f t="shared" si="11"/>
        <v>-5827.62</v>
      </c>
    </row>
    <row r="87" ht="15.75" customHeight="1">
      <c r="A87" s="32">
        <v>81.0</v>
      </c>
      <c r="B87" s="33" t="s">
        <v>100</v>
      </c>
      <c r="C87" s="34">
        <v>5.0</v>
      </c>
      <c r="D87" s="35">
        <v>45990.0</v>
      </c>
      <c r="E87" s="36">
        <f t="shared" si="5"/>
        <v>45990</v>
      </c>
      <c r="F87" s="37">
        <v>125.0</v>
      </c>
      <c r="G87" s="38">
        <v>800.0</v>
      </c>
      <c r="H87" s="39">
        <f t="shared" si="6"/>
        <v>0.15625</v>
      </c>
      <c r="I87" s="37">
        <v>2629.0</v>
      </c>
      <c r="J87" s="57">
        <f t="shared" si="7"/>
        <v>21.032</v>
      </c>
      <c r="K87" s="37">
        <v>2843.0</v>
      </c>
      <c r="L87" s="57">
        <f t="shared" si="8"/>
        <v>22.744</v>
      </c>
      <c r="M87" s="38">
        <f>3000+100+100+100+100</f>
        <v>3400</v>
      </c>
      <c r="N87" s="43">
        <f t="shared" si="9"/>
        <v>1.293267402</v>
      </c>
      <c r="O87" s="58">
        <v>-2885.86</v>
      </c>
      <c r="P87" s="38">
        <f t="shared" si="10"/>
        <v>2843</v>
      </c>
      <c r="Q87" s="44">
        <f t="shared" si="11"/>
        <v>-42.86</v>
      </c>
    </row>
    <row r="88" ht="15.75" customHeight="1">
      <c r="A88" s="45">
        <v>82.0</v>
      </c>
      <c r="B88" s="65" t="s">
        <v>101</v>
      </c>
      <c r="C88" s="47">
        <v>1.0</v>
      </c>
      <c r="D88" s="48">
        <v>45991.0</v>
      </c>
      <c r="E88" s="49">
        <f t="shared" si="5"/>
        <v>45991</v>
      </c>
      <c r="F88" s="50">
        <v>191.0</v>
      </c>
      <c r="G88" s="51">
        <v>800.0</v>
      </c>
      <c r="H88" s="52">
        <f t="shared" si="6"/>
        <v>0.23875</v>
      </c>
      <c r="I88" s="50">
        <v>6030.5</v>
      </c>
      <c r="J88" s="53">
        <f t="shared" si="7"/>
        <v>31.57329843</v>
      </c>
      <c r="K88" s="50">
        <v>2167.0</v>
      </c>
      <c r="L88" s="53">
        <f t="shared" si="8"/>
        <v>11.34554974</v>
      </c>
      <c r="M88" s="51">
        <f>3218.8</f>
        <v>3218.8</v>
      </c>
      <c r="N88" s="54">
        <f t="shared" si="9"/>
        <v>0.5337534201</v>
      </c>
      <c r="O88" s="50">
        <v>-969.86</v>
      </c>
      <c r="P88" s="51">
        <f t="shared" si="10"/>
        <v>2167</v>
      </c>
      <c r="Q88" s="56">
        <f t="shared" si="11"/>
        <v>1197.14</v>
      </c>
    </row>
    <row r="89" ht="15.75" customHeight="1">
      <c r="A89" s="32">
        <v>83.0</v>
      </c>
      <c r="B89" s="33" t="s">
        <v>102</v>
      </c>
      <c r="C89" s="34">
        <v>5.0</v>
      </c>
      <c r="D89" s="35">
        <v>45997.0</v>
      </c>
      <c r="E89" s="36">
        <f t="shared" si="5"/>
        <v>45997</v>
      </c>
      <c r="F89" s="37">
        <v>677.0</v>
      </c>
      <c r="G89" s="38">
        <v>750.0</v>
      </c>
      <c r="H89" s="39">
        <f t="shared" si="6"/>
        <v>0.9026666667</v>
      </c>
      <c r="I89" s="37">
        <v>20064.5</v>
      </c>
      <c r="J89" s="57">
        <f t="shared" si="7"/>
        <v>29.63737075</v>
      </c>
      <c r="K89" s="37">
        <v>17342.0</v>
      </c>
      <c r="L89" s="57">
        <f t="shared" si="8"/>
        <v>25.61595273</v>
      </c>
      <c r="M89" s="38">
        <f>5000+200+200</f>
        <v>5400</v>
      </c>
      <c r="N89" s="43">
        <f t="shared" si="9"/>
        <v>0.2691320491</v>
      </c>
      <c r="O89" s="37">
        <v>7481.13</v>
      </c>
      <c r="P89" s="38">
        <f t="shared" si="10"/>
        <v>17342</v>
      </c>
      <c r="Q89" s="44">
        <f t="shared" si="11"/>
        <v>24823.13</v>
      </c>
    </row>
    <row r="90" ht="15.75" customHeight="1">
      <c r="A90" s="45">
        <v>84.0</v>
      </c>
      <c r="B90" s="46" t="s">
        <v>103</v>
      </c>
      <c r="C90" s="47">
        <v>1.0</v>
      </c>
      <c r="D90" s="48">
        <v>45999.0</v>
      </c>
      <c r="E90" s="49">
        <f t="shared" si="5"/>
        <v>45999</v>
      </c>
      <c r="F90" s="50">
        <v>215.0</v>
      </c>
      <c r="G90" s="51">
        <v>750.0</v>
      </c>
      <c r="H90" s="52">
        <f t="shared" si="6"/>
        <v>0.2866666667</v>
      </c>
      <c r="I90" s="50">
        <v>6341.25</v>
      </c>
      <c r="J90" s="53">
        <f t="shared" si="7"/>
        <v>29.49418605</v>
      </c>
      <c r="K90" s="50">
        <v>2388.0</v>
      </c>
      <c r="L90" s="53">
        <f t="shared" si="8"/>
        <v>11.10697674</v>
      </c>
      <c r="M90" s="51">
        <f>(4000+500)</f>
        <v>4500</v>
      </c>
      <c r="N90" s="54">
        <f t="shared" si="9"/>
        <v>0.7096392667</v>
      </c>
      <c r="O90" s="55">
        <v>-1266.05</v>
      </c>
      <c r="P90" s="51">
        <f t="shared" si="10"/>
        <v>2388</v>
      </c>
      <c r="Q90" s="62">
        <f t="shared" si="11"/>
        <v>1121.95</v>
      </c>
    </row>
    <row r="91" ht="15.75" customHeight="1">
      <c r="A91" s="32">
        <v>85.0</v>
      </c>
      <c r="B91" s="33" t="s">
        <v>104</v>
      </c>
      <c r="C91" s="34">
        <v>2.0</v>
      </c>
      <c r="D91" s="35">
        <v>46004.0</v>
      </c>
      <c r="E91" s="36">
        <f t="shared" si="5"/>
        <v>46004</v>
      </c>
      <c r="F91" s="37">
        <v>191.0</v>
      </c>
      <c r="G91" s="38">
        <v>800.0</v>
      </c>
      <c r="H91" s="39">
        <f t="shared" si="6"/>
        <v>0.23875</v>
      </c>
      <c r="I91" s="37">
        <v>4232.5</v>
      </c>
      <c r="J91" s="57">
        <f t="shared" si="7"/>
        <v>22.15968586</v>
      </c>
      <c r="K91" s="37">
        <v>3068.0</v>
      </c>
      <c r="L91" s="57">
        <f t="shared" si="8"/>
        <v>16.06282723</v>
      </c>
      <c r="M91" s="38">
        <f>(3500+400+150)</f>
        <v>4050</v>
      </c>
      <c r="N91" s="43">
        <f t="shared" si="9"/>
        <v>0.9568812758</v>
      </c>
      <c r="O91" s="58">
        <v>-2726.17</v>
      </c>
      <c r="P91" s="38">
        <f t="shared" si="10"/>
        <v>3068</v>
      </c>
      <c r="Q91" s="44">
        <f t="shared" si="11"/>
        <v>341.83</v>
      </c>
    </row>
    <row r="92" ht="15.75" customHeight="1">
      <c r="A92" s="45">
        <v>86.0</v>
      </c>
      <c r="B92" s="46" t="s">
        <v>105</v>
      </c>
      <c r="C92" s="47">
        <v>5.0</v>
      </c>
      <c r="D92" s="48">
        <v>46007.0</v>
      </c>
      <c r="E92" s="49">
        <f t="shared" si="5"/>
        <v>46007</v>
      </c>
      <c r="F92" s="50">
        <v>551.0</v>
      </c>
      <c r="G92" s="51">
        <v>800.0</v>
      </c>
      <c r="H92" s="52">
        <f t="shared" si="6"/>
        <v>0.68875</v>
      </c>
      <c r="I92" s="50">
        <v>18592.49</v>
      </c>
      <c r="J92" s="53">
        <f t="shared" si="7"/>
        <v>33.74317604</v>
      </c>
      <c r="K92" s="50">
        <v>6549.0</v>
      </c>
      <c r="L92" s="53">
        <f t="shared" si="8"/>
        <v>11.88566243</v>
      </c>
      <c r="M92" s="51">
        <f>(10000+500)</f>
        <v>10500</v>
      </c>
      <c r="N92" s="54">
        <f t="shared" si="9"/>
        <v>0.5647441521</v>
      </c>
      <c r="O92" s="55">
        <v>3941.72</v>
      </c>
      <c r="P92" s="51">
        <f t="shared" si="10"/>
        <v>6549</v>
      </c>
      <c r="Q92" s="56">
        <f t="shared" si="11"/>
        <v>10490.72</v>
      </c>
    </row>
    <row r="93" ht="15.75" customHeight="1">
      <c r="A93" s="32">
        <v>87.0</v>
      </c>
      <c r="B93" s="33" t="s">
        <v>106</v>
      </c>
      <c r="C93" s="34">
        <v>5.0</v>
      </c>
      <c r="D93" s="35">
        <v>46011.0</v>
      </c>
      <c r="E93" s="36">
        <f t="shared" si="5"/>
        <v>46011</v>
      </c>
      <c r="F93" s="37">
        <v>203.0</v>
      </c>
      <c r="G93" s="38">
        <v>750.0</v>
      </c>
      <c r="H93" s="39">
        <f t="shared" si="6"/>
        <v>0.2706666667</v>
      </c>
      <c r="I93" s="37">
        <v>6719.5</v>
      </c>
      <c r="J93" s="57">
        <f t="shared" si="7"/>
        <v>33.10098522</v>
      </c>
      <c r="K93" s="37">
        <v>8181.0</v>
      </c>
      <c r="L93" s="57">
        <f t="shared" si="8"/>
        <v>40.30049261</v>
      </c>
      <c r="M93" s="38">
        <f>12500+200+200</f>
        <v>12900</v>
      </c>
      <c r="N93" s="43">
        <f t="shared" si="9"/>
        <v>1.919785698</v>
      </c>
      <c r="O93" s="58">
        <v>-9654.7</v>
      </c>
      <c r="P93" s="38">
        <f t="shared" si="10"/>
        <v>8181</v>
      </c>
      <c r="Q93" s="63">
        <f t="shared" si="11"/>
        <v>-1473.7</v>
      </c>
    </row>
    <row r="94" ht="15.75" customHeight="1">
      <c r="A94" s="45">
        <v>88.0</v>
      </c>
      <c r="B94" s="46" t="s">
        <v>107</v>
      </c>
      <c r="C94" s="47">
        <v>1.0</v>
      </c>
      <c r="D94" s="48">
        <v>46017.0</v>
      </c>
      <c r="E94" s="49">
        <f t="shared" si="5"/>
        <v>46017</v>
      </c>
      <c r="F94" s="50">
        <v>725.0</v>
      </c>
      <c r="G94" s="51">
        <v>725.0</v>
      </c>
      <c r="H94" s="52">
        <f t="shared" si="6"/>
        <v>1</v>
      </c>
      <c r="I94" s="50">
        <v>18387.56</v>
      </c>
      <c r="J94" s="53">
        <f t="shared" si="7"/>
        <v>25.36215172</v>
      </c>
      <c r="K94" s="50">
        <v>11799.0</v>
      </c>
      <c r="L94" s="53">
        <f t="shared" si="8"/>
        <v>16.27448276</v>
      </c>
      <c r="M94" s="51">
        <f>8184.48+850+500+250+250</f>
        <v>10034.48</v>
      </c>
      <c r="N94" s="54">
        <f t="shared" si="9"/>
        <v>0.5457211289</v>
      </c>
      <c r="O94" s="55">
        <v>4490.66</v>
      </c>
      <c r="P94" s="51">
        <f t="shared" si="10"/>
        <v>11799</v>
      </c>
      <c r="Q94" s="56">
        <f t="shared" si="11"/>
        <v>16289.66</v>
      </c>
    </row>
    <row r="95" ht="15.75" customHeight="1">
      <c r="A95" s="32">
        <v>89.0</v>
      </c>
      <c r="B95" s="33" t="s">
        <v>108</v>
      </c>
      <c r="C95" s="34">
        <v>5.0</v>
      </c>
      <c r="D95" s="35">
        <v>46022.0</v>
      </c>
      <c r="E95" s="36">
        <f t="shared" si="5"/>
        <v>46022</v>
      </c>
      <c r="F95" s="37">
        <v>754.0</v>
      </c>
      <c r="G95" s="38">
        <v>800.0</v>
      </c>
      <c r="H95" s="39">
        <f t="shared" si="6"/>
        <v>0.9425</v>
      </c>
      <c r="I95" s="37">
        <v>28019.5</v>
      </c>
      <c r="J95" s="57">
        <f t="shared" si="7"/>
        <v>37.16114058</v>
      </c>
      <c r="K95" s="37">
        <v>21170.0</v>
      </c>
      <c r="L95" s="57">
        <f t="shared" si="8"/>
        <v>28.07692308</v>
      </c>
      <c r="M95" s="38">
        <f>(10000+1000+1000+400)</f>
        <v>12400</v>
      </c>
      <c r="N95" s="43">
        <f t="shared" si="9"/>
        <v>0.4425489391</v>
      </c>
      <c r="O95" s="37">
        <v>8143.95</v>
      </c>
      <c r="P95" s="38">
        <f t="shared" si="10"/>
        <v>21170</v>
      </c>
      <c r="Q95" s="44">
        <f t="shared" si="11"/>
        <v>29313.95</v>
      </c>
    </row>
    <row r="96" ht="15.75" customHeight="1">
      <c r="A96" s="45">
        <v>90.0</v>
      </c>
      <c r="B96" s="70"/>
      <c r="C96" s="61"/>
      <c r="D96" s="67">
        <v>45615.0</v>
      </c>
      <c r="E96" s="49">
        <f t="shared" si="5"/>
        <v>45615</v>
      </c>
      <c r="F96" s="51"/>
      <c r="G96" s="51">
        <v>750.0</v>
      </c>
      <c r="H96" s="52">
        <f t="shared" si="6"/>
        <v>0</v>
      </c>
      <c r="I96" s="51"/>
      <c r="J96" s="53" t="str">
        <f t="shared" si="7"/>
        <v/>
      </c>
      <c r="K96" s="51"/>
      <c r="L96" s="53" t="str">
        <f t="shared" si="8"/>
        <v/>
      </c>
      <c r="M96" s="51"/>
      <c r="N96" s="54" t="str">
        <f t="shared" si="9"/>
        <v/>
      </c>
      <c r="O96" s="51"/>
      <c r="P96" s="51" t="str">
        <f t="shared" si="10"/>
        <v/>
      </c>
      <c r="Q96" s="56">
        <f t="shared" si="11"/>
        <v>0</v>
      </c>
    </row>
    <row r="97" ht="15.75" customHeight="1">
      <c r="A97" s="32">
        <v>91.0</v>
      </c>
      <c r="B97" s="71"/>
      <c r="C97" s="72"/>
      <c r="D97" s="64">
        <v>45618.0</v>
      </c>
      <c r="E97" s="36">
        <f t="shared" si="5"/>
        <v>45618</v>
      </c>
      <c r="F97" s="38"/>
      <c r="G97" s="38">
        <v>800.0</v>
      </c>
      <c r="H97" s="39">
        <f t="shared" si="6"/>
        <v>0</v>
      </c>
      <c r="I97" s="38"/>
      <c r="J97" s="57" t="str">
        <f t="shared" si="7"/>
        <v/>
      </c>
      <c r="K97" s="38"/>
      <c r="L97" s="57" t="str">
        <f t="shared" si="8"/>
        <v/>
      </c>
      <c r="M97" s="38"/>
      <c r="N97" s="43" t="str">
        <f t="shared" si="9"/>
        <v/>
      </c>
      <c r="O97" s="38"/>
      <c r="P97" s="38" t="str">
        <f t="shared" si="10"/>
        <v/>
      </c>
      <c r="Q97" s="44">
        <f t="shared" si="11"/>
        <v>0</v>
      </c>
    </row>
    <row r="98" ht="15.75" customHeight="1">
      <c r="A98" s="45">
        <v>92.0</v>
      </c>
      <c r="B98" s="70"/>
      <c r="C98" s="61"/>
      <c r="D98" s="67">
        <v>45619.0</v>
      </c>
      <c r="E98" s="49">
        <f t="shared" si="5"/>
        <v>45619</v>
      </c>
      <c r="F98" s="51"/>
      <c r="G98" s="51">
        <v>800.0</v>
      </c>
      <c r="H98" s="52">
        <f t="shared" si="6"/>
        <v>0</v>
      </c>
      <c r="I98" s="51"/>
      <c r="J98" s="53" t="str">
        <f t="shared" si="7"/>
        <v/>
      </c>
      <c r="K98" s="51"/>
      <c r="L98" s="53" t="str">
        <f t="shared" si="8"/>
        <v/>
      </c>
      <c r="M98" s="51"/>
      <c r="N98" s="54" t="str">
        <f t="shared" si="9"/>
        <v/>
      </c>
      <c r="O98" s="60"/>
      <c r="P98" s="51" t="str">
        <f t="shared" si="10"/>
        <v/>
      </c>
      <c r="Q98" s="56">
        <f t="shared" si="11"/>
        <v>0</v>
      </c>
    </row>
    <row r="99" ht="15.75" customHeight="1">
      <c r="A99" s="32">
        <v>93.0</v>
      </c>
      <c r="B99" s="71"/>
      <c r="C99" s="72"/>
      <c r="D99" s="64">
        <v>45625.0</v>
      </c>
      <c r="E99" s="36">
        <f t="shared" si="5"/>
        <v>45625</v>
      </c>
      <c r="F99" s="38"/>
      <c r="G99" s="38">
        <v>800.0</v>
      </c>
      <c r="H99" s="39">
        <f t="shared" si="6"/>
        <v>0</v>
      </c>
      <c r="I99" s="38"/>
      <c r="J99" s="57" t="str">
        <f t="shared" si="7"/>
        <v/>
      </c>
      <c r="K99" s="38"/>
      <c r="L99" s="57" t="str">
        <f t="shared" si="8"/>
        <v/>
      </c>
      <c r="M99" s="38"/>
      <c r="N99" s="43" t="str">
        <f t="shared" si="9"/>
        <v/>
      </c>
      <c r="O99" s="68"/>
      <c r="P99" s="38" t="str">
        <f t="shared" si="10"/>
        <v/>
      </c>
      <c r="Q99" s="44">
        <f t="shared" si="11"/>
        <v>0</v>
      </c>
    </row>
    <row r="100" ht="15.75" customHeight="1">
      <c r="A100" s="45">
        <v>94.0</v>
      </c>
      <c r="B100" s="70"/>
      <c r="C100" s="61"/>
      <c r="D100" s="67">
        <v>45626.0</v>
      </c>
      <c r="E100" s="49">
        <f t="shared" si="5"/>
        <v>45626</v>
      </c>
      <c r="F100" s="51"/>
      <c r="G100" s="51">
        <v>800.0</v>
      </c>
      <c r="H100" s="52">
        <f t="shared" si="6"/>
        <v>0</v>
      </c>
      <c r="I100" s="51"/>
      <c r="J100" s="53" t="str">
        <f t="shared" si="7"/>
        <v/>
      </c>
      <c r="K100" s="51"/>
      <c r="L100" s="53" t="str">
        <f t="shared" si="8"/>
        <v/>
      </c>
      <c r="M100" s="51"/>
      <c r="N100" s="54" t="str">
        <f t="shared" si="9"/>
        <v/>
      </c>
      <c r="O100" s="60"/>
      <c r="P100" s="51" t="str">
        <f t="shared" si="10"/>
        <v/>
      </c>
      <c r="Q100" s="56">
        <f t="shared" si="11"/>
        <v>0</v>
      </c>
    </row>
    <row r="101" ht="15.75" customHeight="1">
      <c r="A101" s="32">
        <v>95.0</v>
      </c>
      <c r="B101" s="71"/>
      <c r="C101" s="72"/>
      <c r="D101" s="64">
        <v>45627.0</v>
      </c>
      <c r="E101" s="36">
        <f t="shared" si="5"/>
        <v>45627</v>
      </c>
      <c r="F101" s="38"/>
      <c r="G101" s="38">
        <v>750.0</v>
      </c>
      <c r="H101" s="39">
        <f t="shared" si="6"/>
        <v>0</v>
      </c>
      <c r="I101" s="38"/>
      <c r="J101" s="57" t="str">
        <f t="shared" si="7"/>
        <v/>
      </c>
      <c r="K101" s="38"/>
      <c r="L101" s="57" t="str">
        <f t="shared" si="8"/>
        <v/>
      </c>
      <c r="M101" s="38"/>
      <c r="N101" s="43" t="str">
        <f t="shared" si="9"/>
        <v/>
      </c>
      <c r="O101" s="38"/>
      <c r="P101" s="38" t="str">
        <f t="shared" si="10"/>
        <v/>
      </c>
      <c r="Q101" s="44">
        <f t="shared" si="11"/>
        <v>0</v>
      </c>
    </row>
    <row r="102" ht="15.75" customHeight="1">
      <c r="A102" s="45">
        <v>96.0</v>
      </c>
      <c r="B102" s="70"/>
      <c r="C102" s="61"/>
      <c r="D102" s="67">
        <v>45632.0</v>
      </c>
      <c r="E102" s="49">
        <f t="shared" si="5"/>
        <v>45632</v>
      </c>
      <c r="F102" s="51"/>
      <c r="G102" s="51">
        <v>700.0</v>
      </c>
      <c r="H102" s="52">
        <f t="shared" si="6"/>
        <v>0</v>
      </c>
      <c r="I102" s="51"/>
      <c r="J102" s="53" t="str">
        <f t="shared" si="7"/>
        <v/>
      </c>
      <c r="K102" s="51"/>
      <c r="L102" s="53" t="str">
        <f t="shared" si="8"/>
        <v/>
      </c>
      <c r="M102" s="51"/>
      <c r="N102" s="54" t="str">
        <f t="shared" si="9"/>
        <v/>
      </c>
      <c r="O102" s="51"/>
      <c r="P102" s="51" t="str">
        <f t="shared" si="10"/>
        <v/>
      </c>
      <c r="Q102" s="56">
        <f t="shared" si="11"/>
        <v>0</v>
      </c>
    </row>
    <row r="103" ht="15.75" customHeight="1">
      <c r="A103" s="32">
        <v>97.0</v>
      </c>
      <c r="B103" s="71"/>
      <c r="C103" s="72"/>
      <c r="D103" s="64">
        <v>45633.0</v>
      </c>
      <c r="E103" s="36">
        <f t="shared" si="5"/>
        <v>45633</v>
      </c>
      <c r="F103" s="38"/>
      <c r="G103" s="38">
        <v>800.0</v>
      </c>
      <c r="H103" s="39">
        <f t="shared" si="6"/>
        <v>0</v>
      </c>
      <c r="I103" s="38"/>
      <c r="J103" s="57" t="str">
        <f t="shared" si="7"/>
        <v/>
      </c>
      <c r="K103" s="38"/>
      <c r="L103" s="57" t="str">
        <f t="shared" si="8"/>
        <v/>
      </c>
      <c r="M103" s="38"/>
      <c r="N103" s="43" t="str">
        <f t="shared" si="9"/>
        <v/>
      </c>
      <c r="O103" s="38"/>
      <c r="P103" s="38" t="str">
        <f t="shared" si="10"/>
        <v/>
      </c>
      <c r="Q103" s="44">
        <f t="shared" si="11"/>
        <v>0</v>
      </c>
    </row>
    <row r="104" ht="15.75" customHeight="1">
      <c r="A104" s="45">
        <v>98.0</v>
      </c>
      <c r="B104" s="70"/>
      <c r="C104" s="61"/>
      <c r="D104" s="67">
        <v>45640.0</v>
      </c>
      <c r="E104" s="49">
        <f t="shared" si="5"/>
        <v>45640</v>
      </c>
      <c r="F104" s="51"/>
      <c r="G104" s="51">
        <v>750.0</v>
      </c>
      <c r="H104" s="52">
        <f t="shared" si="6"/>
        <v>0</v>
      </c>
      <c r="I104" s="51"/>
      <c r="J104" s="53" t="str">
        <f t="shared" si="7"/>
        <v/>
      </c>
      <c r="K104" s="51"/>
      <c r="L104" s="53" t="str">
        <f t="shared" si="8"/>
        <v/>
      </c>
      <c r="M104" s="51"/>
      <c r="N104" s="54" t="str">
        <f t="shared" si="9"/>
        <v/>
      </c>
      <c r="O104" s="60"/>
      <c r="P104" s="51" t="str">
        <f t="shared" si="10"/>
        <v/>
      </c>
      <c r="Q104" s="56">
        <f t="shared" si="11"/>
        <v>0</v>
      </c>
    </row>
    <row r="105" ht="15.75" customHeight="1">
      <c r="A105" s="32">
        <v>99.0</v>
      </c>
      <c r="B105" s="71"/>
      <c r="C105" s="72"/>
      <c r="D105" s="64">
        <v>45652.0</v>
      </c>
      <c r="E105" s="36">
        <f t="shared" si="5"/>
        <v>45652</v>
      </c>
      <c r="F105" s="38"/>
      <c r="G105" s="38">
        <v>700.0</v>
      </c>
      <c r="H105" s="39">
        <f t="shared" si="6"/>
        <v>0</v>
      </c>
      <c r="I105" s="38"/>
      <c r="J105" s="57" t="str">
        <f t="shared" si="7"/>
        <v/>
      </c>
      <c r="K105" s="38"/>
      <c r="L105" s="57" t="str">
        <f t="shared" si="8"/>
        <v/>
      </c>
      <c r="M105" s="38"/>
      <c r="N105" s="43" t="str">
        <f t="shared" si="9"/>
        <v/>
      </c>
      <c r="O105" s="38"/>
      <c r="P105" s="38" t="str">
        <f t="shared" si="10"/>
        <v/>
      </c>
      <c r="Q105" s="44">
        <f t="shared" si="11"/>
        <v>0</v>
      </c>
    </row>
    <row r="106" ht="15.75" customHeight="1">
      <c r="A106" s="45">
        <v>100.0</v>
      </c>
      <c r="B106" s="70"/>
      <c r="C106" s="61"/>
      <c r="D106" s="67">
        <v>45657.0</v>
      </c>
      <c r="E106" s="49">
        <f t="shared" si="5"/>
        <v>45657</v>
      </c>
      <c r="F106" s="51"/>
      <c r="G106" s="51">
        <v>800.0</v>
      </c>
      <c r="H106" s="52">
        <f t="shared" si="6"/>
        <v>0</v>
      </c>
      <c r="I106" s="51"/>
      <c r="J106" s="53" t="str">
        <f t="shared" si="7"/>
        <v/>
      </c>
      <c r="K106" s="51"/>
      <c r="L106" s="53" t="str">
        <f t="shared" si="8"/>
        <v/>
      </c>
      <c r="M106" s="51"/>
      <c r="N106" s="54" t="str">
        <f t="shared" si="9"/>
        <v/>
      </c>
      <c r="O106" s="51"/>
      <c r="P106" s="51" t="str">
        <f t="shared" si="10"/>
        <v/>
      </c>
      <c r="Q106" s="56">
        <f t="shared" si="11"/>
        <v>0</v>
      </c>
    </row>
    <row r="107" ht="15.75" customHeight="1">
      <c r="A107" s="32"/>
      <c r="B107" s="71"/>
      <c r="C107" s="72"/>
      <c r="D107" s="64"/>
      <c r="E107" s="36"/>
      <c r="F107" s="38"/>
      <c r="G107" s="38"/>
      <c r="H107" s="39"/>
      <c r="I107" s="38"/>
      <c r="J107" s="57"/>
      <c r="K107" s="38"/>
      <c r="L107" s="57"/>
      <c r="M107" s="38"/>
      <c r="N107" s="43"/>
      <c r="O107" s="38"/>
      <c r="P107" s="38"/>
      <c r="Q107" s="44"/>
    </row>
    <row r="108" ht="15.75" customHeight="1">
      <c r="A108" s="45"/>
      <c r="B108" s="70" t="s">
        <v>109</v>
      </c>
      <c r="C108" s="61"/>
      <c r="D108" s="67"/>
      <c r="E108" s="49"/>
      <c r="F108" s="51"/>
      <c r="G108" s="51"/>
      <c r="H108" s="52"/>
      <c r="I108" s="51"/>
      <c r="J108" s="53"/>
      <c r="K108" s="51"/>
      <c r="L108" s="53"/>
      <c r="M108" s="51"/>
      <c r="N108" s="54"/>
      <c r="O108" s="51"/>
      <c r="P108" s="51"/>
      <c r="Q108" s="56"/>
    </row>
    <row r="109" ht="15.75" customHeight="1">
      <c r="A109" s="32"/>
      <c r="B109" s="71" t="s">
        <v>110</v>
      </c>
      <c r="C109" s="72"/>
      <c r="D109" s="64"/>
      <c r="E109" s="36"/>
      <c r="F109" s="38"/>
      <c r="G109" s="38"/>
      <c r="H109" s="39"/>
      <c r="I109" s="38"/>
      <c r="J109" s="57"/>
      <c r="K109" s="38"/>
      <c r="L109" s="57"/>
      <c r="M109" s="38"/>
      <c r="N109" s="43"/>
      <c r="O109" s="38"/>
      <c r="P109" s="38"/>
      <c r="Q109" s="44"/>
    </row>
    <row r="110" ht="15.75" customHeight="1">
      <c r="A110" s="45"/>
      <c r="B110" s="70" t="s">
        <v>111</v>
      </c>
      <c r="C110" s="61"/>
      <c r="D110" s="67"/>
      <c r="E110" s="49"/>
      <c r="F110" s="51"/>
      <c r="G110" s="51"/>
      <c r="H110" s="52"/>
      <c r="I110" s="51"/>
      <c r="J110" s="53"/>
      <c r="K110" s="51"/>
      <c r="L110" s="53"/>
      <c r="M110" s="51"/>
      <c r="N110" s="54"/>
      <c r="O110" s="51"/>
      <c r="P110" s="51"/>
      <c r="Q110" s="56"/>
    </row>
    <row r="111" ht="15.75" customHeight="1">
      <c r="A111" s="32"/>
      <c r="B111" s="71" t="s">
        <v>112</v>
      </c>
      <c r="C111" s="72"/>
      <c r="D111" s="64"/>
      <c r="E111" s="36"/>
      <c r="F111" s="38"/>
      <c r="G111" s="38"/>
      <c r="H111" s="39"/>
      <c r="I111" s="38"/>
      <c r="J111" s="57"/>
      <c r="K111" s="38"/>
      <c r="L111" s="57"/>
      <c r="M111" s="38"/>
      <c r="N111" s="43"/>
      <c r="O111" s="38"/>
      <c r="P111" s="38"/>
      <c r="Q111" s="44"/>
    </row>
    <row r="112" ht="15.75" customHeight="1">
      <c r="A112" s="45"/>
      <c r="B112" s="70" t="s">
        <v>113</v>
      </c>
      <c r="C112" s="61"/>
      <c r="D112" s="67"/>
      <c r="E112" s="49"/>
      <c r="F112" s="51"/>
      <c r="G112" s="51"/>
      <c r="H112" s="52"/>
      <c r="I112" s="51"/>
      <c r="J112" s="53"/>
      <c r="K112" s="51"/>
      <c r="L112" s="53"/>
      <c r="M112" s="51"/>
      <c r="N112" s="54"/>
      <c r="O112" s="51"/>
      <c r="P112" s="51"/>
      <c r="Q112" s="56"/>
    </row>
    <row r="113" ht="15.75" customHeight="1">
      <c r="A113" s="32"/>
      <c r="B113" s="71" t="s">
        <v>114</v>
      </c>
      <c r="C113" s="72"/>
      <c r="D113" s="64"/>
      <c r="E113" s="36"/>
      <c r="F113" s="38"/>
      <c r="G113" s="38"/>
      <c r="H113" s="39"/>
      <c r="I113" s="38"/>
      <c r="J113" s="57"/>
      <c r="K113" s="38"/>
      <c r="L113" s="57"/>
      <c r="M113" s="38"/>
      <c r="N113" s="43"/>
      <c r="O113" s="38"/>
      <c r="P113" s="38"/>
      <c r="Q113" s="44"/>
    </row>
    <row r="114" ht="15.75" customHeight="1">
      <c r="A114" s="45"/>
      <c r="B114" s="70" t="s">
        <v>115</v>
      </c>
      <c r="C114" s="61"/>
      <c r="D114" s="67"/>
      <c r="E114" s="49"/>
      <c r="F114" s="51"/>
      <c r="G114" s="51"/>
      <c r="H114" s="52"/>
      <c r="I114" s="51"/>
      <c r="J114" s="53"/>
      <c r="K114" s="51"/>
      <c r="L114" s="53"/>
      <c r="M114" s="51"/>
      <c r="N114" s="54"/>
      <c r="O114" s="51"/>
      <c r="P114" s="51"/>
      <c r="Q114" s="56"/>
    </row>
    <row r="115" ht="15.75" customHeight="1">
      <c r="A115" s="32"/>
      <c r="B115" s="71" t="s">
        <v>116</v>
      </c>
      <c r="C115" s="72"/>
      <c r="D115" s="64"/>
      <c r="E115" s="36"/>
      <c r="F115" s="38"/>
      <c r="G115" s="38"/>
      <c r="H115" s="39"/>
      <c r="I115" s="38"/>
      <c r="J115" s="57"/>
      <c r="K115" s="38"/>
      <c r="L115" s="57"/>
      <c r="M115" s="38"/>
      <c r="N115" s="43"/>
      <c r="O115" s="38"/>
      <c r="P115" s="38"/>
      <c r="Q115" s="44"/>
    </row>
    <row r="116" ht="15.75" customHeight="1">
      <c r="A116" s="45"/>
      <c r="B116" s="70"/>
      <c r="C116" s="61"/>
      <c r="D116" s="67"/>
      <c r="E116" s="49"/>
      <c r="F116" s="51"/>
      <c r="G116" s="51"/>
      <c r="H116" s="52"/>
      <c r="I116" s="51"/>
      <c r="J116" s="53"/>
      <c r="K116" s="51"/>
      <c r="L116" s="53"/>
      <c r="M116" s="51"/>
      <c r="N116" s="54"/>
      <c r="O116" s="51"/>
      <c r="P116" s="51"/>
      <c r="Q116" s="56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3">
    <mergeCell ref="O1:Q1"/>
    <mergeCell ref="B2:N2"/>
    <mergeCell ref="O2:Q2"/>
  </mergeCells>
  <printOptions horizontalCentered="1"/>
  <pageMargins bottom="0.75" footer="0.0" header="0.0" left="0.0" right="0.0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0"/>
    <col customWidth="1" min="3" max="3" width="3.29"/>
    <col customWidth="1" min="4" max="4" width="7.86"/>
    <col customWidth="1" min="5" max="5" width="0.29"/>
    <col customWidth="1" min="6" max="7" width="8.71"/>
    <col customWidth="1" min="8" max="8" width="9.29"/>
    <col customWidth="1" min="9" max="9" width="12.71"/>
    <col customWidth="1" min="10" max="10" width="10.86"/>
    <col customWidth="1" min="11" max="11" width="12.0"/>
    <col customWidth="1" min="12" max="12" width="9.71"/>
    <col customWidth="1" min="13" max="13" width="11.0"/>
    <col customWidth="1" min="14" max="14" width="9.14"/>
    <col customWidth="1" min="15" max="15" width="12.57"/>
    <col customWidth="1" min="16" max="16" width="10.71"/>
    <col customWidth="1" min="17" max="17" width="13.71"/>
    <col customWidth="1" min="18" max="18" width="8.71"/>
    <col customWidth="1" min="19" max="19" width="13.0"/>
    <col customWidth="1" min="20" max="20" width="10.14"/>
    <col customWidth="1" min="21" max="21" width="13.71"/>
    <col customWidth="1" min="22" max="22" width="11.14"/>
    <col customWidth="1" min="23" max="26" width="8.71"/>
  </cols>
  <sheetData>
    <row r="1">
      <c r="Q1" s="73"/>
      <c r="U1" s="73"/>
    </row>
    <row r="2" ht="15.0" customHeight="1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74" t="s">
        <v>117</v>
      </c>
      <c r="P2" s="3"/>
      <c r="Q2" s="3"/>
      <c r="R2" s="4"/>
      <c r="S2" s="6" t="s">
        <v>118</v>
      </c>
      <c r="T2" s="3"/>
      <c r="U2" s="4"/>
    </row>
    <row r="3">
      <c r="B3" s="7" t="s">
        <v>3</v>
      </c>
      <c r="C3" s="8"/>
      <c r="D3" s="9" t="s">
        <v>119</v>
      </c>
      <c r="E3" s="9" t="s">
        <v>120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75" t="s">
        <v>121</v>
      </c>
      <c r="S3" s="12" t="s">
        <v>16</v>
      </c>
      <c r="T3" s="13" t="s">
        <v>122</v>
      </c>
      <c r="U3" s="14" t="s">
        <v>18</v>
      </c>
    </row>
    <row r="4">
      <c r="B4" s="15" t="s">
        <v>19</v>
      </c>
      <c r="C4" s="16"/>
      <c r="D4" s="17">
        <f t="shared" ref="D4:E4" si="1">SUM(D7:D16)</f>
        <v>0</v>
      </c>
      <c r="E4" s="17">
        <f t="shared" si="1"/>
        <v>0</v>
      </c>
      <c r="F4" s="18">
        <f t="shared" ref="F4:G4" si="2">SUM(F7:F81)</f>
        <v>30956</v>
      </c>
      <c r="G4" s="18">
        <f t="shared" si="2"/>
        <v>62577</v>
      </c>
      <c r="H4" s="19"/>
      <c r="I4" s="20">
        <f>SUM(I7:I81)</f>
        <v>1079142.95</v>
      </c>
      <c r="J4" s="19"/>
      <c r="K4" s="20">
        <f>SUM(K7:K81)</f>
        <v>693608.5</v>
      </c>
      <c r="L4" s="19"/>
      <c r="M4" s="20">
        <f t="shared" ref="M4:R4" si="3">SUM(M7:M81)</f>
        <v>594276.39</v>
      </c>
      <c r="N4" s="21" t="str">
        <f t="shared" si="3"/>
        <v>#DIV/0!</v>
      </c>
      <c r="O4" s="76">
        <f t="shared" si="3"/>
        <v>111503.69</v>
      </c>
      <c r="P4" s="20">
        <f t="shared" si="3"/>
        <v>693608.5</v>
      </c>
      <c r="Q4" s="22">
        <f t="shared" si="3"/>
        <v>805112.19</v>
      </c>
      <c r="R4" s="77">
        <f t="shared" si="3"/>
        <v>1</v>
      </c>
      <c r="S4" s="78"/>
      <c r="T4" s="79"/>
      <c r="U4" s="21"/>
    </row>
    <row r="5">
      <c r="B5" s="15" t="s">
        <v>20</v>
      </c>
      <c r="C5" s="16"/>
      <c r="D5" s="17"/>
      <c r="E5" s="17"/>
      <c r="F5" s="18" t="str">
        <f>F4/D4</f>
        <v>#DIV/0!</v>
      </c>
      <c r="G5" s="18" t="str">
        <f>G4/D4</f>
        <v>#DIV/0!</v>
      </c>
      <c r="H5" s="23">
        <f>F4/G4</f>
        <v>0.4946865462</v>
      </c>
      <c r="I5" s="20" t="str">
        <f>I4/D4</f>
        <v>#DIV/0!</v>
      </c>
      <c r="J5" s="24">
        <f>I4/F4</f>
        <v>34.86054238</v>
      </c>
      <c r="K5" s="20" t="str">
        <f>K4/E4</f>
        <v>#DIV/0!</v>
      </c>
      <c r="L5" s="24">
        <f>K4/F4</f>
        <v>22.40627019</v>
      </c>
      <c r="M5" s="20" t="str">
        <f>M4/D4</f>
        <v>#DIV/0!</v>
      </c>
      <c r="N5" s="25">
        <f>M4/I4</f>
        <v>0.5506929272</v>
      </c>
      <c r="O5" s="76" t="str">
        <f>O4/E4</f>
        <v>#DIV/0!</v>
      </c>
      <c r="P5" s="20" t="str">
        <f>P4/E4</f>
        <v>#DIV/0!</v>
      </c>
      <c r="Q5" s="22" t="str">
        <f>Q4/E4</f>
        <v>#DIV/0!</v>
      </c>
      <c r="R5" s="21"/>
      <c r="S5" s="78"/>
      <c r="T5" s="79"/>
      <c r="U5" s="21"/>
    </row>
    <row r="6">
      <c r="B6" s="80"/>
      <c r="N6" s="81"/>
      <c r="O6" s="80"/>
      <c r="R6" s="81"/>
      <c r="S6" s="80"/>
      <c r="U6" s="81"/>
    </row>
    <row r="7">
      <c r="A7" s="82">
        <v>5.0</v>
      </c>
      <c r="B7" s="83" t="s">
        <v>123</v>
      </c>
      <c r="C7" s="84"/>
      <c r="D7" s="84">
        <f t="array" ref="D7">COUNTIF('Magic Stick'!C:C,A:A)</f>
        <v>0</v>
      </c>
      <c r="E7" s="84">
        <f t="array" ref="E7">COUNTIF('Magic Stick'!C:C,A:A)</f>
        <v>0</v>
      </c>
      <c r="F7" s="85">
        <f>SUMIF('Magic Stick'!$C:$C,A:A,'Magic Stick'!$F:$F)</f>
        <v>17464</v>
      </c>
      <c r="G7" s="85">
        <f>SUMIF('Magic Stick'!$C:$C,A:A,'Magic Stick'!$G:$G)</f>
        <v>28685</v>
      </c>
      <c r="H7" s="86">
        <f t="shared" ref="H7:H12" si="4">F7/G7</f>
        <v>0.6088199407</v>
      </c>
      <c r="I7" s="87">
        <f>SUMIF('Magic Stick'!$C:$C,A:A,'Magic Stick'!$I:$I)</f>
        <v>639925.49</v>
      </c>
      <c r="J7" s="88">
        <f t="shared" ref="J7:J12" si="5">I7/F7</f>
        <v>36.64254982</v>
      </c>
      <c r="K7" s="87">
        <f>SUMIF('Magic Stick'!$C:$C,A:A,'Magic Stick'!$K:$K)</f>
        <v>446372</v>
      </c>
      <c r="L7" s="88">
        <f t="shared" ref="L7:L12" si="6">K7/F7</f>
        <v>25.55955108</v>
      </c>
      <c r="M7" s="87">
        <f>SUMIF('Magic Stick'!$C:$C,A:A,'Magic Stick'!$M:$M)</f>
        <v>322205.52</v>
      </c>
      <c r="N7" s="89">
        <f t="shared" ref="N7:N12" si="7">M7/I7</f>
        <v>0.503504744</v>
      </c>
      <c r="O7" s="90">
        <f>SUMIF('Magic Stick'!$C:$C,A:A,'Magic Stick'!$O:$O)</f>
        <v>94869.37</v>
      </c>
      <c r="P7" s="87">
        <f t="shared" ref="P7:P14" si="8">K7</f>
        <v>446372</v>
      </c>
      <c r="Q7" s="87">
        <f t="shared" ref="Q7:Q14" si="9">O7+P7</f>
        <v>541241.37</v>
      </c>
      <c r="R7" s="89">
        <f t="shared" ref="R7:R14" si="10">Q7/$Q$4</f>
        <v>0.672255838</v>
      </c>
      <c r="S7" s="90" t="str">
        <f t="shared" ref="S7:S14" si="11">O7/E7</f>
        <v>#DIV/0!</v>
      </c>
      <c r="T7" s="87" t="str">
        <f t="shared" ref="T7:T14" si="12">P7/E7</f>
        <v>#DIV/0!</v>
      </c>
      <c r="U7" s="91" t="str">
        <f t="shared" ref="U7:U14" si="13">S7+T7</f>
        <v>#DIV/0!</v>
      </c>
    </row>
    <row r="8">
      <c r="A8" s="82">
        <v>1.0</v>
      </c>
      <c r="B8" s="80" t="s">
        <v>124</v>
      </c>
      <c r="D8" s="82">
        <f t="array" ref="D8">COUNTIF('Magic Stick'!C:C,A:A)</f>
        <v>0</v>
      </c>
      <c r="E8" s="82">
        <f t="array" ref="E8">COUNTIF('Magic Stick'!C:C,A:A)</f>
        <v>0</v>
      </c>
      <c r="F8" s="66">
        <f>SUMIF('Magic Stick'!$C:$C,A:A,'Magic Stick'!$F:$F)</f>
        <v>10711</v>
      </c>
      <c r="G8" s="66">
        <f>SUMIF('Magic Stick'!$C:$C,A:A,'Magic Stick'!$G:$G)</f>
        <v>22039</v>
      </c>
      <c r="H8" s="92">
        <f t="shared" si="4"/>
        <v>0.4860020872</v>
      </c>
      <c r="I8" s="93">
        <f>SUMIF('Magic Stick'!$C:$C,A:A,'Magic Stick'!$I:$I)</f>
        <v>365844.38</v>
      </c>
      <c r="J8" s="73">
        <f t="shared" si="5"/>
        <v>34.15594996</v>
      </c>
      <c r="K8" s="93">
        <f>SUMIF('Magic Stick'!$C:$C,A:A,'Magic Stick'!$K:$K)</f>
        <v>142168.5</v>
      </c>
      <c r="L8" s="73">
        <f t="shared" si="6"/>
        <v>13.27313043</v>
      </c>
      <c r="M8" s="93">
        <f>SUMIF('Magic Stick'!$C:$C,A:A,'Magic Stick'!$M:$M)</f>
        <v>208620.87</v>
      </c>
      <c r="N8" s="94">
        <f t="shared" si="7"/>
        <v>0.5702448402</v>
      </c>
      <c r="O8" s="95">
        <f>SUMIF('Magic Stick'!$C:$C,A:A,'Magic Stick'!$O:$O)</f>
        <v>32587.81</v>
      </c>
      <c r="P8" s="93">
        <f t="shared" si="8"/>
        <v>142168.5</v>
      </c>
      <c r="Q8" s="93">
        <f t="shared" si="9"/>
        <v>174756.31</v>
      </c>
      <c r="R8" s="94">
        <f t="shared" si="10"/>
        <v>0.2170583332</v>
      </c>
      <c r="S8" s="95" t="str">
        <f t="shared" si="11"/>
        <v>#DIV/0!</v>
      </c>
      <c r="T8" s="93" t="str">
        <f t="shared" si="12"/>
        <v>#DIV/0!</v>
      </c>
      <c r="U8" s="96" t="str">
        <f t="shared" si="13"/>
        <v>#DIV/0!</v>
      </c>
    </row>
    <row r="9">
      <c r="A9" s="82">
        <v>2.0</v>
      </c>
      <c r="B9" s="83" t="s">
        <v>125</v>
      </c>
      <c r="C9" s="84"/>
      <c r="D9" s="84">
        <f t="array" ref="D9">COUNTIF('Magic Stick'!C:C,A:A)</f>
        <v>0</v>
      </c>
      <c r="E9" s="84">
        <f t="array" ref="E9">COUNTIF('Magic Stick'!C:C,A:A)</f>
        <v>0</v>
      </c>
      <c r="F9" s="85">
        <f>SUMIF('Magic Stick'!$C:$C,A:A,'Magic Stick'!$F:$F)</f>
        <v>2781</v>
      </c>
      <c r="G9" s="85">
        <f>SUMIF('Magic Stick'!$C:$C,A:A,'Magic Stick'!$G:$G)</f>
        <v>11853</v>
      </c>
      <c r="H9" s="86">
        <f t="shared" si="4"/>
        <v>0.2346241458</v>
      </c>
      <c r="I9" s="87">
        <f>SUMIF('Magic Stick'!$C:$C,A:A,'Magic Stick'!$I:$I)</f>
        <v>73373.08</v>
      </c>
      <c r="J9" s="88">
        <f t="shared" si="5"/>
        <v>26.3837037</v>
      </c>
      <c r="K9" s="87">
        <f>SUMIF('Magic Stick'!$C:$C,A:A,'Magic Stick'!$K:$K)</f>
        <v>63821</v>
      </c>
      <c r="L9" s="88">
        <f t="shared" si="6"/>
        <v>22.94893923</v>
      </c>
      <c r="M9" s="87">
        <f>SUMIF('Magic Stick'!$C:$C,A:A,'Magic Stick'!$M:$M)</f>
        <v>63450</v>
      </c>
      <c r="N9" s="89">
        <f t="shared" si="7"/>
        <v>0.8647585736</v>
      </c>
      <c r="O9" s="90">
        <f>SUMIF('Magic Stick'!$C:$C,A:A,'Magic Stick'!$O:$O)</f>
        <v>-29837.12</v>
      </c>
      <c r="P9" s="87">
        <f t="shared" si="8"/>
        <v>63821</v>
      </c>
      <c r="Q9" s="87">
        <f t="shared" si="9"/>
        <v>33983.88</v>
      </c>
      <c r="R9" s="89">
        <f t="shared" si="10"/>
        <v>0.04221011733</v>
      </c>
      <c r="S9" s="90" t="str">
        <f t="shared" si="11"/>
        <v>#DIV/0!</v>
      </c>
      <c r="T9" s="87" t="str">
        <f t="shared" si="12"/>
        <v>#DIV/0!</v>
      </c>
      <c r="U9" s="91" t="str">
        <f t="shared" si="13"/>
        <v>#DIV/0!</v>
      </c>
      <c r="V9" s="59"/>
    </row>
    <row r="10">
      <c r="A10" s="82">
        <v>8.0</v>
      </c>
      <c r="B10" s="80" t="s">
        <v>126</v>
      </c>
      <c r="D10" s="82">
        <f t="array" ref="D10">COUNTIF('Magic Stick'!C:C,A:A)</f>
        <v>0</v>
      </c>
      <c r="E10" s="82">
        <f t="array" ref="E10">COUNTIF('Magic Stick'!C:C,A:A)</f>
        <v>0</v>
      </c>
      <c r="F10" s="66">
        <f>SUMIF('Magic Stick'!$C:$C,A:A,'Magic Stick'!$F:$F)</f>
        <v>0</v>
      </c>
      <c r="G10" s="66">
        <f>SUMIF('Magic Stick'!$C:$C,A:A,'Magic Stick'!$G:$G)</f>
        <v>0</v>
      </c>
      <c r="H10" s="92" t="str">
        <f t="shared" si="4"/>
        <v>#DIV/0!</v>
      </c>
      <c r="I10" s="93">
        <f>SUMIF('Magic Stick'!$C:$C,A:A,'Magic Stick'!$I:$I)</f>
        <v>0</v>
      </c>
      <c r="J10" s="73" t="str">
        <f t="shared" si="5"/>
        <v>#DIV/0!</v>
      </c>
      <c r="K10" s="93">
        <f>SUMIF('Magic Stick'!$C:$C,A:A,'Magic Stick'!$K:$K)</f>
        <v>0</v>
      </c>
      <c r="L10" s="73" t="str">
        <f t="shared" si="6"/>
        <v>#DIV/0!</v>
      </c>
      <c r="M10" s="93">
        <f>SUMIF('Magic Stick'!$C:$C,A:A,'Magic Stick'!$M:$M)</f>
        <v>0</v>
      </c>
      <c r="N10" s="94" t="str">
        <f t="shared" si="7"/>
        <v>#DIV/0!</v>
      </c>
      <c r="O10" s="95">
        <f>SUMIF('Magic Stick'!$C:$C,A:A,'Magic Stick'!$O:$O)</f>
        <v>0</v>
      </c>
      <c r="P10" s="93">
        <f t="shared" si="8"/>
        <v>0</v>
      </c>
      <c r="Q10" s="93">
        <f t="shared" si="9"/>
        <v>0</v>
      </c>
      <c r="R10" s="94">
        <f t="shared" si="10"/>
        <v>0</v>
      </c>
      <c r="S10" s="95" t="str">
        <f t="shared" si="11"/>
        <v>#DIV/0!</v>
      </c>
      <c r="T10" s="93" t="str">
        <f t="shared" si="12"/>
        <v>#DIV/0!</v>
      </c>
      <c r="U10" s="96" t="str">
        <f t="shared" si="13"/>
        <v>#DIV/0!</v>
      </c>
    </row>
    <row r="11">
      <c r="A11" s="82">
        <v>4.0</v>
      </c>
      <c r="B11" s="83" t="s">
        <v>127</v>
      </c>
      <c r="C11" s="84"/>
      <c r="D11" s="84">
        <f t="array" ref="D11">COUNTIF('Magic Stick'!C:C,A:A)</f>
        <v>0</v>
      </c>
      <c r="E11" s="84">
        <f t="array" ref="E11">COUNTIF('Magic Stick'!C:C,A:A)</f>
        <v>0</v>
      </c>
      <c r="F11" s="85">
        <f>SUMIF('Magic Stick'!$C:$C,A:A,'Magic Stick'!$F:$F)</f>
        <v>0</v>
      </c>
      <c r="G11" s="85">
        <f>SUMIF('Magic Stick'!$C:$C,A:A,'Magic Stick'!$G:$G)</f>
        <v>0</v>
      </c>
      <c r="H11" s="86" t="str">
        <f t="shared" si="4"/>
        <v>#DIV/0!</v>
      </c>
      <c r="I11" s="87">
        <f>SUMIF('Magic Stick'!$C:$C,A:A,'Magic Stick'!$I:$I)</f>
        <v>0</v>
      </c>
      <c r="J11" s="88" t="str">
        <f t="shared" si="5"/>
        <v>#DIV/0!</v>
      </c>
      <c r="K11" s="87">
        <f>SUMIF('Magic Stick'!$C:$C,A:A,'Magic Stick'!$K:$K)</f>
        <v>0</v>
      </c>
      <c r="L11" s="88" t="str">
        <f t="shared" si="6"/>
        <v>#DIV/0!</v>
      </c>
      <c r="M11" s="87">
        <f>SUMIF('Magic Stick'!$C:$C,A:A,'Magic Stick'!$M:$M)</f>
        <v>0</v>
      </c>
      <c r="N11" s="89" t="str">
        <f t="shared" si="7"/>
        <v>#DIV/0!</v>
      </c>
      <c r="O11" s="90">
        <f>SUMIF('Magic Stick'!$C:$C,A:A,'Magic Stick'!$O:$O)</f>
        <v>0</v>
      </c>
      <c r="P11" s="87">
        <f t="shared" si="8"/>
        <v>0</v>
      </c>
      <c r="Q11" s="87">
        <f t="shared" si="9"/>
        <v>0</v>
      </c>
      <c r="R11" s="89">
        <f t="shared" si="10"/>
        <v>0</v>
      </c>
      <c r="S11" s="90" t="str">
        <f t="shared" si="11"/>
        <v>#DIV/0!</v>
      </c>
      <c r="T11" s="87" t="str">
        <f t="shared" si="12"/>
        <v>#DIV/0!</v>
      </c>
      <c r="U11" s="91" t="str">
        <f t="shared" si="13"/>
        <v>#DIV/0!</v>
      </c>
    </row>
    <row r="12">
      <c r="A12" s="82">
        <v>3.0</v>
      </c>
      <c r="B12" s="80" t="s">
        <v>128</v>
      </c>
      <c r="D12" s="82">
        <f t="array" ref="D12">COUNTIF('Magic Stick'!C:C,A:A)</f>
        <v>0</v>
      </c>
      <c r="E12" s="82">
        <f t="array" ref="E12">COUNTIF('Magic Stick'!C:C,A:A)</f>
        <v>0</v>
      </c>
      <c r="F12" s="66">
        <f>SUMIF('Magic Stick'!$C:$C,A:A,'Magic Stick'!$F:$F)</f>
        <v>0</v>
      </c>
      <c r="G12" s="66">
        <f>SUMIF('Magic Stick'!$C:$C,A:A,'Magic Stick'!$G:$G)</f>
        <v>0</v>
      </c>
      <c r="H12" s="92" t="str">
        <f t="shared" si="4"/>
        <v>#DIV/0!</v>
      </c>
      <c r="I12" s="93">
        <f>SUMIF('Magic Stick'!$C:$C,A:A,'Magic Stick'!$I:$I)</f>
        <v>0</v>
      </c>
      <c r="J12" s="73" t="str">
        <f t="shared" si="5"/>
        <v>#DIV/0!</v>
      </c>
      <c r="K12" s="93">
        <f>SUMIF('Magic Stick'!$C:$C,A:A,'Magic Stick'!$K:$K)</f>
        <v>0</v>
      </c>
      <c r="L12" s="73" t="str">
        <f t="shared" si="6"/>
        <v>#DIV/0!</v>
      </c>
      <c r="M12" s="93">
        <f>SUMIF('Magic Stick'!$C:$C,A:A,'Magic Stick'!$M:$M)</f>
        <v>0</v>
      </c>
      <c r="N12" s="94" t="str">
        <f t="shared" si="7"/>
        <v>#DIV/0!</v>
      </c>
      <c r="O12" s="95">
        <f>SUMIF('Magic Stick'!$C:$C,A:A,'Magic Stick'!$O:$O)</f>
        <v>0</v>
      </c>
      <c r="P12" s="93">
        <f t="shared" si="8"/>
        <v>0</v>
      </c>
      <c r="Q12" s="93">
        <f t="shared" si="9"/>
        <v>0</v>
      </c>
      <c r="R12" s="94">
        <f t="shared" si="10"/>
        <v>0</v>
      </c>
      <c r="S12" s="95" t="str">
        <f t="shared" si="11"/>
        <v>#DIV/0!</v>
      </c>
      <c r="T12" s="93" t="str">
        <f t="shared" si="12"/>
        <v>#DIV/0!</v>
      </c>
      <c r="U12" s="96" t="str">
        <f t="shared" si="13"/>
        <v>#DIV/0!</v>
      </c>
    </row>
    <row r="13">
      <c r="A13" s="82">
        <v>6.0</v>
      </c>
      <c r="B13" s="83" t="s">
        <v>129</v>
      </c>
      <c r="C13" s="84"/>
      <c r="D13" s="84"/>
      <c r="E13" s="84">
        <f t="array" ref="E13">COUNTIF('Magic Stick'!C:C,A:A)</f>
        <v>0</v>
      </c>
      <c r="F13" s="85"/>
      <c r="G13" s="85"/>
      <c r="H13" s="86"/>
      <c r="I13" s="87"/>
      <c r="J13" s="88"/>
      <c r="K13" s="87">
        <f>SUMIF('Magic Stick'!$C:$C,A:A,'Magic Stick'!$K:$K)</f>
        <v>41247</v>
      </c>
      <c r="L13" s="88"/>
      <c r="M13" s="87"/>
      <c r="N13" s="89"/>
      <c r="O13" s="90">
        <f>SUMIF('Magic Stick'!$C:$C,A:A,'Magic Stick'!$O:$O)</f>
        <v>13883.63</v>
      </c>
      <c r="P13" s="87">
        <f t="shared" si="8"/>
        <v>41247</v>
      </c>
      <c r="Q13" s="87">
        <f t="shared" si="9"/>
        <v>55130.63</v>
      </c>
      <c r="R13" s="89">
        <f t="shared" si="10"/>
        <v>0.06847571144</v>
      </c>
      <c r="S13" s="90" t="str">
        <f t="shared" si="11"/>
        <v>#DIV/0!</v>
      </c>
      <c r="T13" s="87" t="str">
        <f t="shared" si="12"/>
        <v>#DIV/0!</v>
      </c>
      <c r="U13" s="91" t="str">
        <f t="shared" si="13"/>
        <v>#DIV/0!</v>
      </c>
    </row>
    <row r="14">
      <c r="A14" s="82">
        <v>7.0</v>
      </c>
      <c r="B14" s="80" t="s">
        <v>130</v>
      </c>
      <c r="D14" s="82">
        <f t="array" ref="D14">COUNTIF('Magic Stick'!C:C,A:A)</f>
        <v>0</v>
      </c>
      <c r="E14" s="82">
        <f t="array" ref="E14">COUNTIF('Magic Stick'!C:C,A:A)</f>
        <v>0</v>
      </c>
      <c r="F14" s="66">
        <f>SUMIF('Magic Stick'!$C:$C,A:A,'Magic Stick'!$F:$F)</f>
        <v>0</v>
      </c>
      <c r="G14" s="66">
        <f>SUMIF('Magic Stick'!$C:$C,A:A,'Magic Stick'!$G:$G)</f>
        <v>0</v>
      </c>
      <c r="H14" s="92" t="str">
        <f>F14/G14</f>
        <v>#DIV/0!</v>
      </c>
      <c r="I14" s="93">
        <f>SUMIF('Magic Stick'!$C:$C,A:A,'Magic Stick'!$I:$I)</f>
        <v>0</v>
      </c>
      <c r="J14" s="73" t="str">
        <f>I14/F14</f>
        <v>#DIV/0!</v>
      </c>
      <c r="K14" s="93">
        <f>SUMIF('Magic Stick'!$C:$C,A:A,'Magic Stick'!$K:$K)</f>
        <v>0</v>
      </c>
      <c r="L14" s="73" t="str">
        <f>K14/F14</f>
        <v>#DIV/0!</v>
      </c>
      <c r="M14" s="93">
        <f>SUMIF('Magic Stick'!$C:$C,A:A,'Magic Stick'!$M:$M)</f>
        <v>0</v>
      </c>
      <c r="N14" s="94" t="str">
        <f>M14/I14</f>
        <v>#DIV/0!</v>
      </c>
      <c r="O14" s="95">
        <f>SUMIF('Magic Stick'!$C:$C,A:A,'Magic Stick'!$O:$O)</f>
        <v>0</v>
      </c>
      <c r="P14" s="93">
        <f t="shared" si="8"/>
        <v>0</v>
      </c>
      <c r="Q14" s="93">
        <f t="shared" si="9"/>
        <v>0</v>
      </c>
      <c r="R14" s="94">
        <f t="shared" si="10"/>
        <v>0</v>
      </c>
      <c r="S14" s="95" t="str">
        <f t="shared" si="11"/>
        <v>#DIV/0!</v>
      </c>
      <c r="T14" s="93" t="str">
        <f t="shared" si="12"/>
        <v>#DIV/0!</v>
      </c>
      <c r="U14" s="96" t="str">
        <f t="shared" si="13"/>
        <v>#DIV/0!</v>
      </c>
    </row>
    <row r="15">
      <c r="B15" s="80"/>
      <c r="N15" s="81"/>
      <c r="O15" s="80"/>
      <c r="Q15" s="93"/>
      <c r="R15" s="81"/>
      <c r="S15" s="80"/>
      <c r="U15" s="81"/>
    </row>
    <row r="16">
      <c r="B16" s="80"/>
      <c r="N16" s="81"/>
      <c r="O16" s="80"/>
      <c r="R16" s="81"/>
      <c r="S16" s="80"/>
      <c r="U16" s="81"/>
    </row>
    <row r="17"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9"/>
      <c r="O17" s="97"/>
      <c r="P17" s="98"/>
      <c r="Q17" s="98"/>
      <c r="R17" s="99"/>
      <c r="S17" s="97"/>
      <c r="T17" s="98"/>
      <c r="U17" s="9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N2"/>
    <mergeCell ref="O2:R2"/>
    <mergeCell ref="S2:U2"/>
  </mergeCells>
  <printOptions horizontalCentered="1"/>
  <pageMargins bottom="0.75" footer="0.0" header="0.0" left="0.2" right="0.2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