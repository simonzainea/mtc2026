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gic Stick" sheetId="1" r:id="rId4"/>
    <sheet state="visible" name="Magic Stick-by Promoter" sheetId="2" r:id="rId5"/>
  </sheets>
  <definedNames/>
  <calcPr/>
  <extLst>
    <ext uri="GoogleSheetsCustomDataVersion2">
      <go:sheetsCustomData xmlns:go="http://customooxmlschemas.google.com/" r:id="rId6" roundtripDataChecksum="dTFzd1bWulArs3ZYkLNokGON0smyxfQe/Fu823cgN0E="/>
    </ext>
  </extLst>
</workbook>
</file>

<file path=xl/sharedStrings.xml><?xml version="1.0" encoding="utf-8"?>
<sst xmlns="http://schemas.openxmlformats.org/spreadsheetml/2006/main" count="136" uniqueCount="116">
  <si>
    <t>VENUE TOTAL</t>
  </si>
  <si>
    <t>***MAGIC STICK RESULTS***</t>
  </si>
  <si>
    <t xml:space="preserve">MAGIC STICK </t>
  </si>
  <si>
    <t>Name</t>
  </si>
  <si>
    <t>Promoter Code</t>
  </si>
  <si>
    <t>Date</t>
  </si>
  <si>
    <t>Day of the week</t>
  </si>
  <si>
    <t>Tickets Sold</t>
  </si>
  <si>
    <t>Venue Capacity</t>
  </si>
  <si>
    <t>Capacity Rate</t>
  </si>
  <si>
    <t>Gross Ticket Revenue</t>
  </si>
  <si>
    <t>Avg. Ticket Price (including TW rebate)</t>
  </si>
  <si>
    <t>Bar Revenue</t>
  </si>
  <si>
    <t>Avg sale of alcohol per guest</t>
  </si>
  <si>
    <t>Band(s) guarantee</t>
  </si>
  <si>
    <t>% of Gross Ticket Revenue</t>
  </si>
  <si>
    <t xml:space="preserve">Gate Settlement Gain/(Loss)  </t>
  </si>
  <si>
    <t>Bar Sales  - 100%</t>
  </si>
  <si>
    <t>Show Gross Proceeds (before COGS, Labor, &amp; Facility Costs)</t>
  </si>
  <si>
    <t>TOTALS</t>
  </si>
  <si>
    <t>AVERAGES</t>
  </si>
  <si>
    <t>Jodi Wisternoff</t>
  </si>
  <si>
    <t>Shlump</t>
  </si>
  <si>
    <t>Adam Melchor</t>
  </si>
  <si>
    <t>Cassian</t>
  </si>
  <si>
    <t>Terrence Parker</t>
  </si>
  <si>
    <t>Pan Pot</t>
  </si>
  <si>
    <t>Masteria</t>
  </si>
  <si>
    <t>Solrado</t>
  </si>
  <si>
    <t>Kalusha Orchestra</t>
  </si>
  <si>
    <t>Soulside</t>
  </si>
  <si>
    <t>Boombox</t>
  </si>
  <si>
    <t>Desert Hearts</t>
  </si>
  <si>
    <t>*Add Alley Deck</t>
  </si>
  <si>
    <t>Esseks</t>
  </si>
  <si>
    <t>Dababy</t>
  </si>
  <si>
    <t>Bar=10384</t>
  </si>
  <si>
    <t>Wax Tailor</t>
  </si>
  <si>
    <t>Mat Zo</t>
  </si>
  <si>
    <t>Black V  Neck</t>
  </si>
  <si>
    <t>Deepfake</t>
  </si>
  <si>
    <t>Wave</t>
  </si>
  <si>
    <t>Marsh</t>
  </si>
  <si>
    <t>Dude</t>
  </si>
  <si>
    <t>All Hands on Deck</t>
  </si>
  <si>
    <t>Super Crunch</t>
  </si>
  <si>
    <t>Mau P</t>
  </si>
  <si>
    <t>Tinlicker</t>
  </si>
  <si>
    <t>Kursa</t>
  </si>
  <si>
    <t>Kyle Walker</t>
  </si>
  <si>
    <t>Eli &amp; Fur</t>
  </si>
  <si>
    <t>Against the Current</t>
  </si>
  <si>
    <t>Cupcakke</t>
  </si>
  <si>
    <t>Claude Von Stroke</t>
  </si>
  <si>
    <t>Agents of Time</t>
  </si>
  <si>
    <t>Dr Dre Orchestra</t>
  </si>
  <si>
    <t>Probass Hardi</t>
  </si>
  <si>
    <t>Altin Gin</t>
  </si>
  <si>
    <t>Bigbabygucci</t>
  </si>
  <si>
    <t>Golf Clap</t>
  </si>
  <si>
    <t>Sacha Robbotti</t>
  </si>
  <si>
    <t>moved to alley deck</t>
  </si>
  <si>
    <t>Honey Luv</t>
  </si>
  <si>
    <t>Biscits</t>
  </si>
  <si>
    <t>Simon Doty</t>
  </si>
  <si>
    <t>Last Last</t>
  </si>
  <si>
    <t>Fishbone</t>
  </si>
  <si>
    <t>Taylor Swift Dance Party</t>
  </si>
  <si>
    <t>Durand Bernarr</t>
  </si>
  <si>
    <t>Lastings</t>
  </si>
  <si>
    <t>Rodriguez Jr</t>
  </si>
  <si>
    <t>Matt Sassari</t>
  </si>
  <si>
    <t>Mochakk</t>
  </si>
  <si>
    <t>Beats Soundsystem</t>
  </si>
  <si>
    <t>Aluna</t>
  </si>
  <si>
    <t>Everything Everything</t>
  </si>
  <si>
    <t>Kyle Watson</t>
  </si>
  <si>
    <t>Fleetmac Wood</t>
  </si>
  <si>
    <t>Hulder</t>
  </si>
  <si>
    <t>Dear Hunter</t>
  </si>
  <si>
    <t>Spencer Brown</t>
  </si>
  <si>
    <t>Stick to Your Guns</t>
  </si>
  <si>
    <t>Papadosio</t>
  </si>
  <si>
    <t>Cristoph</t>
  </si>
  <si>
    <t>Foxing</t>
  </si>
  <si>
    <t>Yvie Oddly</t>
  </si>
  <si>
    <t>J Worra</t>
  </si>
  <si>
    <t>Noname</t>
  </si>
  <si>
    <t>Lespecial</t>
  </si>
  <si>
    <t>Bijou</t>
  </si>
  <si>
    <t>kLL sMTH</t>
  </si>
  <si>
    <t>Koan Sound</t>
  </si>
  <si>
    <t>Codes</t>
  </si>
  <si>
    <t>Supertask</t>
  </si>
  <si>
    <t>(1) In-House - Zach</t>
  </si>
  <si>
    <t>(2) In-House - Brie</t>
  </si>
  <si>
    <t>(3) Black Iris</t>
  </si>
  <si>
    <t>(4) Good Show - Jason Berry</t>
  </si>
  <si>
    <t>(5) Paxahau - Tom Pattyn</t>
  </si>
  <si>
    <t>(6) Rental event</t>
  </si>
  <si>
    <t>(7) Party Store co-pro</t>
  </si>
  <si>
    <t>(8) Further Frequencies</t>
  </si>
  <si>
    <t>MAGIC STICK TOTALS</t>
  </si>
  <si>
    <t>PROMOTER PER-SHOW AVERAGES</t>
  </si>
  <si>
    <t>Shows</t>
  </si>
  <si>
    <t>Shows &amp; Rentals</t>
  </si>
  <si>
    <t>% of Total Gross Proceeds</t>
  </si>
  <si>
    <t>Bar Sales  - 50%</t>
  </si>
  <si>
    <t>Paxahau - Tom Pattyn</t>
  </si>
  <si>
    <t>In-House - Zach</t>
  </si>
  <si>
    <t>In-House - Brie</t>
  </si>
  <si>
    <t>Further Frequencies</t>
  </si>
  <si>
    <t>Good Show - Jason Berry</t>
  </si>
  <si>
    <t>Black Iris</t>
  </si>
  <si>
    <t>Rental event</t>
  </si>
  <si>
    <t>Party Store co-pro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</si>
</sst>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&quot;$&quot;* #,##0_);_(&quot;$&quot;* \(#,##0\);_(&quot;$&quot;* &quot;-&quot;??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m/d/yy"/>
    <numFmt numFmtId="169" formatCode="ddd"/>
    <numFmt numFmtId="170" formatCode="m/d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/>
    <font>
      <b/>
      <sz val="11.0"/>
      <color theme="1"/>
      <name val="Calibri"/>
    </font>
    <font>
      <b/>
      <sz val="11.0"/>
      <color theme="1"/>
      <name val="Times New Roman"/>
    </font>
    <font>
      <sz val="10.0"/>
      <color theme="1"/>
      <name val="Times New Roman"/>
    </font>
    <font>
      <sz val="10.0"/>
      <color rgb="FF000000"/>
      <name val="Times New Roman"/>
    </font>
    <font>
      <color theme="1"/>
      <name val="Calibri"/>
    </font>
    <font>
      <sz val="10.0"/>
      <color rgb="FFFF000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D8D8D8"/>
        <bgColor rgb="FFD8D8D8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</fills>
  <borders count="2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/>
    </xf>
    <xf borderId="4" fillId="4" fontId="4" numFmtId="0" xfId="0" applyAlignment="1" applyBorder="1" applyFill="1" applyFont="1">
      <alignment horizontal="center"/>
    </xf>
    <xf borderId="5" fillId="5" fontId="5" numFmtId="0" xfId="0" applyAlignment="1" applyBorder="1" applyFill="1" applyFont="1">
      <alignment horizontal="center" shrinkToFit="0" wrapText="1"/>
    </xf>
    <xf borderId="6" fillId="5" fontId="5" numFmtId="0" xfId="0" applyAlignment="1" applyBorder="1" applyFont="1">
      <alignment horizontal="center" shrinkToFit="0" wrapText="1"/>
    </xf>
    <xf borderId="7" fillId="5" fontId="5" numFmtId="0" xfId="0" applyAlignment="1" applyBorder="1" applyFont="1">
      <alignment horizontal="center" shrinkToFit="0" wrapText="1"/>
    </xf>
    <xf borderId="7" fillId="5" fontId="5" numFmtId="164" xfId="0" applyAlignment="1" applyBorder="1" applyFont="1" applyNumberFormat="1">
      <alignment horizontal="center" shrinkToFit="0" wrapText="1"/>
    </xf>
    <xf borderId="8" fillId="5" fontId="5" numFmtId="0" xfId="0" applyAlignment="1" applyBorder="1" applyFont="1">
      <alignment horizontal="center" shrinkToFit="0" wrapText="1"/>
    </xf>
    <xf borderId="9" fillId="5" fontId="5" numFmtId="0" xfId="0" applyAlignment="1" applyBorder="1" applyFont="1">
      <alignment horizontal="center" shrinkToFit="0" wrapText="1"/>
    </xf>
    <xf borderId="10" fillId="5" fontId="5" numFmtId="0" xfId="0" applyAlignment="1" applyBorder="1" applyFont="1">
      <alignment horizontal="center" shrinkToFit="0" wrapText="1"/>
    </xf>
    <xf borderId="11" fillId="5" fontId="5" numFmtId="0" xfId="0" applyAlignment="1" applyBorder="1" applyFont="1">
      <alignment horizontal="center" shrinkToFit="0" wrapText="1"/>
    </xf>
    <xf borderId="12" fillId="3" fontId="5" numFmtId="0" xfId="0" applyBorder="1" applyFont="1"/>
    <xf borderId="13" fillId="3" fontId="5" numFmtId="0" xfId="0" applyAlignment="1" applyBorder="1" applyFont="1">
      <alignment horizontal="center"/>
    </xf>
    <xf borderId="13" fillId="3" fontId="4" numFmtId="0" xfId="0" applyBorder="1" applyFont="1"/>
    <xf borderId="13" fillId="3" fontId="5" numFmtId="164" xfId="0" applyBorder="1" applyFont="1" applyNumberFormat="1"/>
    <xf borderId="13" fillId="2" fontId="5" numFmtId="164" xfId="0" applyBorder="1" applyFont="1" applyNumberFormat="1"/>
    <xf borderId="13" fillId="3" fontId="5" numFmtId="165" xfId="0" applyBorder="1" applyFont="1" applyNumberFormat="1"/>
    <xf borderId="14" fillId="2" fontId="5" numFmtId="165" xfId="0" applyBorder="1" applyFont="1" applyNumberFormat="1"/>
    <xf borderId="14" fillId="3" fontId="5" numFmtId="165" xfId="0" applyBorder="1" applyFont="1" applyNumberFormat="1"/>
    <xf borderId="13" fillId="3" fontId="5" numFmtId="10" xfId="0" applyBorder="1" applyFont="1" applyNumberFormat="1"/>
    <xf borderId="13" fillId="3" fontId="5" numFmtId="166" xfId="0" applyBorder="1" applyFont="1" applyNumberFormat="1"/>
    <xf borderId="14" fillId="3" fontId="5" numFmtId="10" xfId="0" applyBorder="1" applyFont="1" applyNumberFormat="1"/>
    <xf borderId="15" fillId="0" fontId="4" numFmtId="0" xfId="0" applyBorder="1" applyFont="1"/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167" xfId="0" applyFont="1" applyNumberFormat="1"/>
    <xf borderId="0" fillId="0" fontId="4" numFmtId="164" xfId="0" applyFont="1" applyNumberFormat="1"/>
    <xf borderId="16" fillId="0" fontId="4" numFmtId="167" xfId="0" applyBorder="1" applyFont="1" applyNumberFormat="1"/>
    <xf borderId="17" fillId="5" fontId="6" numFmtId="0" xfId="0" applyBorder="1" applyFont="1"/>
    <xf borderId="18" fillId="5" fontId="6" numFmtId="0" xfId="0" applyAlignment="1" applyBorder="1" applyFont="1">
      <alignment readingOrder="0"/>
    </xf>
    <xf borderId="17" fillId="5" fontId="6" numFmtId="0" xfId="0" applyAlignment="1" applyBorder="1" applyFont="1">
      <alignment horizontal="center" readingOrder="0"/>
    </xf>
    <xf borderId="17" fillId="5" fontId="6" numFmtId="168" xfId="0" applyAlignment="1" applyBorder="1" applyFont="1" applyNumberFormat="1">
      <alignment horizontal="center" readingOrder="0"/>
    </xf>
    <xf borderId="17" fillId="5" fontId="6" numFmtId="169" xfId="0" applyAlignment="1" applyBorder="1" applyFont="1" applyNumberFormat="1">
      <alignment horizontal="center"/>
    </xf>
    <xf borderId="17" fillId="5" fontId="6" numFmtId="164" xfId="0" applyAlignment="1" applyBorder="1" applyFont="1" applyNumberFormat="1">
      <alignment readingOrder="0"/>
    </xf>
    <xf borderId="17" fillId="5" fontId="6" numFmtId="164" xfId="0" applyBorder="1" applyFont="1" applyNumberFormat="1"/>
    <xf borderId="17" fillId="5" fontId="6" numFmtId="9" xfId="0" applyBorder="1" applyFont="1" applyNumberFormat="1"/>
    <xf borderId="17" fillId="5" fontId="6" numFmtId="165" xfId="0" applyAlignment="1" applyBorder="1" applyFont="1" applyNumberFormat="1">
      <alignment readingOrder="0"/>
    </xf>
    <xf borderId="17" fillId="5" fontId="6" numFmtId="166" xfId="0" applyBorder="1" applyFont="1" applyNumberFormat="1"/>
    <xf borderId="17" fillId="5" fontId="6" numFmtId="165" xfId="0" applyBorder="1" applyFont="1" applyNumberFormat="1"/>
    <xf borderId="19" fillId="5" fontId="6" numFmtId="9" xfId="0" applyBorder="1" applyFont="1" applyNumberFormat="1"/>
    <xf borderId="19" fillId="5" fontId="6" numFmtId="164" xfId="0" applyBorder="1" applyFont="1" applyNumberFormat="1"/>
    <xf borderId="0" fillId="0" fontId="6" numFmtId="0" xfId="0" applyFont="1"/>
    <xf borderId="15" fillId="0" fontId="6" numFmtId="0" xfId="0" applyAlignment="1" applyBorder="1" applyFont="1">
      <alignment readingOrder="0"/>
    </xf>
    <xf borderId="0" fillId="0" fontId="6" numFmtId="0" xfId="0" applyAlignment="1" applyFont="1">
      <alignment horizontal="center"/>
    </xf>
    <xf borderId="0" fillId="0" fontId="6" numFmtId="168" xfId="0" applyAlignment="1" applyFont="1" applyNumberFormat="1">
      <alignment horizontal="center" readingOrder="0"/>
    </xf>
    <xf borderId="0" fillId="0" fontId="6" numFmtId="169" xfId="0" applyAlignment="1" applyFont="1" applyNumberFormat="1">
      <alignment horizontal="center"/>
    </xf>
    <xf borderId="0" fillId="0" fontId="6" numFmtId="164" xfId="0" applyAlignment="1" applyFont="1" applyNumberFormat="1">
      <alignment readingOrder="0"/>
    </xf>
    <xf borderId="0" fillId="0" fontId="6" numFmtId="164" xfId="0" applyFont="1" applyNumberFormat="1"/>
    <xf borderId="0" fillId="0" fontId="6" numFmtId="9" xfId="0" applyFont="1" applyNumberFormat="1"/>
    <xf borderId="0" fillId="0" fontId="6" numFmtId="3" xfId="0" applyAlignment="1" applyFont="1" applyNumberFormat="1">
      <alignment readingOrder="0"/>
    </xf>
    <xf borderId="0" fillId="0" fontId="6" numFmtId="167" xfId="0" applyFont="1" applyNumberFormat="1"/>
    <xf borderId="16" fillId="0" fontId="6" numFmtId="9" xfId="0" applyBorder="1" applyFont="1" applyNumberFormat="1"/>
    <xf borderId="16" fillId="0" fontId="6" numFmtId="164" xfId="0" applyBorder="1" applyFont="1" applyNumberFormat="1"/>
    <xf borderId="17" fillId="5" fontId="6" numFmtId="3" xfId="0" applyAlignment="1" applyBorder="1" applyFont="1" applyNumberFormat="1">
      <alignment readingOrder="0"/>
    </xf>
    <xf borderId="17" fillId="5" fontId="6" numFmtId="167" xfId="0" applyBorder="1" applyFont="1" applyNumberFormat="1"/>
    <xf borderId="17" fillId="5" fontId="7" numFmtId="164" xfId="0" applyAlignment="1" applyBorder="1" applyFont="1" applyNumberFormat="1">
      <alignment readingOrder="0"/>
    </xf>
    <xf borderId="0" fillId="0" fontId="6" numFmtId="0" xfId="0" applyAlignment="1" applyFont="1">
      <alignment horizontal="center" readingOrder="0"/>
    </xf>
    <xf borderId="0" fillId="0" fontId="7" numFmtId="164" xfId="0" applyAlignment="1" applyFont="1" applyNumberFormat="1">
      <alignment readingOrder="0"/>
    </xf>
    <xf borderId="0" fillId="0" fontId="1" numFmtId="167" xfId="0" applyFont="1" applyNumberFormat="1"/>
    <xf borderId="0" fillId="6" fontId="8" numFmtId="0" xfId="0" applyFill="1" applyFont="1"/>
    <xf borderId="0" fillId="0" fontId="8" numFmtId="0" xfId="0" applyFont="1"/>
    <xf borderId="0" fillId="0" fontId="8" numFmtId="170" xfId="0" applyFont="1" applyNumberFormat="1"/>
    <xf borderId="16" fillId="0" fontId="7" numFmtId="164" xfId="0" applyBorder="1" applyFont="1" applyNumberFormat="1"/>
    <xf borderId="17" fillId="5" fontId="7" numFmtId="164" xfId="0" applyBorder="1" applyFont="1" applyNumberFormat="1"/>
    <xf borderId="19" fillId="5" fontId="7" numFmtId="164" xfId="0" applyBorder="1" applyFont="1" applyNumberFormat="1"/>
    <xf borderId="0" fillId="0" fontId="7" numFmtId="164" xfId="0" applyFont="1" applyNumberFormat="1"/>
    <xf borderId="17" fillId="5" fontId="6" numFmtId="0" xfId="0" applyAlignment="1" applyBorder="1" applyFont="1">
      <alignment horizontal="center"/>
    </xf>
    <xf borderId="18" fillId="7" fontId="6" numFmtId="0" xfId="0" applyAlignment="1" applyBorder="1" applyFill="1" applyFont="1">
      <alignment readingOrder="0"/>
    </xf>
    <xf borderId="0" fillId="0" fontId="1" numFmtId="164" xfId="0" applyFont="1" applyNumberFormat="1"/>
    <xf borderId="17" fillId="5" fontId="6" numFmtId="170" xfId="0" applyAlignment="1" applyBorder="1" applyFont="1" applyNumberFormat="1">
      <alignment horizontal="center"/>
    </xf>
    <xf borderId="17" fillId="5" fontId="9" numFmtId="164" xfId="0" applyAlignment="1" applyBorder="1" applyFont="1" applyNumberFormat="1">
      <alignment readingOrder="0"/>
    </xf>
    <xf borderId="0" fillId="0" fontId="9" numFmtId="164" xfId="0" applyAlignment="1" applyFont="1" applyNumberFormat="1">
      <alignment readingOrder="0"/>
    </xf>
    <xf borderId="19" fillId="5" fontId="9" numFmtId="164" xfId="0" applyBorder="1" applyFont="1" applyNumberFormat="1"/>
    <xf borderId="16" fillId="0" fontId="9" numFmtId="164" xfId="0" applyBorder="1" applyFont="1" applyNumberFormat="1"/>
    <xf borderId="15" fillId="0" fontId="6" numFmtId="0" xfId="0" applyBorder="1" applyFont="1"/>
    <xf borderId="0" fillId="0" fontId="6" numFmtId="168" xfId="0" applyAlignment="1" applyFont="1" applyNumberFormat="1">
      <alignment horizontal="center"/>
    </xf>
    <xf borderId="17" fillId="7" fontId="6" numFmtId="164" xfId="0" applyBorder="1" applyFont="1" applyNumberFormat="1"/>
    <xf borderId="18" fillId="5" fontId="6" numFmtId="0" xfId="0" applyBorder="1" applyFont="1"/>
    <xf borderId="17" fillId="5" fontId="6" numFmtId="168" xfId="0" applyAlignment="1" applyBorder="1" applyFont="1" applyNumberFormat="1">
      <alignment horizontal="center"/>
    </xf>
    <xf borderId="17" fillId="5" fontId="9" numFmtId="164" xfId="0" applyBorder="1" applyFont="1" applyNumberFormat="1"/>
    <xf borderId="0" fillId="0" fontId="9" numFmtId="164" xfId="0" applyFont="1" applyNumberFormat="1"/>
    <xf borderId="18" fillId="7" fontId="6" numFmtId="0" xfId="0" applyBorder="1" applyFont="1"/>
    <xf borderId="0" fillId="0" fontId="1" numFmtId="166" xfId="0" applyFont="1" applyNumberFormat="1"/>
    <xf borderId="1" fillId="4" fontId="4" numFmtId="0" xfId="0" applyAlignment="1" applyBorder="1" applyFont="1">
      <alignment horizontal="center" shrinkToFit="0" wrapText="1"/>
    </xf>
    <xf borderId="20" fillId="5" fontId="5" numFmtId="0" xfId="0" applyAlignment="1" applyBorder="1" applyFont="1">
      <alignment horizontal="center" shrinkToFit="0" wrapText="1"/>
    </xf>
    <xf borderId="12" fillId="3" fontId="5" numFmtId="165" xfId="0" applyBorder="1" applyFont="1" applyNumberFormat="1"/>
    <xf borderId="14" fillId="3" fontId="5" numFmtId="9" xfId="0" applyBorder="1" applyFont="1" applyNumberFormat="1"/>
    <xf borderId="12" fillId="2" fontId="5" numFmtId="165" xfId="0" applyBorder="1" applyFont="1" applyNumberFormat="1"/>
    <xf borderId="13" fillId="2" fontId="5" numFmtId="165" xfId="0" applyBorder="1" applyFont="1" applyNumberFormat="1"/>
    <xf borderId="15" fillId="0" fontId="1" numFmtId="0" xfId="0" applyBorder="1" applyFont="1"/>
    <xf borderId="16" fillId="0" fontId="1" numFmtId="0" xfId="0" applyBorder="1" applyFont="1"/>
    <xf borderId="18" fillId="5" fontId="1" numFmtId="0" xfId="0" applyBorder="1" applyFont="1"/>
    <xf borderId="17" fillId="5" fontId="1" numFmtId="0" xfId="0" applyBorder="1" applyFont="1"/>
    <xf borderId="17" fillId="5" fontId="1" numFmtId="164" xfId="0" applyBorder="1" applyFont="1" applyNumberFormat="1"/>
    <xf borderId="17" fillId="5" fontId="1" numFmtId="10" xfId="0" applyBorder="1" applyFont="1" applyNumberFormat="1"/>
    <xf borderId="17" fillId="5" fontId="1" numFmtId="165" xfId="0" applyBorder="1" applyFont="1" applyNumberFormat="1"/>
    <xf borderId="17" fillId="5" fontId="1" numFmtId="166" xfId="0" applyBorder="1" applyFont="1" applyNumberFormat="1"/>
    <xf borderId="19" fillId="5" fontId="1" numFmtId="10" xfId="0" applyBorder="1" applyFont="1" applyNumberFormat="1"/>
    <xf borderId="18" fillId="5" fontId="1" numFmtId="165" xfId="0" applyBorder="1" applyFont="1" applyNumberFormat="1"/>
    <xf borderId="19" fillId="5" fontId="1" numFmtId="165" xfId="0" applyBorder="1" applyFont="1" applyNumberFormat="1"/>
    <xf borderId="0" fillId="0" fontId="1" numFmtId="10" xfId="0" applyFont="1" applyNumberFormat="1"/>
    <xf borderId="0" fillId="0" fontId="1" numFmtId="165" xfId="0" applyFont="1" applyNumberFormat="1"/>
    <xf borderId="16" fillId="0" fontId="1" numFmtId="10" xfId="0" applyBorder="1" applyFont="1" applyNumberFormat="1"/>
    <xf borderId="15" fillId="0" fontId="1" numFmtId="165" xfId="0" applyBorder="1" applyFont="1" applyNumberFormat="1"/>
    <xf borderId="16" fillId="0" fontId="1" numFmtId="165" xfId="0" applyBorder="1" applyFont="1" applyNumberFormat="1"/>
    <xf borderId="21" fillId="0" fontId="1" numFmtId="0" xfId="0" applyBorder="1" applyFont="1"/>
    <xf borderId="22" fillId="0" fontId="1" numFmtId="0" xfId="0" applyBorder="1" applyFont="1"/>
    <xf borderId="2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43"/>
    <col customWidth="1" min="2" max="2" width="29.43"/>
    <col customWidth="1" min="3" max="3" width="10.57"/>
    <col customWidth="1" min="4" max="4" width="10.86"/>
    <col customWidth="1" min="5" max="5" width="6.43"/>
    <col customWidth="1" min="6" max="6" width="10.29"/>
    <col customWidth="1" min="7" max="7" width="10.14"/>
    <col customWidth="1" min="8" max="8" width="9.57"/>
    <col customWidth="1" min="9" max="9" width="12.71"/>
    <col customWidth="1" min="10" max="10" width="11.86"/>
    <col customWidth="1" min="11" max="11" width="12.14"/>
    <col customWidth="1" min="12" max="12" width="10.43"/>
    <col customWidth="1" min="13" max="13" width="12.29"/>
    <col customWidth="1" min="14" max="14" width="8.29"/>
    <col customWidth="1" min="15" max="15" width="11.86"/>
    <col customWidth="1" min="16" max="16" width="12.0"/>
    <col customWidth="1" min="17" max="17" width="13.86"/>
    <col customWidth="1" min="18" max="18" width="9.29"/>
    <col customWidth="1" min="19" max="20" width="9.14"/>
    <col customWidth="1" min="21" max="26" width="8.71"/>
  </cols>
  <sheetData>
    <row r="1">
      <c r="C1" s="1"/>
      <c r="O1" s="2" t="s">
        <v>0</v>
      </c>
      <c r="P1" s="3"/>
      <c r="Q1" s="4"/>
    </row>
    <row r="2"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6" t="s">
        <v>2</v>
      </c>
      <c r="P2" s="3"/>
      <c r="Q2" s="4"/>
    </row>
    <row r="3">
      <c r="B3" s="7" t="s">
        <v>3</v>
      </c>
      <c r="C3" s="8" t="s">
        <v>4</v>
      </c>
      <c r="D3" s="9" t="s">
        <v>5</v>
      </c>
      <c r="E3" s="9" t="s">
        <v>6</v>
      </c>
      <c r="F3" s="10" t="s">
        <v>7</v>
      </c>
      <c r="G3" s="10" t="s">
        <v>8</v>
      </c>
      <c r="H3" s="10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11" t="s">
        <v>15</v>
      </c>
      <c r="O3" s="12" t="s">
        <v>16</v>
      </c>
      <c r="P3" s="13" t="s">
        <v>17</v>
      </c>
      <c r="Q3" s="14" t="s">
        <v>18</v>
      </c>
    </row>
    <row r="4">
      <c r="B4" s="15" t="s">
        <v>19</v>
      </c>
      <c r="C4" s="16"/>
      <c r="D4" s="17"/>
      <c r="E4" s="17"/>
      <c r="F4" s="18">
        <f t="shared" ref="F4:G4" si="1">SUM(F7:F114)</f>
        <v>23606</v>
      </c>
      <c r="G4" s="18">
        <f t="shared" si="1"/>
        <v>71250</v>
      </c>
      <c r="H4" s="19"/>
      <c r="I4" s="20">
        <f>SUM(I7:I114)</f>
        <v>710729.4</v>
      </c>
      <c r="J4" s="19"/>
      <c r="K4" s="20">
        <f>SUM(K7:K114)</f>
        <v>473329.02</v>
      </c>
      <c r="L4" s="19"/>
      <c r="M4" s="20">
        <f t="shared" ref="M4:Q4" si="2">SUM(M7:M114)</f>
        <v>587403.81</v>
      </c>
      <c r="N4" s="21">
        <f t="shared" si="2"/>
        <v>73.95457034</v>
      </c>
      <c r="O4" s="20">
        <f t="shared" si="2"/>
        <v>-6462.01</v>
      </c>
      <c r="P4" s="20">
        <f t="shared" si="2"/>
        <v>470307.95</v>
      </c>
      <c r="Q4" s="22">
        <f t="shared" si="2"/>
        <v>463845.94</v>
      </c>
    </row>
    <row r="5">
      <c r="B5" s="15" t="s">
        <v>20</v>
      </c>
      <c r="C5" s="16"/>
      <c r="D5" s="17"/>
      <c r="E5" s="17"/>
      <c r="F5" s="18">
        <f t="shared" ref="F5:G5" si="3">F4/COUNTA(F7:F114)</f>
        <v>342.115942</v>
      </c>
      <c r="G5" s="18">
        <f t="shared" si="3"/>
        <v>734.5360825</v>
      </c>
      <c r="H5" s="23">
        <f>F4/G4</f>
        <v>0.3313122807</v>
      </c>
      <c r="I5" s="20">
        <f>I4/COUNTA(I7:I114)</f>
        <v>10010.27324</v>
      </c>
      <c r="J5" s="24">
        <f>I4/F4</f>
        <v>30.10799797</v>
      </c>
      <c r="K5" s="20">
        <f>K4/COUNTA(K7:K114)</f>
        <v>7064.612239</v>
      </c>
      <c r="L5" s="24">
        <f>K4/F4</f>
        <v>20.05121664</v>
      </c>
      <c r="M5" s="20">
        <f>M4/COUNTA(M7:M114)</f>
        <v>8273.293099</v>
      </c>
      <c r="N5" s="25">
        <f>M4/I4</f>
        <v>0.8264802469</v>
      </c>
      <c r="O5" s="20">
        <f t="shared" ref="O5:Q5" si="4">O4/COUNTA(O7:O114)</f>
        <v>-92.31442857</v>
      </c>
      <c r="P5" s="20">
        <f t="shared" si="4"/>
        <v>7019.521642</v>
      </c>
      <c r="Q5" s="22">
        <f t="shared" si="4"/>
        <v>4638.4594</v>
      </c>
    </row>
    <row r="6">
      <c r="B6" s="26"/>
      <c r="C6" s="27"/>
      <c r="D6" s="28"/>
      <c r="E6" s="28"/>
      <c r="F6" s="29"/>
      <c r="G6" s="29"/>
      <c r="H6" s="29"/>
      <c r="I6" s="29"/>
      <c r="J6" s="30"/>
      <c r="K6" s="29"/>
      <c r="L6" s="30"/>
      <c r="M6" s="29"/>
      <c r="N6" s="31"/>
      <c r="O6" s="29"/>
      <c r="P6" s="29"/>
      <c r="Q6" s="31"/>
    </row>
    <row r="7">
      <c r="A7" s="32">
        <v>1.0</v>
      </c>
      <c r="B7" s="33" t="s">
        <v>21</v>
      </c>
      <c r="C7" s="34">
        <v>1.0</v>
      </c>
      <c r="D7" s="35">
        <v>44947.0</v>
      </c>
      <c r="E7" s="36">
        <f t="shared" ref="E7:E39" si="5">D7</f>
        <v>44947</v>
      </c>
      <c r="F7" s="37">
        <v>222.0</v>
      </c>
      <c r="G7" s="38">
        <v>750.0</v>
      </c>
      <c r="H7" s="39">
        <f t="shared" ref="H7:H106" si="6">IFERROR(F7/G7,"")</f>
        <v>0.296</v>
      </c>
      <c r="I7" s="40">
        <v>5574.0</v>
      </c>
      <c r="J7" s="41">
        <f t="shared" ref="J7:J41" si="7">IFERROR(I7/F7,"")</f>
        <v>25.10810811</v>
      </c>
      <c r="K7" s="40">
        <v>6050.0</v>
      </c>
      <c r="L7" s="41">
        <f t="shared" ref="L7:L106" si="8">IFERROR(K7/F7,"")</f>
        <v>27.25225225</v>
      </c>
      <c r="M7" s="42">
        <f>4000+200+150+150</f>
        <v>4500</v>
      </c>
      <c r="N7" s="43">
        <f t="shared" ref="N7:N106" si="9">IFERROR(M7/I7,"")</f>
        <v>0.8073196986</v>
      </c>
      <c r="O7" s="37">
        <v>-2057.41</v>
      </c>
      <c r="P7" s="38">
        <f t="shared" ref="P7:P24" si="10">K7</f>
        <v>6050</v>
      </c>
      <c r="Q7" s="44">
        <f>SUM(O7:P7)</f>
        <v>3992.59</v>
      </c>
    </row>
    <row r="8">
      <c r="A8" s="45">
        <v>2.0</v>
      </c>
      <c r="B8" s="46" t="s">
        <v>22</v>
      </c>
      <c r="C8" s="47"/>
      <c r="D8" s="48">
        <v>44953.0</v>
      </c>
      <c r="E8" s="49">
        <f t="shared" si="5"/>
        <v>44953</v>
      </c>
      <c r="F8" s="50">
        <v>182.0</v>
      </c>
      <c r="G8" s="51">
        <v>750.0</v>
      </c>
      <c r="H8" s="52">
        <f t="shared" si="6"/>
        <v>0.2426666667</v>
      </c>
      <c r="I8" s="53">
        <v>4227.0</v>
      </c>
      <c r="J8" s="54">
        <f t="shared" si="7"/>
        <v>23.22527473</v>
      </c>
      <c r="K8" s="50"/>
      <c r="L8" s="54">
        <f t="shared" si="8"/>
        <v>0</v>
      </c>
      <c r="M8" s="51">
        <f>3000+750+150+100</f>
        <v>4000</v>
      </c>
      <c r="N8" s="55">
        <f t="shared" si="9"/>
        <v>0.9462976106</v>
      </c>
      <c r="O8" s="50">
        <v>-2809.49</v>
      </c>
      <c r="P8" s="51" t="str">
        <f t="shared" si="10"/>
        <v/>
      </c>
      <c r="Q8" s="56">
        <f t="shared" ref="Q8:Q106" si="11">O8+P8</f>
        <v>-2809.49</v>
      </c>
    </row>
    <row r="9">
      <c r="A9" s="32">
        <v>3.0</v>
      </c>
      <c r="B9" s="33" t="s">
        <v>23</v>
      </c>
      <c r="C9" s="34">
        <v>1.0</v>
      </c>
      <c r="D9" s="35">
        <v>44960.0</v>
      </c>
      <c r="E9" s="36">
        <f t="shared" si="5"/>
        <v>44960</v>
      </c>
      <c r="F9" s="37">
        <v>265.0</v>
      </c>
      <c r="G9" s="38">
        <v>750.0</v>
      </c>
      <c r="H9" s="39">
        <f t="shared" si="6"/>
        <v>0.3533333333</v>
      </c>
      <c r="I9" s="57">
        <v>8425.75</v>
      </c>
      <c r="J9" s="58">
        <f t="shared" si="7"/>
        <v>31.79528302</v>
      </c>
      <c r="K9" s="37">
        <v>1804.0</v>
      </c>
      <c r="L9" s="58">
        <f t="shared" si="8"/>
        <v>6.80754717</v>
      </c>
      <c r="M9" s="38">
        <f>5000</f>
        <v>5000</v>
      </c>
      <c r="N9" s="43">
        <f t="shared" si="9"/>
        <v>0.5934189835</v>
      </c>
      <c r="O9" s="59">
        <v>-2218.01</v>
      </c>
      <c r="P9" s="38">
        <f t="shared" si="10"/>
        <v>1804</v>
      </c>
      <c r="Q9" s="44">
        <f t="shared" si="11"/>
        <v>-414.01</v>
      </c>
    </row>
    <row r="10">
      <c r="A10" s="45">
        <v>4.0</v>
      </c>
      <c r="B10" s="46" t="s">
        <v>24</v>
      </c>
      <c r="C10" s="60">
        <v>5.0</v>
      </c>
      <c r="D10" s="48">
        <v>44967.0</v>
      </c>
      <c r="E10" s="49">
        <f t="shared" si="5"/>
        <v>44967</v>
      </c>
      <c r="F10" s="50">
        <v>298.0</v>
      </c>
      <c r="G10" s="51">
        <v>750.0</v>
      </c>
      <c r="H10" s="52">
        <f t="shared" si="6"/>
        <v>0.3973333333</v>
      </c>
      <c r="I10" s="53">
        <v>6842.0</v>
      </c>
      <c r="J10" s="54">
        <f t="shared" si="7"/>
        <v>22.95973154</v>
      </c>
      <c r="K10" s="50">
        <v>8727.0</v>
      </c>
      <c r="L10" s="54">
        <f t="shared" si="8"/>
        <v>29.2852349</v>
      </c>
      <c r="M10" s="51">
        <f>5000+200+150</f>
        <v>5350</v>
      </c>
      <c r="N10" s="55">
        <f t="shared" si="9"/>
        <v>0.7819351067</v>
      </c>
      <c r="O10" s="61">
        <v>-4054.07</v>
      </c>
      <c r="P10" s="51">
        <f t="shared" si="10"/>
        <v>8727</v>
      </c>
      <c r="Q10" s="56">
        <f t="shared" si="11"/>
        <v>4672.93</v>
      </c>
    </row>
    <row r="11">
      <c r="A11" s="32">
        <v>5.0</v>
      </c>
      <c r="B11" s="33" t="s">
        <v>25</v>
      </c>
      <c r="C11" s="34">
        <v>1.0</v>
      </c>
      <c r="D11" s="35">
        <v>44968.0</v>
      </c>
      <c r="E11" s="36">
        <f t="shared" si="5"/>
        <v>44968</v>
      </c>
      <c r="F11" s="37">
        <v>105.0</v>
      </c>
      <c r="G11" s="38">
        <v>750.0</v>
      </c>
      <c r="H11" s="39">
        <f t="shared" si="6"/>
        <v>0.14</v>
      </c>
      <c r="I11" s="37">
        <v>1849.0</v>
      </c>
      <c r="J11" s="58">
        <f t="shared" si="7"/>
        <v>17.60952381</v>
      </c>
      <c r="K11" s="37">
        <v>2474.0</v>
      </c>
      <c r="L11" s="58">
        <f t="shared" si="8"/>
        <v>23.56190476</v>
      </c>
      <c r="M11" s="38">
        <f>2500</f>
        <v>2500</v>
      </c>
      <c r="N11" s="43">
        <f t="shared" si="9"/>
        <v>1.352082207</v>
      </c>
      <c r="O11" s="37">
        <v>-3311.28</v>
      </c>
      <c r="P11" s="38">
        <f t="shared" si="10"/>
        <v>2474</v>
      </c>
      <c r="Q11" s="44">
        <f t="shared" si="11"/>
        <v>-837.28</v>
      </c>
    </row>
    <row r="12">
      <c r="A12" s="45">
        <v>6.0</v>
      </c>
      <c r="B12" s="46" t="s">
        <v>26</v>
      </c>
      <c r="C12" s="60">
        <v>5.0</v>
      </c>
      <c r="D12" s="48">
        <v>44975.0</v>
      </c>
      <c r="E12" s="49">
        <f t="shared" si="5"/>
        <v>44975</v>
      </c>
      <c r="F12" s="50">
        <v>546.0</v>
      </c>
      <c r="G12" s="51">
        <v>750.0</v>
      </c>
      <c r="H12" s="52">
        <f t="shared" si="6"/>
        <v>0.728</v>
      </c>
      <c r="I12" s="50">
        <v>15444.5</v>
      </c>
      <c r="J12" s="54">
        <f t="shared" si="7"/>
        <v>28.28663004</v>
      </c>
      <c r="K12" s="50">
        <v>14099.0</v>
      </c>
      <c r="L12" s="54">
        <f t="shared" si="8"/>
        <v>25.82234432</v>
      </c>
      <c r="M12" s="51">
        <f>6500+500+300</f>
        <v>7300</v>
      </c>
      <c r="N12" s="55">
        <f t="shared" si="9"/>
        <v>0.4726601703</v>
      </c>
      <c r="O12" s="50">
        <v>2186.19</v>
      </c>
      <c r="P12" s="51">
        <f t="shared" si="10"/>
        <v>14099</v>
      </c>
      <c r="Q12" s="56">
        <f t="shared" si="11"/>
        <v>16285.19</v>
      </c>
    </row>
    <row r="13">
      <c r="A13" s="32">
        <v>7.0</v>
      </c>
      <c r="B13" s="33" t="s">
        <v>27</v>
      </c>
      <c r="C13" s="34">
        <v>5.0</v>
      </c>
      <c r="D13" s="35">
        <v>44981.0</v>
      </c>
      <c r="E13" s="36">
        <f t="shared" si="5"/>
        <v>44981</v>
      </c>
      <c r="F13" s="37">
        <v>310.0</v>
      </c>
      <c r="G13" s="38">
        <v>750.0</v>
      </c>
      <c r="H13" s="39">
        <f t="shared" si="6"/>
        <v>0.4133333333</v>
      </c>
      <c r="I13" s="37">
        <v>5367.0</v>
      </c>
      <c r="J13" s="58">
        <f t="shared" si="7"/>
        <v>17.31290323</v>
      </c>
      <c r="K13" s="37">
        <v>11062.0</v>
      </c>
      <c r="L13" s="58">
        <f t="shared" si="8"/>
        <v>35.68387097</v>
      </c>
      <c r="M13" s="38">
        <f>1500+500+150</f>
        <v>2150</v>
      </c>
      <c r="N13" s="43">
        <f t="shared" si="9"/>
        <v>0.4005962363</v>
      </c>
      <c r="O13" s="59">
        <v>481.42</v>
      </c>
      <c r="P13" s="38">
        <f t="shared" si="10"/>
        <v>11062</v>
      </c>
      <c r="Q13" s="44">
        <f t="shared" si="11"/>
        <v>11543.42</v>
      </c>
    </row>
    <row r="14">
      <c r="A14" s="45">
        <v>8.0</v>
      </c>
      <c r="B14" s="46" t="s">
        <v>28</v>
      </c>
      <c r="C14" s="60">
        <v>5.0</v>
      </c>
      <c r="D14" s="48">
        <v>44989.0</v>
      </c>
      <c r="E14" s="49">
        <f t="shared" si="5"/>
        <v>44989</v>
      </c>
      <c r="F14" s="50">
        <v>341.0</v>
      </c>
      <c r="G14" s="51">
        <v>750.0</v>
      </c>
      <c r="H14" s="52">
        <f t="shared" si="6"/>
        <v>0.4546666667</v>
      </c>
      <c r="I14" s="50">
        <v>9061.0</v>
      </c>
      <c r="J14" s="54">
        <f t="shared" si="7"/>
        <v>26.57184751</v>
      </c>
      <c r="K14" s="50">
        <v>10288.0</v>
      </c>
      <c r="L14" s="54">
        <f t="shared" si="8"/>
        <v>30.17008798</v>
      </c>
      <c r="M14" s="51">
        <f>5000+150+150</f>
        <v>5300</v>
      </c>
      <c r="N14" s="55">
        <f t="shared" si="9"/>
        <v>0.5849244013</v>
      </c>
      <c r="O14" s="50">
        <v>-1394.99</v>
      </c>
      <c r="P14" s="51">
        <f t="shared" si="10"/>
        <v>10288</v>
      </c>
      <c r="Q14" s="56">
        <f t="shared" si="11"/>
        <v>8893.01</v>
      </c>
    </row>
    <row r="15">
      <c r="A15" s="32">
        <v>9.0</v>
      </c>
      <c r="B15" s="33" t="s">
        <v>29</v>
      </c>
      <c r="C15" s="34">
        <v>6.0</v>
      </c>
      <c r="D15" s="35">
        <v>44996.0</v>
      </c>
      <c r="E15" s="36">
        <f t="shared" si="5"/>
        <v>44996</v>
      </c>
      <c r="F15" s="38"/>
      <c r="G15" s="38">
        <v>750.0</v>
      </c>
      <c r="H15" s="39">
        <f t="shared" si="6"/>
        <v>0</v>
      </c>
      <c r="I15" s="37">
        <v>17094.0</v>
      </c>
      <c r="J15" s="58" t="str">
        <f t="shared" si="7"/>
        <v/>
      </c>
      <c r="K15" s="37">
        <v>6821.0</v>
      </c>
      <c r="L15" s="58" t="str">
        <f t="shared" si="8"/>
        <v/>
      </c>
      <c r="M15" s="37">
        <v>0.0</v>
      </c>
      <c r="N15" s="43">
        <f t="shared" si="9"/>
        <v>0</v>
      </c>
      <c r="O15" s="37">
        <v>12334.01</v>
      </c>
      <c r="P15" s="38">
        <f t="shared" si="10"/>
        <v>6821</v>
      </c>
      <c r="Q15" s="44">
        <f t="shared" si="11"/>
        <v>19155.01</v>
      </c>
    </row>
    <row r="16">
      <c r="A16" s="45">
        <v>10.0</v>
      </c>
      <c r="B16" s="46" t="s">
        <v>30</v>
      </c>
      <c r="C16" s="60">
        <v>1.0</v>
      </c>
      <c r="D16" s="48">
        <v>44999.0</v>
      </c>
      <c r="E16" s="49">
        <f t="shared" si="5"/>
        <v>44999</v>
      </c>
      <c r="F16" s="50">
        <v>57.0</v>
      </c>
      <c r="G16" s="51">
        <v>750.0</v>
      </c>
      <c r="H16" s="52">
        <f t="shared" si="6"/>
        <v>0.076</v>
      </c>
      <c r="I16" s="50">
        <v>1245.5</v>
      </c>
      <c r="J16" s="54">
        <f t="shared" si="7"/>
        <v>21.85087719</v>
      </c>
      <c r="K16" s="50">
        <v>801.0</v>
      </c>
      <c r="L16" s="54">
        <f t="shared" si="8"/>
        <v>14.05263158</v>
      </c>
      <c r="M16" s="51">
        <f>1500+500+150</f>
        <v>2150</v>
      </c>
      <c r="N16" s="55">
        <f t="shared" si="9"/>
        <v>1.726214372</v>
      </c>
      <c r="O16" s="50">
        <v>-3855.61</v>
      </c>
      <c r="P16" s="51">
        <f t="shared" si="10"/>
        <v>801</v>
      </c>
      <c r="Q16" s="56">
        <f t="shared" si="11"/>
        <v>-3054.61</v>
      </c>
    </row>
    <row r="17">
      <c r="A17" s="32">
        <v>11.0</v>
      </c>
      <c r="B17" s="33" t="s">
        <v>31</v>
      </c>
      <c r="C17" s="34">
        <v>6.0</v>
      </c>
      <c r="D17" s="35">
        <v>45000.0</v>
      </c>
      <c r="E17" s="36">
        <f t="shared" si="5"/>
        <v>45000</v>
      </c>
      <c r="F17" s="38"/>
      <c r="G17" s="38">
        <v>750.0</v>
      </c>
      <c r="H17" s="39">
        <f t="shared" si="6"/>
        <v>0</v>
      </c>
      <c r="I17" s="37">
        <v>9733.2</v>
      </c>
      <c r="J17" s="58" t="str">
        <f t="shared" si="7"/>
        <v/>
      </c>
      <c r="K17" s="37">
        <v>6141.0</v>
      </c>
      <c r="L17" s="58" t="str">
        <f t="shared" si="8"/>
        <v/>
      </c>
      <c r="M17" s="37">
        <v>0.0</v>
      </c>
      <c r="N17" s="43">
        <f t="shared" si="9"/>
        <v>0</v>
      </c>
      <c r="O17" s="37">
        <v>6479.79</v>
      </c>
      <c r="P17" s="38">
        <f t="shared" si="10"/>
        <v>6141</v>
      </c>
      <c r="Q17" s="44">
        <f t="shared" si="11"/>
        <v>12620.79</v>
      </c>
      <c r="R17" s="62"/>
    </row>
    <row r="18">
      <c r="A18" s="45">
        <v>12.0</v>
      </c>
      <c r="B18" s="46" t="s">
        <v>32</v>
      </c>
      <c r="C18" s="60">
        <v>5.0</v>
      </c>
      <c r="D18" s="48">
        <v>45002.0</v>
      </c>
      <c r="E18" s="49">
        <f t="shared" si="5"/>
        <v>45002</v>
      </c>
      <c r="F18" s="50">
        <v>423.0</v>
      </c>
      <c r="G18" s="51">
        <v>750.0</v>
      </c>
      <c r="H18" s="52">
        <f t="shared" si="6"/>
        <v>0.564</v>
      </c>
      <c r="I18" s="50">
        <v>12043.5</v>
      </c>
      <c r="J18" s="54">
        <f t="shared" si="7"/>
        <v>28.47163121</v>
      </c>
      <c r="K18" s="50">
        <v>14485.0</v>
      </c>
      <c r="L18" s="54">
        <f t="shared" si="8"/>
        <v>34.24349882</v>
      </c>
      <c r="M18" s="51">
        <f>10000+150</f>
        <v>10150</v>
      </c>
      <c r="N18" s="55">
        <f t="shared" si="9"/>
        <v>0.8427782621</v>
      </c>
      <c r="O18" s="61">
        <v>-4336.39</v>
      </c>
      <c r="P18" s="51">
        <f t="shared" si="10"/>
        <v>14485</v>
      </c>
      <c r="Q18" s="56">
        <f t="shared" si="11"/>
        <v>10148.61</v>
      </c>
      <c r="S18" s="63" t="s">
        <v>33</v>
      </c>
      <c r="T18" s="63"/>
    </row>
    <row r="19">
      <c r="A19" s="32">
        <v>13.0</v>
      </c>
      <c r="B19" s="33" t="s">
        <v>34</v>
      </c>
      <c r="C19" s="34">
        <v>5.0</v>
      </c>
      <c r="D19" s="35">
        <v>45003.0</v>
      </c>
      <c r="E19" s="36">
        <f t="shared" si="5"/>
        <v>45003</v>
      </c>
      <c r="F19" s="37">
        <v>267.0</v>
      </c>
      <c r="G19" s="38">
        <v>750.0</v>
      </c>
      <c r="H19" s="39">
        <f t="shared" si="6"/>
        <v>0.356</v>
      </c>
      <c r="I19" s="37">
        <v>7598.2</v>
      </c>
      <c r="J19" s="58">
        <f t="shared" si="7"/>
        <v>28.4576779</v>
      </c>
      <c r="K19" s="37">
        <v>5846.0</v>
      </c>
      <c r="L19" s="58">
        <f t="shared" si="8"/>
        <v>21.89513109</v>
      </c>
      <c r="M19" s="38">
        <f>3250+3250+1000+150+100</f>
        <v>7750</v>
      </c>
      <c r="N19" s="43">
        <f t="shared" si="9"/>
        <v>1.019978416</v>
      </c>
      <c r="O19" s="59">
        <v>-4554.7</v>
      </c>
      <c r="P19" s="38">
        <f t="shared" si="10"/>
        <v>5846</v>
      </c>
      <c r="Q19" s="44">
        <f t="shared" si="11"/>
        <v>1291.3</v>
      </c>
      <c r="S19" s="64" t="s">
        <v>35</v>
      </c>
      <c r="T19" s="65">
        <v>46131.0</v>
      </c>
      <c r="U19" s="64" t="s">
        <v>36</v>
      </c>
    </row>
    <row r="20">
      <c r="A20" s="45">
        <v>14.0</v>
      </c>
      <c r="B20" s="46" t="s">
        <v>37</v>
      </c>
      <c r="C20" s="60">
        <v>1.0</v>
      </c>
      <c r="D20" s="48">
        <v>45008.0</v>
      </c>
      <c r="E20" s="49">
        <f t="shared" si="5"/>
        <v>45008</v>
      </c>
      <c r="F20" s="50">
        <v>233.0</v>
      </c>
      <c r="G20" s="51">
        <v>750.0</v>
      </c>
      <c r="H20" s="52">
        <f t="shared" si="6"/>
        <v>0.3106666667</v>
      </c>
      <c r="I20" s="50">
        <v>5613.75</v>
      </c>
      <c r="J20" s="54">
        <f t="shared" si="7"/>
        <v>24.09334764</v>
      </c>
      <c r="K20" s="50">
        <v>2752.0</v>
      </c>
      <c r="L20" s="54">
        <f t="shared" si="8"/>
        <v>11.8111588</v>
      </c>
      <c r="M20" s="51">
        <f>2500</f>
        <v>2500</v>
      </c>
      <c r="N20" s="55">
        <f t="shared" si="9"/>
        <v>0.4453351147</v>
      </c>
      <c r="O20" s="61">
        <v>-1850.84</v>
      </c>
      <c r="P20" s="51">
        <f t="shared" si="10"/>
        <v>2752</v>
      </c>
      <c r="Q20" s="66">
        <f t="shared" si="11"/>
        <v>901.16</v>
      </c>
      <c r="S20" s="62"/>
      <c r="T20" s="62"/>
    </row>
    <row r="21" ht="15.75" customHeight="1">
      <c r="A21" s="45">
        <v>15.0</v>
      </c>
      <c r="B21" s="33" t="s">
        <v>38</v>
      </c>
      <c r="C21" s="34">
        <v>5.0</v>
      </c>
      <c r="D21" s="35">
        <v>45017.0</v>
      </c>
      <c r="E21" s="36">
        <f t="shared" si="5"/>
        <v>45017</v>
      </c>
      <c r="F21" s="37">
        <v>222.0</v>
      </c>
      <c r="G21" s="38">
        <v>750.0</v>
      </c>
      <c r="H21" s="39">
        <f t="shared" si="6"/>
        <v>0.296</v>
      </c>
      <c r="I21" s="37">
        <v>5542.0</v>
      </c>
      <c r="J21" s="58">
        <f t="shared" si="7"/>
        <v>24.96396396</v>
      </c>
      <c r="K21" s="37">
        <v>6862.0</v>
      </c>
      <c r="L21" s="58">
        <f t="shared" si="8"/>
        <v>30.90990991</v>
      </c>
      <c r="M21" s="38">
        <f>5000+150+150</f>
        <v>5300</v>
      </c>
      <c r="N21" s="43">
        <f t="shared" si="9"/>
        <v>0.9563334536</v>
      </c>
      <c r="O21" s="59">
        <v>-3181.11</v>
      </c>
      <c r="P21" s="67">
        <f t="shared" si="10"/>
        <v>6862</v>
      </c>
      <c r="Q21" s="68">
        <f t="shared" si="11"/>
        <v>3680.89</v>
      </c>
    </row>
    <row r="22" ht="15.75" customHeight="1">
      <c r="A22" s="45">
        <v>16.0</v>
      </c>
      <c r="B22" s="46" t="s">
        <v>39</v>
      </c>
      <c r="C22" s="60">
        <v>5.0</v>
      </c>
      <c r="D22" s="48">
        <v>45023.0</v>
      </c>
      <c r="E22" s="49">
        <f t="shared" si="5"/>
        <v>45023</v>
      </c>
      <c r="F22" s="50">
        <v>179.0</v>
      </c>
      <c r="G22" s="51">
        <v>750.0</v>
      </c>
      <c r="H22" s="52">
        <f t="shared" si="6"/>
        <v>0.2386666667</v>
      </c>
      <c r="I22" s="50">
        <v>4414.25</v>
      </c>
      <c r="J22" s="54">
        <f t="shared" si="7"/>
        <v>24.66061453</v>
      </c>
      <c r="K22" s="50">
        <v>8987.0</v>
      </c>
      <c r="L22" s="54">
        <f t="shared" si="8"/>
        <v>50.20670391</v>
      </c>
      <c r="M22" s="51">
        <f>3500+150+150+150</f>
        <v>3950</v>
      </c>
      <c r="N22" s="55">
        <f t="shared" si="9"/>
        <v>0.8948292462</v>
      </c>
      <c r="O22" s="61">
        <v>-2535.13</v>
      </c>
      <c r="P22" s="69">
        <f t="shared" si="10"/>
        <v>8987</v>
      </c>
      <c r="Q22" s="66">
        <f t="shared" si="11"/>
        <v>6451.87</v>
      </c>
    </row>
    <row r="23" ht="15.75" customHeight="1">
      <c r="A23" s="32">
        <v>17.0</v>
      </c>
      <c r="B23" s="33" t="s">
        <v>40</v>
      </c>
      <c r="C23" s="34">
        <v>5.0</v>
      </c>
      <c r="D23" s="35">
        <v>45024.0</v>
      </c>
      <c r="E23" s="36">
        <f t="shared" si="5"/>
        <v>45024</v>
      </c>
      <c r="F23" s="37">
        <v>184.0</v>
      </c>
      <c r="G23" s="38">
        <v>750.0</v>
      </c>
      <c r="H23" s="39">
        <f t="shared" si="6"/>
        <v>0.2453333333</v>
      </c>
      <c r="I23" s="37">
        <v>3499.75</v>
      </c>
      <c r="J23" s="58">
        <f t="shared" si="7"/>
        <v>19.02038043</v>
      </c>
      <c r="K23" s="37">
        <v>6619.0</v>
      </c>
      <c r="L23" s="58">
        <f t="shared" si="8"/>
        <v>35.97282609</v>
      </c>
      <c r="M23" s="38">
        <f>1200+150+100+100</f>
        <v>1550</v>
      </c>
      <c r="N23" s="43">
        <f t="shared" si="9"/>
        <v>0.4428887778</v>
      </c>
      <c r="O23" s="59">
        <v>-1785.53</v>
      </c>
      <c r="P23" s="67">
        <f t="shared" si="10"/>
        <v>6619</v>
      </c>
      <c r="Q23" s="68">
        <f t="shared" si="11"/>
        <v>4833.47</v>
      </c>
    </row>
    <row r="24" ht="15.75" customHeight="1">
      <c r="A24" s="45">
        <v>18.0</v>
      </c>
      <c r="B24" s="46" t="s">
        <v>41</v>
      </c>
      <c r="C24" s="60">
        <v>1.0</v>
      </c>
      <c r="D24" s="48">
        <v>45029.0</v>
      </c>
      <c r="E24" s="49">
        <f t="shared" si="5"/>
        <v>45029</v>
      </c>
      <c r="F24" s="50">
        <v>226.0</v>
      </c>
      <c r="G24" s="51">
        <v>750.0</v>
      </c>
      <c r="H24" s="52">
        <f t="shared" si="6"/>
        <v>0.3013333333</v>
      </c>
      <c r="I24" s="50">
        <v>5133.0</v>
      </c>
      <c r="J24" s="54">
        <f t="shared" si="7"/>
        <v>22.71238938</v>
      </c>
      <c r="K24" s="50">
        <v>4521.0</v>
      </c>
      <c r="L24" s="54">
        <f t="shared" si="8"/>
        <v>20.00442478</v>
      </c>
      <c r="M24" s="51">
        <f>1666+1666+200</f>
        <v>3532</v>
      </c>
      <c r="N24" s="55">
        <f t="shared" si="9"/>
        <v>0.6880966297</v>
      </c>
      <c r="O24" s="61">
        <v>-4162.05</v>
      </c>
      <c r="P24" s="69">
        <f t="shared" si="10"/>
        <v>4521</v>
      </c>
      <c r="Q24" s="66">
        <f t="shared" si="11"/>
        <v>358.95</v>
      </c>
    </row>
    <row r="25" ht="15.75" customHeight="1">
      <c r="A25" s="32">
        <v>19.0</v>
      </c>
      <c r="B25" s="33" t="s">
        <v>42</v>
      </c>
      <c r="C25" s="34">
        <v>5.0</v>
      </c>
      <c r="D25" s="35">
        <v>45030.0</v>
      </c>
      <c r="E25" s="36">
        <f t="shared" si="5"/>
        <v>45030</v>
      </c>
      <c r="F25" s="37">
        <v>248.0</v>
      </c>
      <c r="G25" s="38">
        <v>750.0</v>
      </c>
      <c r="H25" s="39">
        <f t="shared" si="6"/>
        <v>0.3306666667</v>
      </c>
      <c r="I25" s="37">
        <v>5936.75</v>
      </c>
      <c r="J25" s="58">
        <f t="shared" si="7"/>
        <v>23.93850806</v>
      </c>
      <c r="K25" s="37">
        <v>5595.0</v>
      </c>
      <c r="L25" s="58">
        <f t="shared" si="8"/>
        <v>22.56048387</v>
      </c>
      <c r="M25" s="38">
        <f>4000+200+150+150</f>
        <v>4500</v>
      </c>
      <c r="N25" s="43">
        <f t="shared" si="9"/>
        <v>0.757990483</v>
      </c>
      <c r="O25" s="59">
        <v>-2375.51</v>
      </c>
      <c r="P25" s="67">
        <v>2573.93</v>
      </c>
      <c r="Q25" s="68">
        <f t="shared" si="11"/>
        <v>198.42</v>
      </c>
    </row>
    <row r="26" ht="15.75" customHeight="1">
      <c r="A26" s="45">
        <v>20.0</v>
      </c>
      <c r="B26" s="46" t="s">
        <v>43</v>
      </c>
      <c r="C26" s="60">
        <v>1.0</v>
      </c>
      <c r="D26" s="48">
        <v>45031.0</v>
      </c>
      <c r="E26" s="49">
        <f t="shared" si="5"/>
        <v>45031</v>
      </c>
      <c r="F26" s="50">
        <v>291.0</v>
      </c>
      <c r="G26" s="51">
        <v>750.0</v>
      </c>
      <c r="H26" s="52">
        <f t="shared" si="6"/>
        <v>0.388</v>
      </c>
      <c r="I26" s="50">
        <v>3536.75</v>
      </c>
      <c r="J26" s="54">
        <f t="shared" si="7"/>
        <v>12.15378007</v>
      </c>
      <c r="K26" s="50">
        <v>3498.0</v>
      </c>
      <c r="L26" s="54">
        <f t="shared" si="8"/>
        <v>12.02061856</v>
      </c>
      <c r="M26" s="50">
        <v>0.0</v>
      </c>
      <c r="N26" s="55">
        <f t="shared" si="9"/>
        <v>0</v>
      </c>
      <c r="O26" s="61">
        <v>1501.52</v>
      </c>
      <c r="P26" s="69">
        <f t="shared" ref="P26:P37" si="12">K26</f>
        <v>3498</v>
      </c>
      <c r="Q26" s="66">
        <f t="shared" si="11"/>
        <v>4999.52</v>
      </c>
    </row>
    <row r="27" ht="15.75" customHeight="1">
      <c r="A27" s="32">
        <v>21.0</v>
      </c>
      <c r="B27" s="33" t="s">
        <v>44</v>
      </c>
      <c r="C27" s="70"/>
      <c r="D27" s="35">
        <v>45035.0</v>
      </c>
      <c r="E27" s="36">
        <f t="shared" si="5"/>
        <v>45035</v>
      </c>
      <c r="F27" s="37">
        <v>694.0</v>
      </c>
      <c r="G27" s="38">
        <v>750.0</v>
      </c>
      <c r="H27" s="39">
        <f t="shared" si="6"/>
        <v>0.9253333333</v>
      </c>
      <c r="I27" s="37">
        <v>14367.0</v>
      </c>
      <c r="J27" s="58">
        <f t="shared" si="7"/>
        <v>20.70172911</v>
      </c>
      <c r="K27" s="37">
        <v>14964.0</v>
      </c>
      <c r="L27" s="58">
        <f t="shared" si="8"/>
        <v>21.56195965</v>
      </c>
      <c r="M27" s="38">
        <f>14000</f>
        <v>14000</v>
      </c>
      <c r="N27" s="43">
        <f t="shared" si="9"/>
        <v>0.9744553491</v>
      </c>
      <c r="O27" s="59">
        <v>-1597.07</v>
      </c>
      <c r="P27" s="67">
        <f t="shared" si="12"/>
        <v>14964</v>
      </c>
      <c r="Q27" s="68">
        <f t="shared" si="11"/>
        <v>13366.93</v>
      </c>
    </row>
    <row r="28" ht="15.75" customHeight="1">
      <c r="A28" s="45">
        <v>22.0</v>
      </c>
      <c r="B28" s="46" t="s">
        <v>45</v>
      </c>
      <c r="C28" s="60">
        <v>1.0</v>
      </c>
      <c r="D28" s="48">
        <v>45036.0</v>
      </c>
      <c r="E28" s="49">
        <f t="shared" si="5"/>
        <v>45036</v>
      </c>
      <c r="F28" s="50">
        <v>55.0</v>
      </c>
      <c r="G28" s="51">
        <v>750.0</v>
      </c>
      <c r="H28" s="52">
        <f t="shared" si="6"/>
        <v>0.07333333333</v>
      </c>
      <c r="I28" s="50">
        <v>1081.0</v>
      </c>
      <c r="J28" s="54">
        <f t="shared" si="7"/>
        <v>19.65454545</v>
      </c>
      <c r="K28" s="50">
        <v>1117.0</v>
      </c>
      <c r="L28" s="54">
        <f t="shared" si="8"/>
        <v>20.30909091</v>
      </c>
      <c r="M28" s="50">
        <v>0.0</v>
      </c>
      <c r="N28" s="55">
        <f t="shared" si="9"/>
        <v>0</v>
      </c>
      <c r="O28" s="61">
        <v>-617.7</v>
      </c>
      <c r="P28" s="69">
        <f t="shared" si="12"/>
        <v>1117</v>
      </c>
      <c r="Q28" s="66">
        <f t="shared" si="11"/>
        <v>499.3</v>
      </c>
    </row>
    <row r="29" ht="15.75" customHeight="1">
      <c r="A29" s="32">
        <v>23.0</v>
      </c>
      <c r="B29" s="33" t="s">
        <v>46</v>
      </c>
      <c r="C29" s="34">
        <v>5.0</v>
      </c>
      <c r="D29" s="35">
        <v>45030.0</v>
      </c>
      <c r="E29" s="36">
        <f t="shared" si="5"/>
        <v>45030</v>
      </c>
      <c r="F29" s="37">
        <v>900.0</v>
      </c>
      <c r="G29" s="38">
        <v>750.0</v>
      </c>
      <c r="H29" s="39">
        <f t="shared" si="6"/>
        <v>1.2</v>
      </c>
      <c r="I29" s="37">
        <v>20400.0</v>
      </c>
      <c r="J29" s="58">
        <f t="shared" si="7"/>
        <v>22.66666667</v>
      </c>
      <c r="K29" s="38"/>
      <c r="L29" s="58">
        <f t="shared" si="8"/>
        <v>0</v>
      </c>
      <c r="M29" s="38">
        <f>5500+250+150+150</f>
        <v>6050</v>
      </c>
      <c r="N29" s="43">
        <f t="shared" si="9"/>
        <v>0.2965686275</v>
      </c>
      <c r="O29" s="59">
        <v>6988.2</v>
      </c>
      <c r="P29" s="67" t="str">
        <f t="shared" si="12"/>
        <v/>
      </c>
      <c r="Q29" s="68">
        <f t="shared" si="11"/>
        <v>6988.2</v>
      </c>
    </row>
    <row r="30" ht="15.75" customHeight="1">
      <c r="A30" s="45">
        <v>24.0</v>
      </c>
      <c r="B30" s="71" t="s">
        <v>47</v>
      </c>
      <c r="C30" s="60">
        <v>5.0</v>
      </c>
      <c r="D30" s="48">
        <v>45038.0</v>
      </c>
      <c r="E30" s="49">
        <f t="shared" si="5"/>
        <v>45038</v>
      </c>
      <c r="F30" s="50">
        <v>800.0</v>
      </c>
      <c r="G30" s="51">
        <v>750.0</v>
      </c>
      <c r="H30" s="52">
        <f t="shared" si="6"/>
        <v>1.066666667</v>
      </c>
      <c r="I30" s="50">
        <v>23595.0</v>
      </c>
      <c r="J30" s="54">
        <f t="shared" si="7"/>
        <v>29.49375</v>
      </c>
      <c r="K30" s="51"/>
      <c r="L30" s="54">
        <f t="shared" si="8"/>
        <v>0</v>
      </c>
      <c r="M30" s="51">
        <f>12500+200+150+150</f>
        <v>13000</v>
      </c>
      <c r="N30" s="55">
        <f t="shared" si="9"/>
        <v>0.5509641873</v>
      </c>
      <c r="O30" s="61">
        <v>2946.5</v>
      </c>
      <c r="P30" s="69" t="str">
        <f t="shared" si="12"/>
        <v/>
      </c>
      <c r="Q30" s="66">
        <f t="shared" si="11"/>
        <v>2946.5</v>
      </c>
    </row>
    <row r="31" ht="15.75" customHeight="1">
      <c r="A31" s="32">
        <v>25.0</v>
      </c>
      <c r="B31" s="33" t="s">
        <v>48</v>
      </c>
      <c r="C31" s="34">
        <v>5.0</v>
      </c>
      <c r="D31" s="35">
        <v>45044.0</v>
      </c>
      <c r="E31" s="36">
        <f t="shared" si="5"/>
        <v>45044</v>
      </c>
      <c r="F31" s="37">
        <v>176.0</v>
      </c>
      <c r="G31" s="38">
        <v>750.0</v>
      </c>
      <c r="H31" s="39">
        <f t="shared" si="6"/>
        <v>0.2346666667</v>
      </c>
      <c r="I31" s="37">
        <v>3882.5</v>
      </c>
      <c r="J31" s="58">
        <f t="shared" si="7"/>
        <v>22.05965909</v>
      </c>
      <c r="K31" s="37">
        <v>5589.0</v>
      </c>
      <c r="L31" s="58">
        <f t="shared" si="8"/>
        <v>31.75568182</v>
      </c>
      <c r="M31" s="38">
        <f>3500+800+200+100</f>
        <v>4600</v>
      </c>
      <c r="N31" s="43">
        <f t="shared" si="9"/>
        <v>1.184803606</v>
      </c>
      <c r="O31" s="59">
        <v>-4151.83</v>
      </c>
      <c r="P31" s="67">
        <f t="shared" si="12"/>
        <v>5589</v>
      </c>
      <c r="Q31" s="68">
        <f t="shared" si="11"/>
        <v>1437.17</v>
      </c>
    </row>
    <row r="32" ht="15.75" customHeight="1">
      <c r="A32" s="45">
        <v>26.0</v>
      </c>
      <c r="B32" s="71" t="s">
        <v>49</v>
      </c>
      <c r="C32" s="60">
        <v>5.0</v>
      </c>
      <c r="D32" s="48">
        <v>45045.0</v>
      </c>
      <c r="E32" s="49">
        <f t="shared" si="5"/>
        <v>45045</v>
      </c>
      <c r="F32" s="50">
        <v>294.0</v>
      </c>
      <c r="G32" s="51">
        <v>750.0</v>
      </c>
      <c r="H32" s="52">
        <f t="shared" si="6"/>
        <v>0.392</v>
      </c>
      <c r="I32" s="50">
        <v>7377.5</v>
      </c>
      <c r="J32" s="54">
        <f t="shared" si="7"/>
        <v>25.09353741</v>
      </c>
      <c r="K32" s="50">
        <v>11368.0</v>
      </c>
      <c r="L32" s="54">
        <f t="shared" si="8"/>
        <v>38.66666667</v>
      </c>
      <c r="M32" s="51">
        <f>400+150+150100</f>
        <v>150650</v>
      </c>
      <c r="N32" s="55">
        <f t="shared" si="9"/>
        <v>20.42019654</v>
      </c>
      <c r="O32" s="61">
        <v>-352.45</v>
      </c>
      <c r="P32" s="69">
        <f t="shared" si="12"/>
        <v>11368</v>
      </c>
      <c r="Q32" s="66">
        <f t="shared" si="11"/>
        <v>11015.55</v>
      </c>
      <c r="S32" s="72"/>
    </row>
    <row r="33" ht="15.75" customHeight="1">
      <c r="A33" s="32">
        <v>27.0</v>
      </c>
      <c r="B33" s="33" t="s">
        <v>50</v>
      </c>
      <c r="C33" s="34">
        <v>5.0</v>
      </c>
      <c r="D33" s="35">
        <v>45052.0</v>
      </c>
      <c r="E33" s="36">
        <f t="shared" si="5"/>
        <v>45052</v>
      </c>
      <c r="F33" s="37">
        <v>508.0</v>
      </c>
      <c r="G33" s="38">
        <v>750.0</v>
      </c>
      <c r="H33" s="39">
        <f t="shared" si="6"/>
        <v>0.6773333333</v>
      </c>
      <c r="I33" s="37">
        <v>13943.75</v>
      </c>
      <c r="J33" s="58">
        <f t="shared" si="7"/>
        <v>27.44832677</v>
      </c>
      <c r="K33" s="37">
        <v>14257.0</v>
      </c>
      <c r="L33" s="58">
        <f t="shared" si="8"/>
        <v>28.06496063</v>
      </c>
      <c r="M33" s="38">
        <f>5000+150+150+150</f>
        <v>5450</v>
      </c>
      <c r="N33" s="43">
        <f t="shared" si="9"/>
        <v>0.3908561183</v>
      </c>
      <c r="O33" s="59">
        <v>4739.51</v>
      </c>
      <c r="P33" s="67">
        <f t="shared" si="12"/>
        <v>14257</v>
      </c>
      <c r="Q33" s="68">
        <f t="shared" si="11"/>
        <v>18996.51</v>
      </c>
      <c r="S33" s="62"/>
    </row>
    <row r="34" ht="15.75" customHeight="1">
      <c r="A34" s="45">
        <v>28.0</v>
      </c>
      <c r="B34" s="71" t="s">
        <v>51</v>
      </c>
      <c r="C34" s="60">
        <v>1.0</v>
      </c>
      <c r="D34" s="48">
        <v>45056.0</v>
      </c>
      <c r="E34" s="49">
        <f t="shared" si="5"/>
        <v>45056</v>
      </c>
      <c r="F34" s="50">
        <v>382.0</v>
      </c>
      <c r="G34" s="51">
        <v>750.0</v>
      </c>
      <c r="H34" s="52">
        <f t="shared" si="6"/>
        <v>0.5093333333</v>
      </c>
      <c r="I34" s="50">
        <v>12074.0</v>
      </c>
      <c r="J34" s="54">
        <f t="shared" si="7"/>
        <v>31.60732984</v>
      </c>
      <c r="K34" s="50">
        <v>3190.0</v>
      </c>
      <c r="L34" s="54">
        <f t="shared" si="8"/>
        <v>8.35078534</v>
      </c>
      <c r="M34" s="51">
        <f>4200+2800+750</f>
        <v>7750</v>
      </c>
      <c r="N34" s="55">
        <f t="shared" si="9"/>
        <v>0.6418751035</v>
      </c>
      <c r="O34" s="61">
        <v>-761.99</v>
      </c>
      <c r="P34" s="69">
        <f t="shared" si="12"/>
        <v>3190</v>
      </c>
      <c r="Q34" s="66">
        <f t="shared" si="11"/>
        <v>2428.01</v>
      </c>
      <c r="S34" s="62"/>
    </row>
    <row r="35" ht="15.75" customHeight="1">
      <c r="A35" s="32">
        <v>29.0</v>
      </c>
      <c r="B35" s="33" t="s">
        <v>52</v>
      </c>
      <c r="C35" s="34">
        <v>1.0</v>
      </c>
      <c r="D35" s="35">
        <v>45064.0</v>
      </c>
      <c r="E35" s="36">
        <f t="shared" si="5"/>
        <v>45064</v>
      </c>
      <c r="F35" s="37">
        <v>346.0</v>
      </c>
      <c r="G35" s="38">
        <v>750.0</v>
      </c>
      <c r="H35" s="39">
        <f t="shared" si="6"/>
        <v>0.4613333333</v>
      </c>
      <c r="I35" s="37">
        <v>14241.0</v>
      </c>
      <c r="J35" s="58">
        <f t="shared" si="7"/>
        <v>41.15895954</v>
      </c>
      <c r="K35" s="37">
        <v>4790.0</v>
      </c>
      <c r="L35" s="58">
        <f t="shared" si="8"/>
        <v>13.84393064</v>
      </c>
      <c r="M35" s="38">
        <f>7000+175+175+150</f>
        <v>7500</v>
      </c>
      <c r="N35" s="43">
        <f t="shared" si="9"/>
        <v>0.5266484095</v>
      </c>
      <c r="O35" s="59">
        <v>1986.48</v>
      </c>
      <c r="P35" s="67">
        <f t="shared" si="12"/>
        <v>4790</v>
      </c>
      <c r="Q35" s="68">
        <f t="shared" si="11"/>
        <v>6776.48</v>
      </c>
      <c r="S35" s="62"/>
    </row>
    <row r="36" ht="15.75" customHeight="1">
      <c r="A36" s="45">
        <v>30.0</v>
      </c>
      <c r="B36" s="46" t="s">
        <v>53</v>
      </c>
      <c r="C36" s="60">
        <v>5.0</v>
      </c>
      <c r="D36" s="48">
        <v>45066.0</v>
      </c>
      <c r="E36" s="49">
        <f t="shared" si="5"/>
        <v>45066</v>
      </c>
      <c r="F36" s="50">
        <v>825.0</v>
      </c>
      <c r="G36" s="51">
        <v>750.0</v>
      </c>
      <c r="H36" s="52">
        <f t="shared" si="6"/>
        <v>1.1</v>
      </c>
      <c r="I36" s="50">
        <v>35675.0</v>
      </c>
      <c r="J36" s="54">
        <f t="shared" si="7"/>
        <v>43.24242424</v>
      </c>
      <c r="K36" s="50">
        <v>21474.0</v>
      </c>
      <c r="L36" s="54">
        <f t="shared" si="8"/>
        <v>26.02909091</v>
      </c>
      <c r="M36" s="51">
        <f>18500+1250</f>
        <v>19750</v>
      </c>
      <c r="N36" s="55">
        <f t="shared" si="9"/>
        <v>0.5536089699</v>
      </c>
      <c r="O36" s="61">
        <v>7703.63</v>
      </c>
      <c r="P36" s="69">
        <f t="shared" si="12"/>
        <v>21474</v>
      </c>
      <c r="Q36" s="66">
        <f t="shared" si="11"/>
        <v>29177.63</v>
      </c>
      <c r="S36" s="62"/>
    </row>
    <row r="37" ht="15.75" customHeight="1">
      <c r="A37" s="32">
        <v>31.0</v>
      </c>
      <c r="B37" s="33" t="s">
        <v>54</v>
      </c>
      <c r="C37" s="34">
        <v>5.0</v>
      </c>
      <c r="D37" s="35">
        <v>45086.0</v>
      </c>
      <c r="E37" s="36">
        <f t="shared" si="5"/>
        <v>45086</v>
      </c>
      <c r="F37" s="37">
        <v>262.0</v>
      </c>
      <c r="G37" s="38">
        <v>750.0</v>
      </c>
      <c r="H37" s="39">
        <f t="shared" si="6"/>
        <v>0.3493333333</v>
      </c>
      <c r="I37" s="37">
        <v>6227.5</v>
      </c>
      <c r="J37" s="58">
        <f t="shared" si="7"/>
        <v>23.76908397</v>
      </c>
      <c r="K37" s="37">
        <v>7239.0</v>
      </c>
      <c r="L37" s="58">
        <f t="shared" si="8"/>
        <v>27.62977099</v>
      </c>
      <c r="M37" s="38">
        <f>6000+200+150+150</f>
        <v>6500</v>
      </c>
      <c r="N37" s="43">
        <f t="shared" si="9"/>
        <v>1.043757527</v>
      </c>
      <c r="O37" s="67"/>
      <c r="P37" s="67">
        <f t="shared" si="12"/>
        <v>7239</v>
      </c>
      <c r="Q37" s="68">
        <f t="shared" si="11"/>
        <v>7239</v>
      </c>
      <c r="S37" s="62"/>
    </row>
    <row r="38" ht="15.75" customHeight="1">
      <c r="A38" s="45">
        <v>32.0</v>
      </c>
      <c r="B38" s="46" t="s">
        <v>55</v>
      </c>
      <c r="C38" s="60">
        <v>6.0</v>
      </c>
      <c r="D38" s="48">
        <v>45114.0</v>
      </c>
      <c r="E38" s="49">
        <f t="shared" si="5"/>
        <v>45114</v>
      </c>
      <c r="F38" s="50">
        <v>659.0</v>
      </c>
      <c r="G38" s="51">
        <v>750.0</v>
      </c>
      <c r="H38" s="52">
        <f t="shared" si="6"/>
        <v>0.8786666667</v>
      </c>
      <c r="I38" s="50">
        <v>35585.0</v>
      </c>
      <c r="J38" s="54">
        <f t="shared" si="7"/>
        <v>53.99848255</v>
      </c>
      <c r="K38" s="51"/>
      <c r="L38" s="54">
        <f t="shared" si="8"/>
        <v>0</v>
      </c>
      <c r="M38" s="51">
        <f>18854</f>
        <v>18854</v>
      </c>
      <c r="N38" s="55">
        <f t="shared" si="9"/>
        <v>0.5298299845</v>
      </c>
      <c r="O38" s="61">
        <v>14209.7</v>
      </c>
      <c r="P38" s="69"/>
      <c r="Q38" s="66">
        <f t="shared" si="11"/>
        <v>14209.7</v>
      </c>
    </row>
    <row r="39" ht="15.75" customHeight="1">
      <c r="A39" s="32">
        <v>33.0</v>
      </c>
      <c r="B39" s="33" t="s">
        <v>56</v>
      </c>
      <c r="C39" s="34">
        <v>6.0</v>
      </c>
      <c r="D39" s="35">
        <v>45116.0</v>
      </c>
      <c r="E39" s="36">
        <f t="shared" si="5"/>
        <v>45116</v>
      </c>
      <c r="F39" s="37">
        <v>21.0</v>
      </c>
      <c r="G39" s="37">
        <v>250.0</v>
      </c>
      <c r="H39" s="39">
        <f t="shared" si="6"/>
        <v>0.084</v>
      </c>
      <c r="I39" s="37">
        <v>8388.0</v>
      </c>
      <c r="J39" s="58">
        <f t="shared" si="7"/>
        <v>399.4285714</v>
      </c>
      <c r="K39" s="37">
        <v>350.0</v>
      </c>
      <c r="L39" s="58">
        <f t="shared" si="8"/>
        <v>16.66666667</v>
      </c>
      <c r="M39" s="37">
        <v>0.0</v>
      </c>
      <c r="N39" s="43">
        <f t="shared" si="9"/>
        <v>0</v>
      </c>
      <c r="O39" s="59">
        <v>5792.14</v>
      </c>
      <c r="P39" s="67">
        <f t="shared" ref="P39:P106" si="13">K39</f>
        <v>350</v>
      </c>
      <c r="Q39" s="68">
        <f t="shared" si="11"/>
        <v>6142.14</v>
      </c>
    </row>
    <row r="40" ht="15.75" customHeight="1">
      <c r="A40" s="45">
        <v>34.0</v>
      </c>
      <c r="B40" s="46" t="s">
        <v>57</v>
      </c>
      <c r="C40" s="60">
        <v>1.0</v>
      </c>
      <c r="D40" s="48">
        <v>45121.0</v>
      </c>
      <c r="E40" s="49">
        <v>46169.0</v>
      </c>
      <c r="F40" s="50">
        <v>493.0</v>
      </c>
      <c r="G40" s="51">
        <v>750.0</v>
      </c>
      <c r="H40" s="52">
        <f t="shared" si="6"/>
        <v>0.6573333333</v>
      </c>
      <c r="I40" s="50">
        <v>12966.5</v>
      </c>
      <c r="J40" s="54">
        <f t="shared" si="7"/>
        <v>26.30121704</v>
      </c>
      <c r="K40" s="50">
        <v>5840.0</v>
      </c>
      <c r="L40" s="54">
        <f t="shared" si="8"/>
        <v>11.84584178</v>
      </c>
      <c r="M40" s="51">
        <f>5000+500</f>
        <v>5500</v>
      </c>
      <c r="N40" s="55">
        <f t="shared" si="9"/>
        <v>0.4241699765</v>
      </c>
      <c r="O40" s="61">
        <v>3528.25</v>
      </c>
      <c r="P40" s="69">
        <f t="shared" si="13"/>
        <v>5840</v>
      </c>
      <c r="Q40" s="66">
        <f t="shared" si="11"/>
        <v>9368.25</v>
      </c>
    </row>
    <row r="41" ht="15.75" customHeight="1">
      <c r="A41" s="32">
        <v>35.0</v>
      </c>
      <c r="B41" s="33" t="s">
        <v>58</v>
      </c>
      <c r="C41" s="73"/>
      <c r="D41" s="35">
        <v>45128.0</v>
      </c>
      <c r="E41" s="36">
        <f t="shared" ref="E41:E106" si="14">D41</f>
        <v>45128</v>
      </c>
      <c r="F41" s="37">
        <v>126.0</v>
      </c>
      <c r="G41" s="38">
        <v>750.0</v>
      </c>
      <c r="H41" s="39">
        <f t="shared" si="6"/>
        <v>0.168</v>
      </c>
      <c r="I41" s="37">
        <v>3249.5</v>
      </c>
      <c r="J41" s="58">
        <f t="shared" si="7"/>
        <v>25.78968254</v>
      </c>
      <c r="K41" s="37">
        <v>1209.0</v>
      </c>
      <c r="L41" s="58">
        <f t="shared" si="8"/>
        <v>9.595238095</v>
      </c>
      <c r="M41" s="38">
        <f>1669.6</f>
        <v>1669.6</v>
      </c>
      <c r="N41" s="43">
        <f t="shared" si="9"/>
        <v>0.5138021234</v>
      </c>
      <c r="O41" s="59">
        <v>-41.19</v>
      </c>
      <c r="P41" s="38">
        <f t="shared" si="13"/>
        <v>1209</v>
      </c>
      <c r="Q41" s="44">
        <f t="shared" si="11"/>
        <v>1167.81</v>
      </c>
    </row>
    <row r="42" ht="15.75" customHeight="1">
      <c r="A42" s="45">
        <v>36.0</v>
      </c>
      <c r="B42" s="46" t="s">
        <v>59</v>
      </c>
      <c r="C42" s="60">
        <v>5.0</v>
      </c>
      <c r="D42" s="48">
        <v>45129.0</v>
      </c>
      <c r="E42" s="49">
        <f t="shared" si="14"/>
        <v>45129</v>
      </c>
      <c r="F42" s="50">
        <v>270.0</v>
      </c>
      <c r="G42" s="51">
        <v>750.0</v>
      </c>
      <c r="H42" s="52">
        <f t="shared" si="6"/>
        <v>0.36</v>
      </c>
      <c r="I42" s="50">
        <v>5023.5</v>
      </c>
      <c r="J42" s="54">
        <v>39.34</v>
      </c>
      <c r="K42" s="50">
        <v>8468.0</v>
      </c>
      <c r="L42" s="54">
        <f t="shared" si="8"/>
        <v>31.36296296</v>
      </c>
      <c r="M42" s="51">
        <f>4000+200+200+150</f>
        <v>4550</v>
      </c>
      <c r="N42" s="55">
        <f t="shared" si="9"/>
        <v>0.9057430079</v>
      </c>
      <c r="O42" s="50">
        <v>-2654.07</v>
      </c>
      <c r="P42" s="51">
        <f t="shared" si="13"/>
        <v>8468</v>
      </c>
      <c r="Q42" s="56">
        <f t="shared" si="11"/>
        <v>5813.93</v>
      </c>
    </row>
    <row r="43" ht="15.75" customHeight="1">
      <c r="A43" s="32">
        <v>37.0</v>
      </c>
      <c r="B43" s="33" t="s">
        <v>60</v>
      </c>
      <c r="C43" s="34">
        <v>5.0</v>
      </c>
      <c r="D43" s="35">
        <v>45136.0</v>
      </c>
      <c r="E43" s="36">
        <f t="shared" si="14"/>
        <v>45136</v>
      </c>
      <c r="F43" s="37">
        <v>179.0</v>
      </c>
      <c r="G43" s="38">
        <v>750.0</v>
      </c>
      <c r="H43" s="39">
        <f t="shared" si="6"/>
        <v>0.2386666667</v>
      </c>
      <c r="I43" s="37">
        <v>3504.5</v>
      </c>
      <c r="J43" s="58">
        <f t="shared" ref="J43:J106" si="15">IFERROR(I43/F43,"")</f>
        <v>19.57821229</v>
      </c>
      <c r="K43" s="37">
        <v>7402.0</v>
      </c>
      <c r="L43" s="58">
        <f t="shared" si="8"/>
        <v>41.35195531</v>
      </c>
      <c r="M43" s="38">
        <f>2500+2500+200+150</f>
        <v>5350</v>
      </c>
      <c r="N43" s="43">
        <f t="shared" si="9"/>
        <v>1.526608646</v>
      </c>
      <c r="O43" s="59">
        <v>-5248.69</v>
      </c>
      <c r="P43" s="38">
        <f t="shared" si="13"/>
        <v>7402</v>
      </c>
      <c r="Q43" s="44">
        <f t="shared" si="11"/>
        <v>2153.31</v>
      </c>
    </row>
    <row r="44" ht="15.75" customHeight="1">
      <c r="A44" s="45">
        <v>38.0</v>
      </c>
      <c r="B44" s="46" t="s">
        <v>53</v>
      </c>
      <c r="C44" s="60">
        <v>5.0</v>
      </c>
      <c r="D44" s="48">
        <v>45142.0</v>
      </c>
      <c r="E44" s="49">
        <f t="shared" si="14"/>
        <v>45142</v>
      </c>
      <c r="F44" s="50">
        <v>852.0</v>
      </c>
      <c r="G44" s="51">
        <v>750.0</v>
      </c>
      <c r="H44" s="52">
        <f t="shared" si="6"/>
        <v>1.136</v>
      </c>
      <c r="I44" s="50">
        <v>36459.0</v>
      </c>
      <c r="J44" s="54">
        <f t="shared" si="15"/>
        <v>42.79225352</v>
      </c>
      <c r="K44" s="50">
        <v>24300.78</v>
      </c>
      <c r="L44" s="54">
        <f t="shared" si="8"/>
        <v>28.52204225</v>
      </c>
      <c r="M44" s="51">
        <f>18500+1500</f>
        <v>20000</v>
      </c>
      <c r="N44" s="55">
        <f t="shared" si="9"/>
        <v>0.5485613977</v>
      </c>
      <c r="O44" s="50">
        <v>8700.67</v>
      </c>
      <c r="P44" s="51">
        <f t="shared" si="13"/>
        <v>24300.78</v>
      </c>
      <c r="Q44" s="56">
        <f t="shared" si="11"/>
        <v>33001.45</v>
      </c>
      <c r="R44" s="64" t="s">
        <v>61</v>
      </c>
    </row>
    <row r="45" ht="15.75" customHeight="1">
      <c r="A45" s="32">
        <v>39.0</v>
      </c>
      <c r="B45" s="33" t="s">
        <v>62</v>
      </c>
      <c r="C45" s="70"/>
      <c r="D45" s="35">
        <v>45150.0</v>
      </c>
      <c r="E45" s="36">
        <f t="shared" si="14"/>
        <v>45150</v>
      </c>
      <c r="F45" s="37">
        <v>148.0</v>
      </c>
      <c r="G45" s="37">
        <v>250.0</v>
      </c>
      <c r="H45" s="39">
        <f t="shared" si="6"/>
        <v>0.592</v>
      </c>
      <c r="I45" s="37">
        <v>2643.75</v>
      </c>
      <c r="J45" s="58">
        <f t="shared" si="15"/>
        <v>17.86317568</v>
      </c>
      <c r="K45" s="37">
        <v>4062.0</v>
      </c>
      <c r="L45" s="58">
        <f t="shared" si="8"/>
        <v>27.44594595</v>
      </c>
      <c r="M45" s="38">
        <f>3000+500</f>
        <v>3500</v>
      </c>
      <c r="N45" s="43">
        <f t="shared" si="9"/>
        <v>1.323877069</v>
      </c>
      <c r="O45" s="37">
        <v>-3290.29</v>
      </c>
      <c r="P45" s="38">
        <f t="shared" si="13"/>
        <v>4062</v>
      </c>
      <c r="Q45" s="44">
        <f t="shared" si="11"/>
        <v>771.71</v>
      </c>
    </row>
    <row r="46" ht="15.75" customHeight="1">
      <c r="A46" s="45">
        <v>40.0</v>
      </c>
      <c r="B46" s="46" t="s">
        <v>63</v>
      </c>
      <c r="C46" s="60">
        <v>5.0</v>
      </c>
      <c r="D46" s="48">
        <v>45156.0</v>
      </c>
      <c r="E46" s="49">
        <f t="shared" si="14"/>
        <v>45156</v>
      </c>
      <c r="F46" s="50">
        <v>231.0</v>
      </c>
      <c r="G46" s="50">
        <v>250.0</v>
      </c>
      <c r="H46" s="52">
        <f t="shared" si="6"/>
        <v>0.924</v>
      </c>
      <c r="I46" s="50">
        <v>4740.0</v>
      </c>
      <c r="J46" s="54">
        <f t="shared" si="15"/>
        <v>20.51948052</v>
      </c>
      <c r="K46" s="50">
        <v>6972.0</v>
      </c>
      <c r="L46" s="54">
        <f t="shared" si="8"/>
        <v>30.18181818</v>
      </c>
      <c r="M46" s="51">
        <f>4000+220+100+100</f>
        <v>4420</v>
      </c>
      <c r="N46" s="55">
        <f t="shared" si="9"/>
        <v>0.9324894515</v>
      </c>
      <c r="O46" s="50">
        <v>19.02</v>
      </c>
      <c r="P46" s="51">
        <f t="shared" si="13"/>
        <v>6972</v>
      </c>
      <c r="Q46" s="56">
        <f t="shared" si="11"/>
        <v>6991.02</v>
      </c>
    </row>
    <row r="47" ht="15.75" customHeight="1">
      <c r="A47" s="32">
        <v>41.0</v>
      </c>
      <c r="B47" s="33" t="s">
        <v>64</v>
      </c>
      <c r="C47" s="34">
        <v>5.0</v>
      </c>
      <c r="D47" s="35">
        <v>45157.0</v>
      </c>
      <c r="E47" s="36">
        <f t="shared" si="14"/>
        <v>45157</v>
      </c>
      <c r="F47" s="37">
        <v>185.0</v>
      </c>
      <c r="G47" s="38">
        <v>750.0</v>
      </c>
      <c r="H47" s="39">
        <f t="shared" si="6"/>
        <v>0.2466666667</v>
      </c>
      <c r="I47" s="37">
        <v>3937.5</v>
      </c>
      <c r="J47" s="58">
        <f t="shared" si="15"/>
        <v>21.28378378</v>
      </c>
      <c r="K47" s="37">
        <v>3700.0</v>
      </c>
      <c r="L47" s="58">
        <f t="shared" si="8"/>
        <v>20</v>
      </c>
      <c r="M47" s="38">
        <f>3000+150+150+100</f>
        <v>3400</v>
      </c>
      <c r="N47" s="43">
        <f t="shared" si="9"/>
        <v>0.8634920635</v>
      </c>
      <c r="O47" s="37">
        <v>-1142.92</v>
      </c>
      <c r="P47" s="38">
        <f t="shared" si="13"/>
        <v>3700</v>
      </c>
      <c r="Q47" s="44">
        <f t="shared" si="11"/>
        <v>2557.08</v>
      </c>
    </row>
    <row r="48" ht="15.75" customHeight="1">
      <c r="A48" s="45">
        <v>42.0</v>
      </c>
      <c r="B48" s="46" t="s">
        <v>65</v>
      </c>
      <c r="C48" s="60">
        <v>1.0</v>
      </c>
      <c r="D48" s="48">
        <v>45158.0</v>
      </c>
      <c r="E48" s="49">
        <f t="shared" si="14"/>
        <v>45158</v>
      </c>
      <c r="F48" s="50">
        <v>295.0</v>
      </c>
      <c r="G48" s="51">
        <v>750.0</v>
      </c>
      <c r="H48" s="52">
        <f t="shared" si="6"/>
        <v>0.3933333333</v>
      </c>
      <c r="I48" s="50">
        <v>4432.5</v>
      </c>
      <c r="J48" s="54">
        <f t="shared" si="15"/>
        <v>15.02542373</v>
      </c>
      <c r="K48" s="50">
        <v>3838.0</v>
      </c>
      <c r="L48" s="54">
        <f t="shared" si="8"/>
        <v>13.01016949</v>
      </c>
      <c r="M48" s="51">
        <f>945.84</f>
        <v>945.84</v>
      </c>
      <c r="N48" s="55">
        <f t="shared" si="9"/>
        <v>0.2133874788</v>
      </c>
      <c r="O48" s="50">
        <v>1063.96</v>
      </c>
      <c r="P48" s="51">
        <f t="shared" si="13"/>
        <v>3838</v>
      </c>
      <c r="Q48" s="56">
        <f t="shared" si="11"/>
        <v>4901.96</v>
      </c>
    </row>
    <row r="49" ht="15.75" customHeight="1">
      <c r="A49" s="32">
        <v>43.0</v>
      </c>
      <c r="B49" s="33" t="s">
        <v>66</v>
      </c>
      <c r="C49" s="34">
        <v>1.0</v>
      </c>
      <c r="D49" s="35">
        <v>45161.0</v>
      </c>
      <c r="E49" s="36">
        <f t="shared" si="14"/>
        <v>45161</v>
      </c>
      <c r="F49" s="37">
        <v>288.0</v>
      </c>
      <c r="G49" s="38">
        <v>750.0</v>
      </c>
      <c r="H49" s="39">
        <f t="shared" si="6"/>
        <v>0.384</v>
      </c>
      <c r="I49" s="37">
        <v>9216.25</v>
      </c>
      <c r="J49" s="58">
        <f t="shared" si="15"/>
        <v>32.00086806</v>
      </c>
      <c r="K49" s="37">
        <v>3893.0</v>
      </c>
      <c r="L49" s="58">
        <f t="shared" si="8"/>
        <v>13.51736111</v>
      </c>
      <c r="M49" s="38">
        <f>5000+500+250</f>
        <v>5750</v>
      </c>
      <c r="N49" s="43">
        <f t="shared" si="9"/>
        <v>0.6238980062</v>
      </c>
      <c r="O49" s="74">
        <v>-772.17</v>
      </c>
      <c r="P49" s="38">
        <f t="shared" si="13"/>
        <v>3893</v>
      </c>
      <c r="Q49" s="44">
        <f t="shared" si="11"/>
        <v>3120.83</v>
      </c>
    </row>
    <row r="50" ht="15.75" customHeight="1">
      <c r="A50" s="45">
        <v>44.0</v>
      </c>
      <c r="B50" s="46" t="s">
        <v>67</v>
      </c>
      <c r="C50" s="60">
        <v>1.0</v>
      </c>
      <c r="D50" s="48">
        <v>45163.0</v>
      </c>
      <c r="E50" s="49">
        <f t="shared" si="14"/>
        <v>45163</v>
      </c>
      <c r="F50" s="50">
        <v>113.0</v>
      </c>
      <c r="G50" s="51">
        <v>750.0</v>
      </c>
      <c r="H50" s="52">
        <f t="shared" si="6"/>
        <v>0.1506666667</v>
      </c>
      <c r="I50" s="50">
        <v>2562.0</v>
      </c>
      <c r="J50" s="54">
        <f t="shared" si="15"/>
        <v>22.67256637</v>
      </c>
      <c r="K50" s="50">
        <v>1596.0</v>
      </c>
      <c r="L50" s="54">
        <f t="shared" si="8"/>
        <v>14.12389381</v>
      </c>
      <c r="M50" s="50">
        <v>1424.5</v>
      </c>
      <c r="N50" s="55">
        <f t="shared" si="9"/>
        <v>0.556010929</v>
      </c>
      <c r="O50" s="50">
        <v>-196.01</v>
      </c>
      <c r="P50" s="51">
        <f t="shared" si="13"/>
        <v>1596</v>
      </c>
      <c r="Q50" s="56">
        <f t="shared" si="11"/>
        <v>1399.99</v>
      </c>
    </row>
    <row r="51" ht="15.75" customHeight="1">
      <c r="A51" s="32">
        <v>45.0</v>
      </c>
      <c r="B51" s="33" t="s">
        <v>68</v>
      </c>
      <c r="C51" s="34">
        <v>1.0</v>
      </c>
      <c r="D51" s="35">
        <v>46285.0</v>
      </c>
      <c r="E51" s="36">
        <f t="shared" si="14"/>
        <v>46285</v>
      </c>
      <c r="F51" s="37">
        <v>800.0</v>
      </c>
      <c r="G51" s="38">
        <v>750.0</v>
      </c>
      <c r="H51" s="39">
        <f t="shared" si="6"/>
        <v>1.066666667</v>
      </c>
      <c r="I51" s="37">
        <v>21581.5</v>
      </c>
      <c r="J51" s="58">
        <f t="shared" si="15"/>
        <v>26.976875</v>
      </c>
      <c r="K51" s="37">
        <v>7230.0</v>
      </c>
      <c r="L51" s="58">
        <f t="shared" si="8"/>
        <v>9.0375</v>
      </c>
      <c r="M51" s="38">
        <f>9406.95+500</f>
        <v>9906.95</v>
      </c>
      <c r="N51" s="43">
        <f t="shared" si="9"/>
        <v>0.4590482589</v>
      </c>
      <c r="O51" s="37">
        <v>5632.55</v>
      </c>
      <c r="P51" s="38">
        <f t="shared" si="13"/>
        <v>7230</v>
      </c>
      <c r="Q51" s="44">
        <f t="shared" si="11"/>
        <v>12862.55</v>
      </c>
    </row>
    <row r="52" ht="15.75" customHeight="1">
      <c r="A52" s="45">
        <v>46.0</v>
      </c>
      <c r="B52" s="46" t="s">
        <v>69</v>
      </c>
      <c r="C52" s="60">
        <v>1.0</v>
      </c>
      <c r="D52" s="48">
        <v>45191.0</v>
      </c>
      <c r="E52" s="49">
        <f t="shared" si="14"/>
        <v>45191</v>
      </c>
      <c r="F52" s="50">
        <v>137.0</v>
      </c>
      <c r="G52" s="51">
        <v>750.0</v>
      </c>
      <c r="H52" s="52">
        <f t="shared" si="6"/>
        <v>0.1826666667</v>
      </c>
      <c r="I52" s="50">
        <v>3129.0</v>
      </c>
      <c r="J52" s="54">
        <f t="shared" si="15"/>
        <v>22.83941606</v>
      </c>
      <c r="K52" s="50">
        <v>2095.0</v>
      </c>
      <c r="L52" s="54">
        <f t="shared" si="8"/>
        <v>15.2919708</v>
      </c>
      <c r="M52" s="51">
        <f>4000+500+200</f>
        <v>4700</v>
      </c>
      <c r="N52" s="55">
        <f t="shared" si="9"/>
        <v>1.502077341</v>
      </c>
      <c r="O52" s="50">
        <v>-4053.76</v>
      </c>
      <c r="P52" s="51">
        <f t="shared" si="13"/>
        <v>2095</v>
      </c>
      <c r="Q52" s="56">
        <f t="shared" si="11"/>
        <v>-1958.76</v>
      </c>
    </row>
    <row r="53" ht="15.75" customHeight="1">
      <c r="A53" s="32">
        <v>47.0</v>
      </c>
      <c r="B53" s="33" t="s">
        <v>70</v>
      </c>
      <c r="C53" s="34">
        <v>5.0</v>
      </c>
      <c r="D53" s="35">
        <v>45192.0</v>
      </c>
      <c r="E53" s="36">
        <f t="shared" si="14"/>
        <v>45192</v>
      </c>
      <c r="F53" s="37">
        <v>114.0</v>
      </c>
      <c r="G53" s="38">
        <v>750.0</v>
      </c>
      <c r="H53" s="39">
        <f t="shared" si="6"/>
        <v>0.152</v>
      </c>
      <c r="I53" s="37">
        <v>2193.0</v>
      </c>
      <c r="J53" s="58">
        <f t="shared" si="15"/>
        <v>19.23684211</v>
      </c>
      <c r="K53" s="37">
        <v>3002.0</v>
      </c>
      <c r="L53" s="58">
        <f t="shared" si="8"/>
        <v>26.33333333</v>
      </c>
      <c r="M53" s="38">
        <f>3500+200+200</f>
        <v>3900</v>
      </c>
      <c r="N53" s="43">
        <f t="shared" si="9"/>
        <v>1.778385773</v>
      </c>
      <c r="O53" s="37">
        <v>-4990.76</v>
      </c>
      <c r="P53" s="38">
        <f t="shared" si="13"/>
        <v>3002</v>
      </c>
      <c r="Q53" s="44">
        <f t="shared" si="11"/>
        <v>-1988.76</v>
      </c>
    </row>
    <row r="54" ht="15.75" customHeight="1">
      <c r="A54" s="45">
        <v>48.0</v>
      </c>
      <c r="B54" s="46" t="s">
        <v>71</v>
      </c>
      <c r="C54" s="60">
        <v>5.0</v>
      </c>
      <c r="D54" s="48">
        <v>45198.0</v>
      </c>
      <c r="E54" s="49">
        <f t="shared" si="14"/>
        <v>45198</v>
      </c>
      <c r="F54" s="50">
        <v>275.0</v>
      </c>
      <c r="G54" s="51">
        <v>750.0</v>
      </c>
      <c r="H54" s="52">
        <f t="shared" si="6"/>
        <v>0.3666666667</v>
      </c>
      <c r="I54" s="50">
        <v>6293.75</v>
      </c>
      <c r="J54" s="54">
        <f t="shared" si="15"/>
        <v>22.88636364</v>
      </c>
      <c r="K54" s="50">
        <v>6933.0</v>
      </c>
      <c r="L54" s="54">
        <f t="shared" si="8"/>
        <v>25.21090909</v>
      </c>
      <c r="M54" s="51">
        <f>4000+650+300</f>
        <v>4950</v>
      </c>
      <c r="N54" s="55">
        <f t="shared" si="9"/>
        <v>0.7864945382</v>
      </c>
      <c r="O54" s="50">
        <v>-3220.5</v>
      </c>
      <c r="P54" s="51">
        <f t="shared" si="13"/>
        <v>6933</v>
      </c>
      <c r="Q54" s="56">
        <f t="shared" si="11"/>
        <v>3712.5</v>
      </c>
    </row>
    <row r="55" ht="15.75" customHeight="1">
      <c r="A55" s="32">
        <v>49.0</v>
      </c>
      <c r="B55" s="33" t="s">
        <v>72</v>
      </c>
      <c r="C55" s="34">
        <v>5.0</v>
      </c>
      <c r="D55" s="35">
        <v>45204.0</v>
      </c>
      <c r="E55" s="36">
        <f t="shared" si="14"/>
        <v>45204</v>
      </c>
      <c r="F55" s="37">
        <v>859.0</v>
      </c>
      <c r="G55" s="38">
        <v>750.0</v>
      </c>
      <c r="H55" s="39">
        <f t="shared" si="6"/>
        <v>1.145333333</v>
      </c>
      <c r="I55" s="37">
        <v>32464.75</v>
      </c>
      <c r="J55" s="58">
        <f t="shared" si="15"/>
        <v>37.79365541</v>
      </c>
      <c r="K55" s="37">
        <v>27242.0</v>
      </c>
      <c r="L55" s="58">
        <f t="shared" si="8"/>
        <v>31.71362049</v>
      </c>
      <c r="M55" s="38">
        <f>15000+250+250</f>
        <v>15500</v>
      </c>
      <c r="N55" s="43">
        <f t="shared" si="9"/>
        <v>0.4774409167</v>
      </c>
      <c r="O55" s="37">
        <v>8089.21</v>
      </c>
      <c r="P55" s="38">
        <f t="shared" si="13"/>
        <v>27242</v>
      </c>
      <c r="Q55" s="44">
        <f t="shared" si="11"/>
        <v>35331.21</v>
      </c>
    </row>
    <row r="56" ht="15.75" customHeight="1">
      <c r="A56" s="45">
        <v>50.0</v>
      </c>
      <c r="B56" s="46" t="s">
        <v>73</v>
      </c>
      <c r="C56" s="60">
        <v>1.0</v>
      </c>
      <c r="D56" s="48">
        <v>45205.0</v>
      </c>
      <c r="E56" s="49">
        <f t="shared" si="14"/>
        <v>45205</v>
      </c>
      <c r="F56" s="50">
        <v>175.0</v>
      </c>
      <c r="G56" s="51">
        <v>750.0</v>
      </c>
      <c r="H56" s="52">
        <f t="shared" si="6"/>
        <v>0.2333333333</v>
      </c>
      <c r="I56" s="50">
        <v>4280.0</v>
      </c>
      <c r="J56" s="54">
        <f t="shared" si="15"/>
        <v>24.45714286</v>
      </c>
      <c r="K56" s="50">
        <v>2446.0</v>
      </c>
      <c r="L56" s="54">
        <f t="shared" si="8"/>
        <v>13.97714286</v>
      </c>
      <c r="M56" s="51">
        <f>5500+500</f>
        <v>6000</v>
      </c>
      <c r="N56" s="55">
        <f t="shared" si="9"/>
        <v>1.401869159</v>
      </c>
      <c r="O56" s="75">
        <v>-5263.44</v>
      </c>
      <c r="P56" s="51">
        <f t="shared" si="13"/>
        <v>2446</v>
      </c>
      <c r="Q56" s="56">
        <f t="shared" si="11"/>
        <v>-2817.44</v>
      </c>
    </row>
    <row r="57" ht="15.75" customHeight="1">
      <c r="A57" s="32">
        <v>51.0</v>
      </c>
      <c r="B57" s="33" t="s">
        <v>74</v>
      </c>
      <c r="C57" s="34">
        <v>5.0</v>
      </c>
      <c r="D57" s="35">
        <v>45206.0</v>
      </c>
      <c r="E57" s="36">
        <f t="shared" si="14"/>
        <v>45206</v>
      </c>
      <c r="F57" s="37">
        <v>439.0</v>
      </c>
      <c r="G57" s="38">
        <v>750.0</v>
      </c>
      <c r="H57" s="39">
        <f t="shared" si="6"/>
        <v>0.5853333333</v>
      </c>
      <c r="I57" s="37">
        <v>10508.5</v>
      </c>
      <c r="J57" s="58">
        <f t="shared" si="15"/>
        <v>23.93735763</v>
      </c>
      <c r="K57" s="37">
        <v>10356.0</v>
      </c>
      <c r="L57" s="58">
        <f t="shared" si="8"/>
        <v>23.58997722</v>
      </c>
      <c r="M57" s="38">
        <f>4000+200+200</f>
        <v>4400</v>
      </c>
      <c r="N57" s="43">
        <f t="shared" si="9"/>
        <v>0.4187086644</v>
      </c>
      <c r="O57" s="37">
        <v>2851.67</v>
      </c>
      <c r="P57" s="38">
        <f t="shared" si="13"/>
        <v>10356</v>
      </c>
      <c r="Q57" s="44">
        <f t="shared" si="11"/>
        <v>13207.67</v>
      </c>
    </row>
    <row r="58" ht="15.75" customHeight="1">
      <c r="A58" s="45">
        <v>52.0</v>
      </c>
      <c r="B58" s="46" t="s">
        <v>75</v>
      </c>
      <c r="C58" s="60">
        <v>1.0</v>
      </c>
      <c r="D58" s="48">
        <v>45210.0</v>
      </c>
      <c r="E58" s="49">
        <f t="shared" si="14"/>
        <v>45210</v>
      </c>
      <c r="F58" s="50">
        <v>293.0</v>
      </c>
      <c r="G58" s="51">
        <v>750.0</v>
      </c>
      <c r="H58" s="52">
        <f t="shared" si="6"/>
        <v>0.3906666667</v>
      </c>
      <c r="I58" s="50">
        <v>8753.0</v>
      </c>
      <c r="J58" s="54">
        <f t="shared" si="15"/>
        <v>29.87372014</v>
      </c>
      <c r="K58" s="50">
        <v>2458.0</v>
      </c>
      <c r="L58" s="54">
        <f t="shared" si="8"/>
        <v>8.389078498</v>
      </c>
      <c r="M58" s="51">
        <f>5000+500</f>
        <v>5500</v>
      </c>
      <c r="N58" s="55">
        <f t="shared" si="9"/>
        <v>0.6283559922</v>
      </c>
      <c r="O58" s="75">
        <v>-506.92</v>
      </c>
      <c r="P58" s="51">
        <f t="shared" si="13"/>
        <v>2458</v>
      </c>
      <c r="Q58" s="56">
        <f t="shared" si="11"/>
        <v>1951.08</v>
      </c>
    </row>
    <row r="59" ht="15.75" customHeight="1">
      <c r="A59" s="32">
        <v>53.0</v>
      </c>
      <c r="B59" s="33" t="s">
        <v>76</v>
      </c>
      <c r="C59" s="34">
        <v>5.0</v>
      </c>
      <c r="D59" s="35">
        <v>45213.0</v>
      </c>
      <c r="E59" s="36">
        <f t="shared" si="14"/>
        <v>45213</v>
      </c>
      <c r="F59" s="37">
        <v>382.0</v>
      </c>
      <c r="G59" s="38">
        <v>750.0</v>
      </c>
      <c r="H59" s="39">
        <f t="shared" si="6"/>
        <v>0.5093333333</v>
      </c>
      <c r="I59" s="37">
        <v>10463.0</v>
      </c>
      <c r="J59" s="58">
        <f t="shared" si="15"/>
        <v>27.39005236</v>
      </c>
      <c r="K59" s="37">
        <v>10981.0</v>
      </c>
      <c r="L59" s="58">
        <f t="shared" si="8"/>
        <v>28.7460733</v>
      </c>
      <c r="M59" s="38">
        <f>15000+250+250+100+100</f>
        <v>15700</v>
      </c>
      <c r="N59" s="43">
        <f t="shared" si="9"/>
        <v>1.500525662</v>
      </c>
      <c r="O59" s="74">
        <v>-7259.19</v>
      </c>
      <c r="P59" s="38">
        <f t="shared" si="13"/>
        <v>10981</v>
      </c>
      <c r="Q59" s="76">
        <f t="shared" si="11"/>
        <v>3721.81</v>
      </c>
    </row>
    <row r="60" ht="15.75" customHeight="1">
      <c r="A60" s="45">
        <v>54.0</v>
      </c>
      <c r="B60" s="46" t="s">
        <v>77</v>
      </c>
      <c r="C60" s="60">
        <v>1.0</v>
      </c>
      <c r="D60" s="48">
        <v>45219.0</v>
      </c>
      <c r="E60" s="49">
        <f t="shared" si="14"/>
        <v>45219</v>
      </c>
      <c r="F60" s="50">
        <v>129.0</v>
      </c>
      <c r="G60" s="51">
        <v>750.0</v>
      </c>
      <c r="H60" s="52">
        <f t="shared" si="6"/>
        <v>0.172</v>
      </c>
      <c r="I60" s="50">
        <v>3156.5</v>
      </c>
      <c r="J60" s="54">
        <f t="shared" si="15"/>
        <v>24.46899225</v>
      </c>
      <c r="K60" s="50">
        <v>1759.0</v>
      </c>
      <c r="L60" s="54">
        <f t="shared" si="8"/>
        <v>13.63565891</v>
      </c>
      <c r="M60" s="51">
        <f>5750+500</f>
        <v>6250</v>
      </c>
      <c r="N60" s="55">
        <f t="shared" si="9"/>
        <v>1.980041185</v>
      </c>
      <c r="O60" s="75">
        <v>-7402.23</v>
      </c>
      <c r="P60" s="51">
        <f t="shared" si="13"/>
        <v>1759</v>
      </c>
      <c r="Q60" s="77">
        <f t="shared" si="11"/>
        <v>-5643.23</v>
      </c>
    </row>
    <row r="61" ht="15.75" customHeight="1">
      <c r="A61" s="32">
        <v>55.0</v>
      </c>
      <c r="B61" s="33" t="s">
        <v>78</v>
      </c>
      <c r="C61" s="34">
        <v>1.0</v>
      </c>
      <c r="D61" s="35">
        <v>45225.0</v>
      </c>
      <c r="E61" s="36">
        <f t="shared" si="14"/>
        <v>45225</v>
      </c>
      <c r="F61" s="37">
        <v>41.0</v>
      </c>
      <c r="G61" s="38">
        <v>750.0</v>
      </c>
      <c r="H61" s="39">
        <f t="shared" si="6"/>
        <v>0.05466666667</v>
      </c>
      <c r="I61" s="37">
        <v>900.0</v>
      </c>
      <c r="J61" s="58">
        <f t="shared" si="15"/>
        <v>21.95121951</v>
      </c>
      <c r="K61" s="37">
        <v>6652.0</v>
      </c>
      <c r="L61" s="58">
        <f t="shared" si="8"/>
        <v>162.2439024</v>
      </c>
      <c r="M61" s="38">
        <f>1300+450</f>
        <v>1750</v>
      </c>
      <c r="N61" s="43">
        <f t="shared" si="9"/>
        <v>1.944444444</v>
      </c>
      <c r="O61" s="74">
        <v>-3772.62</v>
      </c>
      <c r="P61" s="38">
        <f t="shared" si="13"/>
        <v>6652</v>
      </c>
      <c r="Q61" s="44">
        <f t="shared" si="11"/>
        <v>2879.38</v>
      </c>
    </row>
    <row r="62" ht="15.75" customHeight="1">
      <c r="A62" s="45">
        <v>56.0</v>
      </c>
      <c r="B62" s="46" t="s">
        <v>79</v>
      </c>
      <c r="C62" s="60">
        <v>1.0</v>
      </c>
      <c r="D62" s="48">
        <v>45226.0</v>
      </c>
      <c r="E62" s="49">
        <f t="shared" si="14"/>
        <v>45226</v>
      </c>
      <c r="F62" s="50">
        <v>540.0</v>
      </c>
      <c r="G62" s="51">
        <v>750.0</v>
      </c>
      <c r="H62" s="52">
        <f t="shared" si="6"/>
        <v>0.72</v>
      </c>
      <c r="I62" s="50">
        <v>18149.75</v>
      </c>
      <c r="J62" s="54">
        <f t="shared" si="15"/>
        <v>33.61064815</v>
      </c>
      <c r="K62" s="50">
        <v>6291.0</v>
      </c>
      <c r="L62" s="54">
        <f t="shared" si="8"/>
        <v>11.65</v>
      </c>
      <c r="M62" s="51">
        <f>6500+2000+500</f>
        <v>9000</v>
      </c>
      <c r="N62" s="55">
        <f t="shared" si="9"/>
        <v>0.4958745988</v>
      </c>
      <c r="O62" s="50">
        <v>4966.12</v>
      </c>
      <c r="P62" s="51">
        <f t="shared" si="13"/>
        <v>6291</v>
      </c>
      <c r="Q62" s="56">
        <f t="shared" si="11"/>
        <v>11257.12</v>
      </c>
    </row>
    <row r="63" ht="15.75" customHeight="1">
      <c r="A63" s="32">
        <v>57.0</v>
      </c>
      <c r="B63" s="33" t="s">
        <v>80</v>
      </c>
      <c r="C63" s="34">
        <v>5.0</v>
      </c>
      <c r="D63" s="35">
        <v>45227.0</v>
      </c>
      <c r="E63" s="36">
        <f t="shared" si="14"/>
        <v>45227</v>
      </c>
      <c r="F63" s="37">
        <v>221.0</v>
      </c>
      <c r="G63" s="38">
        <v>750.0</v>
      </c>
      <c r="H63" s="39">
        <f t="shared" si="6"/>
        <v>0.2946666667</v>
      </c>
      <c r="I63" s="37">
        <v>4828.0</v>
      </c>
      <c r="J63" s="58">
        <f t="shared" si="15"/>
        <v>21.84615385</v>
      </c>
      <c r="K63" s="37">
        <v>5298.0</v>
      </c>
      <c r="L63" s="58">
        <f t="shared" si="8"/>
        <v>23.97285068</v>
      </c>
      <c r="M63" s="38">
        <f>3500+200+150</f>
        <v>3850</v>
      </c>
      <c r="N63" s="43">
        <f t="shared" si="9"/>
        <v>0.7974316487</v>
      </c>
      <c r="O63" s="74">
        <v>-2029.73</v>
      </c>
      <c r="P63" s="38">
        <f t="shared" si="13"/>
        <v>5298</v>
      </c>
      <c r="Q63" s="44">
        <f t="shared" si="11"/>
        <v>3268.27</v>
      </c>
    </row>
    <row r="64" ht="15.75" customHeight="1">
      <c r="A64" s="45">
        <v>58.0</v>
      </c>
      <c r="B64" s="46" t="s">
        <v>81</v>
      </c>
      <c r="C64" s="60">
        <v>1.0</v>
      </c>
      <c r="D64" s="48">
        <v>45234.0</v>
      </c>
      <c r="E64" s="49">
        <f t="shared" si="14"/>
        <v>45234</v>
      </c>
      <c r="F64" s="50">
        <v>465.0</v>
      </c>
      <c r="G64" s="51">
        <v>750.0</v>
      </c>
      <c r="H64" s="52">
        <f t="shared" si="6"/>
        <v>0.62</v>
      </c>
      <c r="I64" s="50">
        <v>12628.0</v>
      </c>
      <c r="J64" s="54">
        <f t="shared" si="15"/>
        <v>27.15698925</v>
      </c>
      <c r="K64" s="50">
        <v>6383.0</v>
      </c>
      <c r="L64" s="54">
        <f t="shared" si="8"/>
        <v>13.72688172</v>
      </c>
      <c r="M64" s="51">
        <f>5000+2500+400+400</f>
        <v>8300</v>
      </c>
      <c r="N64" s="55">
        <f t="shared" si="9"/>
        <v>0.6572695597</v>
      </c>
      <c r="O64" s="75">
        <v>-1369.28</v>
      </c>
      <c r="P64" s="51">
        <f t="shared" si="13"/>
        <v>6383</v>
      </c>
      <c r="Q64" s="56">
        <f t="shared" si="11"/>
        <v>5013.72</v>
      </c>
    </row>
    <row r="65" ht="15.75" customHeight="1">
      <c r="A65" s="32">
        <v>59.0</v>
      </c>
      <c r="B65" s="33" t="s">
        <v>82</v>
      </c>
      <c r="C65" s="34">
        <v>1.0</v>
      </c>
      <c r="D65" s="35">
        <v>45239.0</v>
      </c>
      <c r="E65" s="36">
        <f t="shared" si="14"/>
        <v>45239</v>
      </c>
      <c r="F65" s="37">
        <v>463.0</v>
      </c>
      <c r="G65" s="38">
        <v>750.0</v>
      </c>
      <c r="H65" s="39">
        <f t="shared" si="6"/>
        <v>0.6173333333</v>
      </c>
      <c r="I65" s="37">
        <v>13417.0</v>
      </c>
      <c r="J65" s="58">
        <f t="shared" si="15"/>
        <v>28.97840173</v>
      </c>
      <c r="K65" s="37">
        <v>8232.0</v>
      </c>
      <c r="L65" s="58">
        <f t="shared" si="8"/>
        <v>17.77969762</v>
      </c>
      <c r="M65" s="38">
        <f>9000+650+150</f>
        <v>9800</v>
      </c>
      <c r="N65" s="43">
        <f t="shared" si="9"/>
        <v>0.7304166356</v>
      </c>
      <c r="O65" s="74">
        <v>-2074.87</v>
      </c>
      <c r="P65" s="38">
        <f t="shared" si="13"/>
        <v>8232</v>
      </c>
      <c r="Q65" s="44">
        <f t="shared" si="11"/>
        <v>6157.13</v>
      </c>
    </row>
    <row r="66" ht="15.75" customHeight="1">
      <c r="A66" s="45">
        <v>60.0</v>
      </c>
      <c r="B66" s="46" t="s">
        <v>83</v>
      </c>
      <c r="C66" s="60">
        <v>5.0</v>
      </c>
      <c r="D66" s="48">
        <v>45240.0</v>
      </c>
      <c r="E66" s="49">
        <f t="shared" si="14"/>
        <v>45240</v>
      </c>
      <c r="F66" s="50">
        <v>311.0</v>
      </c>
      <c r="G66" s="51">
        <v>750.0</v>
      </c>
      <c r="H66" s="52">
        <f t="shared" si="6"/>
        <v>0.4146666667</v>
      </c>
      <c r="I66" s="50">
        <v>7707.0</v>
      </c>
      <c r="J66" s="54">
        <f t="shared" si="15"/>
        <v>24.78135048</v>
      </c>
      <c r="K66" s="50">
        <v>6963.0</v>
      </c>
      <c r="L66" s="54">
        <f t="shared" si="8"/>
        <v>22.38906752</v>
      </c>
      <c r="M66" s="51">
        <f>5000</f>
        <v>5000</v>
      </c>
      <c r="N66" s="55">
        <f t="shared" si="9"/>
        <v>0.6487608667</v>
      </c>
      <c r="O66" s="75">
        <v>-739.1</v>
      </c>
      <c r="P66" s="51">
        <f t="shared" si="13"/>
        <v>6963</v>
      </c>
      <c r="Q66" s="77">
        <f t="shared" si="11"/>
        <v>6223.9</v>
      </c>
    </row>
    <row r="67" ht="15.75" customHeight="1">
      <c r="A67" s="32">
        <v>61.0</v>
      </c>
      <c r="B67" s="33" t="s">
        <v>84</v>
      </c>
      <c r="C67" s="34">
        <v>1.0</v>
      </c>
      <c r="D67" s="35">
        <v>45241.0</v>
      </c>
      <c r="E67" s="36">
        <f t="shared" si="14"/>
        <v>45241</v>
      </c>
      <c r="F67" s="37">
        <v>800.0</v>
      </c>
      <c r="G67" s="38">
        <v>750.0</v>
      </c>
      <c r="H67" s="39">
        <f t="shared" si="6"/>
        <v>1.066666667</v>
      </c>
      <c r="I67" s="37">
        <v>22533.5</v>
      </c>
      <c r="J67" s="58">
        <f t="shared" si="15"/>
        <v>28.166875</v>
      </c>
      <c r="K67" s="37">
        <v>7987.0</v>
      </c>
      <c r="L67" s="58">
        <f t="shared" si="8"/>
        <v>9.98375</v>
      </c>
      <c r="M67" s="38">
        <f>5988.96+5988.96+500</f>
        <v>12477.92</v>
      </c>
      <c r="N67" s="43">
        <f t="shared" si="9"/>
        <v>0.5537497504</v>
      </c>
      <c r="O67" s="74">
        <v>5832.38</v>
      </c>
      <c r="P67" s="38">
        <f t="shared" si="13"/>
        <v>7987</v>
      </c>
      <c r="Q67" s="44">
        <f t="shared" si="11"/>
        <v>13819.38</v>
      </c>
    </row>
    <row r="68" ht="15.75" customHeight="1">
      <c r="A68" s="45">
        <v>62.0</v>
      </c>
      <c r="B68" s="46" t="s">
        <v>85</v>
      </c>
      <c r="C68" s="60">
        <v>1.0</v>
      </c>
      <c r="D68" s="48">
        <v>45242.0</v>
      </c>
      <c r="E68" s="49">
        <f t="shared" si="14"/>
        <v>45242</v>
      </c>
      <c r="F68" s="50">
        <v>168.0</v>
      </c>
      <c r="G68" s="51">
        <v>750.0</v>
      </c>
      <c r="H68" s="52">
        <f t="shared" si="6"/>
        <v>0.224</v>
      </c>
      <c r="I68" s="50">
        <v>10012.0</v>
      </c>
      <c r="J68" s="54">
        <f t="shared" si="15"/>
        <v>59.5952381</v>
      </c>
      <c r="K68" s="50">
        <v>1278.0</v>
      </c>
      <c r="L68" s="54">
        <f t="shared" si="8"/>
        <v>7.607142857</v>
      </c>
      <c r="M68" s="51">
        <f>5373</f>
        <v>5373</v>
      </c>
      <c r="N68" s="55">
        <f t="shared" si="9"/>
        <v>0.5366560128</v>
      </c>
      <c r="O68" s="75">
        <v>1538.38</v>
      </c>
      <c r="P68" s="51">
        <f t="shared" si="13"/>
        <v>1278</v>
      </c>
      <c r="Q68" s="56">
        <f t="shared" si="11"/>
        <v>2816.38</v>
      </c>
    </row>
    <row r="69" ht="15.75" customHeight="1">
      <c r="A69" s="32">
        <v>63.0</v>
      </c>
      <c r="B69" s="33" t="s">
        <v>86</v>
      </c>
      <c r="C69" s="34">
        <v>5.0</v>
      </c>
      <c r="D69" s="35">
        <v>45247.0</v>
      </c>
      <c r="E69" s="36">
        <f t="shared" si="14"/>
        <v>45247</v>
      </c>
      <c r="F69" s="37">
        <v>612.0</v>
      </c>
      <c r="G69" s="38">
        <v>750.0</v>
      </c>
      <c r="H69" s="39">
        <f t="shared" si="6"/>
        <v>0.816</v>
      </c>
      <c r="I69" s="37">
        <v>15850.0</v>
      </c>
      <c r="J69" s="58">
        <f t="shared" si="15"/>
        <v>25.89869281</v>
      </c>
      <c r="K69" s="37">
        <v>13618.24</v>
      </c>
      <c r="L69" s="58">
        <f t="shared" si="8"/>
        <v>22.25202614</v>
      </c>
      <c r="M69" s="38">
        <f>6500+200+200+200</f>
        <v>7100</v>
      </c>
      <c r="N69" s="43">
        <f t="shared" si="9"/>
        <v>0.4479495268</v>
      </c>
      <c r="O69" s="37">
        <v>4564.61</v>
      </c>
      <c r="P69" s="38">
        <f t="shared" si="13"/>
        <v>13618.24</v>
      </c>
      <c r="Q69" s="44">
        <f t="shared" si="11"/>
        <v>18182.85</v>
      </c>
    </row>
    <row r="70" ht="15.75" customHeight="1">
      <c r="A70" s="45">
        <v>64.0</v>
      </c>
      <c r="B70" s="46" t="s">
        <v>31</v>
      </c>
      <c r="C70" s="60">
        <v>1.0</v>
      </c>
      <c r="D70" s="48">
        <v>45248.0</v>
      </c>
      <c r="E70" s="49">
        <f t="shared" si="14"/>
        <v>45248</v>
      </c>
      <c r="F70" s="50">
        <v>481.0</v>
      </c>
      <c r="G70" s="51">
        <v>750.0</v>
      </c>
      <c r="H70" s="52">
        <f t="shared" si="6"/>
        <v>0.6413333333</v>
      </c>
      <c r="I70" s="50">
        <v>11868.0</v>
      </c>
      <c r="J70" s="54">
        <f t="shared" si="15"/>
        <v>24.67359667</v>
      </c>
      <c r="K70" s="50">
        <v>10474.0</v>
      </c>
      <c r="L70" s="54">
        <f t="shared" si="8"/>
        <v>21.77546778</v>
      </c>
      <c r="M70" s="51">
        <f>6500+1000</f>
        <v>7500</v>
      </c>
      <c r="N70" s="55">
        <f t="shared" si="9"/>
        <v>0.6319514661</v>
      </c>
      <c r="O70" s="50">
        <v>739.34</v>
      </c>
      <c r="P70" s="51">
        <f t="shared" si="13"/>
        <v>10474</v>
      </c>
      <c r="Q70" s="56">
        <f t="shared" si="11"/>
        <v>11213.34</v>
      </c>
    </row>
    <row r="71" ht="15.75" customHeight="1">
      <c r="A71" s="32">
        <v>65.0</v>
      </c>
      <c r="B71" s="33" t="s">
        <v>87</v>
      </c>
      <c r="C71" s="34">
        <v>1.0</v>
      </c>
      <c r="D71" s="35">
        <v>45255.0</v>
      </c>
      <c r="E71" s="36">
        <f t="shared" si="14"/>
        <v>45255</v>
      </c>
      <c r="F71" s="37">
        <v>634.0</v>
      </c>
      <c r="G71" s="38">
        <v>750.0</v>
      </c>
      <c r="H71" s="39">
        <f t="shared" si="6"/>
        <v>0.8453333333</v>
      </c>
      <c r="I71" s="37">
        <v>22923.0</v>
      </c>
      <c r="J71" s="58">
        <f t="shared" si="15"/>
        <v>36.15615142</v>
      </c>
      <c r="K71" s="37">
        <v>4095.0</v>
      </c>
      <c r="L71" s="58">
        <f t="shared" si="8"/>
        <v>6.458990536</v>
      </c>
      <c r="M71" s="38">
        <f>13000+500</f>
        <v>13500</v>
      </c>
      <c r="N71" s="43">
        <f t="shared" si="9"/>
        <v>0.5889281508</v>
      </c>
      <c r="O71" s="37">
        <v>5488.53</v>
      </c>
      <c r="P71" s="38">
        <f t="shared" si="13"/>
        <v>4095</v>
      </c>
      <c r="Q71" s="44">
        <f t="shared" si="11"/>
        <v>9583.53</v>
      </c>
    </row>
    <row r="72" ht="15.75" customHeight="1">
      <c r="A72" s="45">
        <v>66.0</v>
      </c>
      <c r="B72" s="46" t="s">
        <v>88</v>
      </c>
      <c r="C72" s="60">
        <v>1.0</v>
      </c>
      <c r="D72" s="48">
        <v>45260.0</v>
      </c>
      <c r="E72" s="49">
        <f t="shared" si="14"/>
        <v>45260</v>
      </c>
      <c r="F72" s="50">
        <v>154.0</v>
      </c>
      <c r="G72" s="51">
        <v>750.0</v>
      </c>
      <c r="H72" s="52">
        <f t="shared" si="6"/>
        <v>0.2053333333</v>
      </c>
      <c r="I72" s="50">
        <v>3579.0</v>
      </c>
      <c r="J72" s="54">
        <f t="shared" si="15"/>
        <v>23.24025974</v>
      </c>
      <c r="K72" s="50">
        <v>2956.0</v>
      </c>
      <c r="L72" s="54">
        <f t="shared" si="8"/>
        <v>19.19480519</v>
      </c>
      <c r="M72" s="51">
        <f>5100+750</f>
        <v>5850</v>
      </c>
      <c r="N72" s="55">
        <f t="shared" si="9"/>
        <v>1.634534786</v>
      </c>
      <c r="O72" s="75">
        <v>-5984.67</v>
      </c>
      <c r="P72" s="51">
        <f t="shared" si="13"/>
        <v>2956</v>
      </c>
      <c r="Q72" s="56">
        <f t="shared" si="11"/>
        <v>-3028.67</v>
      </c>
    </row>
    <row r="73" ht="15.75" customHeight="1">
      <c r="A73" s="32">
        <v>67.0</v>
      </c>
      <c r="B73" s="33" t="s">
        <v>89</v>
      </c>
      <c r="C73" s="34">
        <v>5.0</v>
      </c>
      <c r="D73" s="35">
        <v>45261.0</v>
      </c>
      <c r="E73" s="36">
        <f t="shared" si="14"/>
        <v>45261</v>
      </c>
      <c r="F73" s="37">
        <v>178.0</v>
      </c>
      <c r="G73" s="38">
        <v>750.0</v>
      </c>
      <c r="H73" s="39">
        <f t="shared" si="6"/>
        <v>0.2373333333</v>
      </c>
      <c r="I73" s="37">
        <v>4479.0</v>
      </c>
      <c r="J73" s="58">
        <f t="shared" si="15"/>
        <v>25.16292135</v>
      </c>
      <c r="K73" s="37">
        <v>7015.0</v>
      </c>
      <c r="L73" s="58">
        <f t="shared" si="8"/>
        <v>39.41011236</v>
      </c>
      <c r="M73" s="38">
        <f>3500+150+100+125+125</f>
        <v>4000</v>
      </c>
      <c r="N73" s="43">
        <f t="shared" si="9"/>
        <v>0.8930564858</v>
      </c>
      <c r="O73" s="37">
        <v>-2327.37</v>
      </c>
      <c r="P73" s="38">
        <f t="shared" si="13"/>
        <v>7015</v>
      </c>
      <c r="Q73" s="44">
        <f t="shared" si="11"/>
        <v>4687.63</v>
      </c>
    </row>
    <row r="74" ht="15.75" customHeight="1">
      <c r="A74" s="45">
        <v>68.0</v>
      </c>
      <c r="B74" s="46" t="s">
        <v>90</v>
      </c>
      <c r="C74" s="60">
        <v>5.0</v>
      </c>
      <c r="D74" s="48">
        <v>45268.0</v>
      </c>
      <c r="E74" s="49">
        <f t="shared" si="14"/>
        <v>45268</v>
      </c>
      <c r="F74" s="50">
        <v>183.0</v>
      </c>
      <c r="G74" s="51">
        <v>750.0</v>
      </c>
      <c r="H74" s="52">
        <f t="shared" si="6"/>
        <v>0.244</v>
      </c>
      <c r="I74" s="50">
        <v>4219.5</v>
      </c>
      <c r="J74" s="54">
        <f t="shared" si="15"/>
        <v>23.05737705</v>
      </c>
      <c r="K74" s="50">
        <v>4768.0</v>
      </c>
      <c r="L74" s="54">
        <f t="shared" si="8"/>
        <v>26.05464481</v>
      </c>
      <c r="M74" s="51">
        <f>2500+2500+100+100</f>
        <v>5200</v>
      </c>
      <c r="N74" s="55">
        <f t="shared" si="9"/>
        <v>1.232373504</v>
      </c>
      <c r="O74" s="50">
        <v>-3651.26</v>
      </c>
      <c r="P74" s="51">
        <f t="shared" si="13"/>
        <v>4768</v>
      </c>
      <c r="Q74" s="56">
        <f t="shared" si="11"/>
        <v>1116.74</v>
      </c>
    </row>
    <row r="75" ht="15.75" customHeight="1">
      <c r="A75" s="32">
        <v>69.0</v>
      </c>
      <c r="B75" s="33" t="s">
        <v>91</v>
      </c>
      <c r="C75" s="34">
        <v>5.0</v>
      </c>
      <c r="D75" s="35">
        <v>45269.0</v>
      </c>
      <c r="E75" s="36">
        <f t="shared" si="14"/>
        <v>45269</v>
      </c>
      <c r="F75" s="37">
        <v>256.0</v>
      </c>
      <c r="G75" s="38">
        <v>750.0</v>
      </c>
      <c r="H75" s="39">
        <f t="shared" si="6"/>
        <v>0.3413333333</v>
      </c>
      <c r="I75" s="37">
        <v>6347.25</v>
      </c>
      <c r="J75" s="58">
        <f t="shared" si="15"/>
        <v>24.79394531</v>
      </c>
      <c r="K75" s="37">
        <v>4571.0</v>
      </c>
      <c r="L75" s="58">
        <f t="shared" si="8"/>
        <v>17.85546875</v>
      </c>
      <c r="M75" s="38">
        <f>3000</f>
        <v>3000</v>
      </c>
      <c r="N75" s="43">
        <f t="shared" si="9"/>
        <v>0.4726456339</v>
      </c>
      <c r="O75" s="74">
        <v>-1272.06</v>
      </c>
      <c r="P75" s="38">
        <f t="shared" si="13"/>
        <v>4571</v>
      </c>
      <c r="Q75" s="76">
        <f t="shared" si="11"/>
        <v>3298.94</v>
      </c>
    </row>
    <row r="76" ht="15.75" customHeight="1">
      <c r="A76" s="45">
        <v>70.0</v>
      </c>
      <c r="B76" s="46" t="s">
        <v>92</v>
      </c>
      <c r="C76" s="60">
        <v>1.0</v>
      </c>
      <c r="D76" s="48">
        <v>45276.0</v>
      </c>
      <c r="E76" s="49">
        <f t="shared" si="14"/>
        <v>45276</v>
      </c>
      <c r="F76" s="50">
        <v>197.0</v>
      </c>
      <c r="G76" s="51">
        <v>750.0</v>
      </c>
      <c r="H76" s="52">
        <f t="shared" si="6"/>
        <v>0.2626666667</v>
      </c>
      <c r="I76" s="50">
        <v>4588.25</v>
      </c>
      <c r="J76" s="54">
        <f t="shared" si="15"/>
        <v>23.29060914</v>
      </c>
      <c r="K76" s="50">
        <v>5641.0</v>
      </c>
      <c r="L76" s="54">
        <f t="shared" si="8"/>
        <v>28.63451777</v>
      </c>
      <c r="M76" s="51">
        <f>1500+1000+250</f>
        <v>2750</v>
      </c>
      <c r="N76" s="55">
        <f t="shared" si="9"/>
        <v>0.5993570533</v>
      </c>
      <c r="O76" s="75">
        <v>-2506.27</v>
      </c>
      <c r="P76" s="51">
        <f t="shared" si="13"/>
        <v>5641</v>
      </c>
      <c r="Q76" s="77">
        <f t="shared" si="11"/>
        <v>3134.73</v>
      </c>
    </row>
    <row r="77" ht="15.75" customHeight="1">
      <c r="A77" s="32">
        <v>71.0</v>
      </c>
      <c r="B77" s="33" t="s">
        <v>93</v>
      </c>
      <c r="C77" s="34">
        <v>5.0</v>
      </c>
      <c r="D77" s="35">
        <v>45291.0</v>
      </c>
      <c r="E77" s="36">
        <f t="shared" si="14"/>
        <v>45291</v>
      </c>
      <c r="F77" s="37">
        <v>598.0</v>
      </c>
      <c r="G77" s="38">
        <v>750.0</v>
      </c>
      <c r="H77" s="39">
        <f t="shared" si="6"/>
        <v>0.7973333333</v>
      </c>
      <c r="I77" s="37">
        <v>20124.0</v>
      </c>
      <c r="J77" s="58">
        <f t="shared" si="15"/>
        <v>33.65217391</v>
      </c>
      <c r="K77" s="37">
        <v>13554.0</v>
      </c>
      <c r="L77" s="58">
        <f t="shared" si="8"/>
        <v>22.66555184</v>
      </c>
      <c r="M77" s="38">
        <f>15000+1250+1500+150+150</f>
        <v>18050</v>
      </c>
      <c r="N77" s="43">
        <f t="shared" si="9"/>
        <v>0.8969389783</v>
      </c>
      <c r="O77" s="37">
        <v>-3093.26</v>
      </c>
      <c r="P77" s="38">
        <f t="shared" si="13"/>
        <v>13554</v>
      </c>
      <c r="Q77" s="44">
        <f t="shared" si="11"/>
        <v>10460.74</v>
      </c>
    </row>
    <row r="78" ht="15.75" customHeight="1">
      <c r="A78" s="45">
        <v>72.0</v>
      </c>
      <c r="B78" s="78"/>
      <c r="C78" s="47"/>
      <c r="D78" s="79"/>
      <c r="E78" s="49" t="str">
        <f t="shared" si="14"/>
        <v/>
      </c>
      <c r="F78" s="51"/>
      <c r="G78" s="51">
        <v>750.0</v>
      </c>
      <c r="H78" s="52">
        <f t="shared" si="6"/>
        <v>0</v>
      </c>
      <c r="I78" s="51"/>
      <c r="J78" s="54" t="str">
        <f t="shared" si="15"/>
        <v/>
      </c>
      <c r="K78" s="80"/>
      <c r="L78" s="54" t="str">
        <f t="shared" si="8"/>
        <v/>
      </c>
      <c r="M78" s="51"/>
      <c r="N78" s="55" t="str">
        <f t="shared" si="9"/>
        <v/>
      </c>
      <c r="O78" s="51"/>
      <c r="P78" s="51" t="str">
        <f t="shared" si="13"/>
        <v/>
      </c>
      <c r="Q78" s="56">
        <f t="shared" si="11"/>
        <v>0</v>
      </c>
    </row>
    <row r="79" ht="15.75" customHeight="1">
      <c r="A79" s="32">
        <v>73.0</v>
      </c>
      <c r="B79" s="81"/>
      <c r="C79" s="70"/>
      <c r="D79" s="82"/>
      <c r="E79" s="36" t="str">
        <f t="shared" si="14"/>
        <v/>
      </c>
      <c r="F79" s="38"/>
      <c r="G79" s="38">
        <v>750.0</v>
      </c>
      <c r="H79" s="39">
        <f t="shared" si="6"/>
        <v>0</v>
      </c>
      <c r="I79" s="38"/>
      <c r="J79" s="58" t="str">
        <f t="shared" si="15"/>
        <v/>
      </c>
      <c r="K79" s="38"/>
      <c r="L79" s="58" t="str">
        <f t="shared" si="8"/>
        <v/>
      </c>
      <c r="M79" s="38"/>
      <c r="N79" s="43" t="str">
        <f t="shared" si="9"/>
        <v/>
      </c>
      <c r="O79" s="83"/>
      <c r="P79" s="38" t="str">
        <f t="shared" si="13"/>
        <v/>
      </c>
      <c r="Q79" s="76">
        <f t="shared" si="11"/>
        <v>0</v>
      </c>
    </row>
    <row r="80" ht="15.75" customHeight="1">
      <c r="A80" s="45">
        <v>74.0</v>
      </c>
      <c r="B80" s="78"/>
      <c r="C80" s="47"/>
      <c r="D80" s="79"/>
      <c r="E80" s="49" t="str">
        <f t="shared" si="14"/>
        <v/>
      </c>
      <c r="F80" s="51"/>
      <c r="G80" s="51">
        <v>750.0</v>
      </c>
      <c r="H80" s="52">
        <f t="shared" si="6"/>
        <v>0</v>
      </c>
      <c r="I80" s="51"/>
      <c r="J80" s="54" t="str">
        <f t="shared" si="15"/>
        <v/>
      </c>
      <c r="K80" s="51"/>
      <c r="L80" s="54" t="str">
        <f t="shared" si="8"/>
        <v/>
      </c>
      <c r="M80" s="51"/>
      <c r="N80" s="55" t="str">
        <f t="shared" si="9"/>
        <v/>
      </c>
      <c r="O80" s="84"/>
      <c r="P80" s="51" t="str">
        <f t="shared" si="13"/>
        <v/>
      </c>
      <c r="Q80" s="56">
        <f t="shared" si="11"/>
        <v>0</v>
      </c>
    </row>
    <row r="81" ht="15.75" customHeight="1">
      <c r="A81" s="32">
        <v>75.0</v>
      </c>
      <c r="B81" s="81"/>
      <c r="C81" s="70"/>
      <c r="D81" s="82"/>
      <c r="E81" s="36" t="str">
        <f t="shared" si="14"/>
        <v/>
      </c>
      <c r="F81" s="38"/>
      <c r="G81" s="38">
        <v>750.0</v>
      </c>
      <c r="H81" s="39">
        <f t="shared" si="6"/>
        <v>0</v>
      </c>
      <c r="I81" s="38"/>
      <c r="J81" s="58" t="str">
        <f t="shared" si="15"/>
        <v/>
      </c>
      <c r="K81" s="38"/>
      <c r="L81" s="58" t="str">
        <f t="shared" si="8"/>
        <v/>
      </c>
      <c r="M81" s="38"/>
      <c r="N81" s="43" t="str">
        <f t="shared" si="9"/>
        <v/>
      </c>
      <c r="O81" s="83"/>
      <c r="P81" s="38" t="str">
        <f t="shared" si="13"/>
        <v/>
      </c>
      <c r="Q81" s="44">
        <f t="shared" si="11"/>
        <v>0</v>
      </c>
    </row>
    <row r="82" ht="15.75" customHeight="1">
      <c r="A82" s="45">
        <v>76.0</v>
      </c>
      <c r="B82" s="78"/>
      <c r="C82" s="47"/>
      <c r="D82" s="79"/>
      <c r="E82" s="49" t="str">
        <f t="shared" si="14"/>
        <v/>
      </c>
      <c r="F82" s="51"/>
      <c r="G82" s="51">
        <v>750.0</v>
      </c>
      <c r="H82" s="52">
        <f t="shared" si="6"/>
        <v>0</v>
      </c>
      <c r="I82" s="51"/>
      <c r="J82" s="54" t="str">
        <f t="shared" si="15"/>
        <v/>
      </c>
      <c r="K82" s="51"/>
      <c r="L82" s="54" t="str">
        <f t="shared" si="8"/>
        <v/>
      </c>
      <c r="M82" s="51"/>
      <c r="N82" s="55" t="str">
        <f t="shared" si="9"/>
        <v/>
      </c>
      <c r="O82" s="51"/>
      <c r="P82" s="51" t="str">
        <f t="shared" si="13"/>
        <v/>
      </c>
      <c r="Q82" s="56">
        <f t="shared" si="11"/>
        <v>0</v>
      </c>
    </row>
    <row r="83" ht="15.75" customHeight="1">
      <c r="A83" s="32">
        <v>77.0</v>
      </c>
      <c r="B83" s="81"/>
      <c r="C83" s="70"/>
      <c r="D83" s="82"/>
      <c r="E83" s="36" t="str">
        <f t="shared" si="14"/>
        <v/>
      </c>
      <c r="F83" s="38"/>
      <c r="G83" s="38">
        <v>750.0</v>
      </c>
      <c r="H83" s="39">
        <f t="shared" si="6"/>
        <v>0</v>
      </c>
      <c r="I83" s="38"/>
      <c r="J83" s="58" t="str">
        <f t="shared" si="15"/>
        <v/>
      </c>
      <c r="K83" s="38"/>
      <c r="L83" s="58" t="str">
        <f t="shared" si="8"/>
        <v/>
      </c>
      <c r="M83" s="38"/>
      <c r="N83" s="43" t="str">
        <f t="shared" si="9"/>
        <v/>
      </c>
      <c r="O83" s="38"/>
      <c r="P83" s="38" t="str">
        <f t="shared" si="13"/>
        <v/>
      </c>
      <c r="Q83" s="44">
        <f t="shared" si="11"/>
        <v>0</v>
      </c>
    </row>
    <row r="84" ht="15.75" customHeight="1">
      <c r="A84" s="45">
        <v>78.0</v>
      </c>
      <c r="B84" s="78"/>
      <c r="C84" s="47"/>
      <c r="D84" s="79"/>
      <c r="E84" s="49" t="str">
        <f t="shared" si="14"/>
        <v/>
      </c>
      <c r="F84" s="51"/>
      <c r="G84" s="51">
        <v>750.0</v>
      </c>
      <c r="H84" s="52">
        <f t="shared" si="6"/>
        <v>0</v>
      </c>
      <c r="I84" s="51"/>
      <c r="J84" s="54" t="str">
        <f t="shared" si="15"/>
        <v/>
      </c>
      <c r="K84" s="51"/>
      <c r="L84" s="54" t="str">
        <f t="shared" si="8"/>
        <v/>
      </c>
      <c r="M84" s="51"/>
      <c r="N84" s="55" t="str">
        <f t="shared" si="9"/>
        <v/>
      </c>
      <c r="O84" s="84"/>
      <c r="P84" s="51" t="str">
        <f t="shared" si="13"/>
        <v/>
      </c>
      <c r="Q84" s="56">
        <f t="shared" si="11"/>
        <v>0</v>
      </c>
    </row>
    <row r="85" ht="15.75" customHeight="1">
      <c r="A85" s="32">
        <v>79.0</v>
      </c>
      <c r="B85" s="81"/>
      <c r="C85" s="70"/>
      <c r="D85" s="82"/>
      <c r="E85" s="36" t="str">
        <f t="shared" si="14"/>
        <v/>
      </c>
      <c r="F85" s="38"/>
      <c r="G85" s="38">
        <v>750.0</v>
      </c>
      <c r="H85" s="39">
        <f t="shared" si="6"/>
        <v>0</v>
      </c>
      <c r="I85" s="38"/>
      <c r="J85" s="58" t="str">
        <f t="shared" si="15"/>
        <v/>
      </c>
      <c r="K85" s="38"/>
      <c r="L85" s="58" t="str">
        <f t="shared" si="8"/>
        <v/>
      </c>
      <c r="M85" s="38"/>
      <c r="N85" s="43" t="str">
        <f t="shared" si="9"/>
        <v/>
      </c>
      <c r="O85" s="38"/>
      <c r="P85" s="38" t="str">
        <f t="shared" si="13"/>
        <v/>
      </c>
      <c r="Q85" s="44">
        <f t="shared" si="11"/>
        <v>0</v>
      </c>
    </row>
    <row r="86" ht="15.75" customHeight="1">
      <c r="A86" s="45">
        <v>80.0</v>
      </c>
      <c r="B86" s="78"/>
      <c r="C86" s="47"/>
      <c r="D86" s="79"/>
      <c r="E86" s="49" t="str">
        <f t="shared" si="14"/>
        <v/>
      </c>
      <c r="F86" s="51"/>
      <c r="G86" s="51">
        <v>750.0</v>
      </c>
      <c r="H86" s="52">
        <f t="shared" si="6"/>
        <v>0</v>
      </c>
      <c r="I86" s="51"/>
      <c r="J86" s="54" t="str">
        <f t="shared" si="15"/>
        <v/>
      </c>
      <c r="K86" s="51"/>
      <c r="L86" s="54" t="str">
        <f t="shared" si="8"/>
        <v/>
      </c>
      <c r="M86" s="51"/>
      <c r="N86" s="55" t="str">
        <f t="shared" si="9"/>
        <v/>
      </c>
      <c r="O86" s="84"/>
      <c r="P86" s="51" t="str">
        <f t="shared" si="13"/>
        <v/>
      </c>
      <c r="Q86" s="56">
        <f t="shared" si="11"/>
        <v>0</v>
      </c>
    </row>
    <row r="87" ht="15.75" customHeight="1">
      <c r="A87" s="32">
        <v>81.0</v>
      </c>
      <c r="B87" s="81"/>
      <c r="C87" s="70"/>
      <c r="D87" s="82"/>
      <c r="E87" s="36" t="str">
        <f t="shared" si="14"/>
        <v/>
      </c>
      <c r="F87" s="38"/>
      <c r="G87" s="38">
        <v>750.0</v>
      </c>
      <c r="H87" s="39">
        <f t="shared" si="6"/>
        <v>0</v>
      </c>
      <c r="I87" s="38"/>
      <c r="J87" s="58" t="str">
        <f t="shared" si="15"/>
        <v/>
      </c>
      <c r="K87" s="38"/>
      <c r="L87" s="58" t="str">
        <f t="shared" si="8"/>
        <v/>
      </c>
      <c r="M87" s="38"/>
      <c r="N87" s="43" t="str">
        <f t="shared" si="9"/>
        <v/>
      </c>
      <c r="O87" s="83"/>
      <c r="P87" s="38" t="str">
        <f t="shared" si="13"/>
        <v/>
      </c>
      <c r="Q87" s="44">
        <f t="shared" si="11"/>
        <v>0</v>
      </c>
    </row>
    <row r="88" ht="15.75" customHeight="1">
      <c r="A88" s="45">
        <v>82.0</v>
      </c>
      <c r="B88" s="85"/>
      <c r="C88" s="47"/>
      <c r="D88" s="79"/>
      <c r="E88" s="49" t="str">
        <f t="shared" si="14"/>
        <v/>
      </c>
      <c r="F88" s="51"/>
      <c r="G88" s="51">
        <v>750.0</v>
      </c>
      <c r="H88" s="52">
        <f t="shared" si="6"/>
        <v>0</v>
      </c>
      <c r="I88" s="51"/>
      <c r="J88" s="54" t="str">
        <f t="shared" si="15"/>
        <v/>
      </c>
      <c r="K88" s="51"/>
      <c r="L88" s="54" t="str">
        <f t="shared" si="8"/>
        <v/>
      </c>
      <c r="M88" s="51"/>
      <c r="N88" s="55" t="str">
        <f t="shared" si="9"/>
        <v/>
      </c>
      <c r="O88" s="51"/>
      <c r="P88" s="51" t="str">
        <f t="shared" si="13"/>
        <v/>
      </c>
      <c r="Q88" s="56">
        <f t="shared" si="11"/>
        <v>0</v>
      </c>
    </row>
    <row r="89" ht="15.75" customHeight="1">
      <c r="A89" s="32">
        <v>83.0</v>
      </c>
      <c r="B89" s="81"/>
      <c r="C89" s="70"/>
      <c r="D89" s="82"/>
      <c r="E89" s="36" t="str">
        <f t="shared" si="14"/>
        <v/>
      </c>
      <c r="F89" s="38"/>
      <c r="G89" s="38">
        <v>750.0</v>
      </c>
      <c r="H89" s="39">
        <f t="shared" si="6"/>
        <v>0</v>
      </c>
      <c r="I89" s="38"/>
      <c r="J89" s="58" t="str">
        <f t="shared" si="15"/>
        <v/>
      </c>
      <c r="K89" s="38"/>
      <c r="L89" s="58" t="str">
        <f t="shared" si="8"/>
        <v/>
      </c>
      <c r="M89" s="38"/>
      <c r="N89" s="43" t="str">
        <f t="shared" si="9"/>
        <v/>
      </c>
      <c r="O89" s="38"/>
      <c r="P89" s="38" t="str">
        <f t="shared" si="13"/>
        <v/>
      </c>
      <c r="Q89" s="44">
        <f t="shared" si="11"/>
        <v>0</v>
      </c>
    </row>
    <row r="90" ht="15.75" customHeight="1">
      <c r="A90" s="45">
        <v>84.0</v>
      </c>
      <c r="B90" s="78"/>
      <c r="C90" s="47"/>
      <c r="D90" s="79"/>
      <c r="E90" s="49" t="str">
        <f t="shared" si="14"/>
        <v/>
      </c>
      <c r="F90" s="51"/>
      <c r="G90" s="51">
        <v>750.0</v>
      </c>
      <c r="H90" s="52">
        <f t="shared" si="6"/>
        <v>0</v>
      </c>
      <c r="I90" s="51"/>
      <c r="J90" s="54" t="str">
        <f t="shared" si="15"/>
        <v/>
      </c>
      <c r="K90" s="51"/>
      <c r="L90" s="54" t="str">
        <f t="shared" si="8"/>
        <v/>
      </c>
      <c r="M90" s="51"/>
      <c r="N90" s="55" t="str">
        <f t="shared" si="9"/>
        <v/>
      </c>
      <c r="O90" s="84"/>
      <c r="P90" s="51" t="str">
        <f t="shared" si="13"/>
        <v/>
      </c>
      <c r="Q90" s="77">
        <f t="shared" si="11"/>
        <v>0</v>
      </c>
    </row>
    <row r="91" ht="15.75" customHeight="1">
      <c r="A91" s="32">
        <v>85.0</v>
      </c>
      <c r="B91" s="81"/>
      <c r="C91" s="70"/>
      <c r="D91" s="82"/>
      <c r="E91" s="36" t="str">
        <f t="shared" si="14"/>
        <v/>
      </c>
      <c r="F91" s="38"/>
      <c r="G91" s="38">
        <v>750.0</v>
      </c>
      <c r="H91" s="39">
        <f t="shared" si="6"/>
        <v>0</v>
      </c>
      <c r="I91" s="38"/>
      <c r="J91" s="58" t="str">
        <f t="shared" si="15"/>
        <v/>
      </c>
      <c r="K91" s="38"/>
      <c r="L91" s="58" t="str">
        <f t="shared" si="8"/>
        <v/>
      </c>
      <c r="M91" s="38"/>
      <c r="N91" s="43" t="str">
        <f t="shared" si="9"/>
        <v/>
      </c>
      <c r="O91" s="83"/>
      <c r="P91" s="38" t="str">
        <f t="shared" si="13"/>
        <v/>
      </c>
      <c r="Q91" s="44">
        <f t="shared" si="11"/>
        <v>0</v>
      </c>
    </row>
    <row r="92" ht="15.75" customHeight="1">
      <c r="A92" s="45">
        <v>86.0</v>
      </c>
      <c r="B92" s="78"/>
      <c r="C92" s="47"/>
      <c r="D92" s="79"/>
      <c r="E92" s="49" t="str">
        <f t="shared" si="14"/>
        <v/>
      </c>
      <c r="F92" s="51"/>
      <c r="G92" s="51">
        <v>750.0</v>
      </c>
      <c r="H92" s="52">
        <f t="shared" si="6"/>
        <v>0</v>
      </c>
      <c r="I92" s="51"/>
      <c r="J92" s="54" t="str">
        <f t="shared" si="15"/>
        <v/>
      </c>
      <c r="K92" s="51"/>
      <c r="L92" s="54" t="str">
        <f t="shared" si="8"/>
        <v/>
      </c>
      <c r="M92" s="51"/>
      <c r="N92" s="55" t="str">
        <f t="shared" si="9"/>
        <v/>
      </c>
      <c r="O92" s="84"/>
      <c r="P92" s="51" t="str">
        <f t="shared" si="13"/>
        <v/>
      </c>
      <c r="Q92" s="56">
        <f t="shared" si="11"/>
        <v>0</v>
      </c>
    </row>
    <row r="93" ht="15.75" customHeight="1">
      <c r="A93" s="32">
        <v>87.0</v>
      </c>
      <c r="B93" s="81"/>
      <c r="C93" s="70"/>
      <c r="D93" s="82"/>
      <c r="E93" s="36" t="str">
        <f t="shared" si="14"/>
        <v/>
      </c>
      <c r="F93" s="38"/>
      <c r="G93" s="38">
        <v>750.0</v>
      </c>
      <c r="H93" s="39">
        <f t="shared" si="6"/>
        <v>0</v>
      </c>
      <c r="I93" s="38"/>
      <c r="J93" s="58" t="str">
        <f t="shared" si="15"/>
        <v/>
      </c>
      <c r="K93" s="38"/>
      <c r="L93" s="58" t="str">
        <f t="shared" si="8"/>
        <v/>
      </c>
      <c r="M93" s="38"/>
      <c r="N93" s="43" t="str">
        <f t="shared" si="9"/>
        <v/>
      </c>
      <c r="O93" s="83"/>
      <c r="P93" s="38" t="str">
        <f t="shared" si="13"/>
        <v/>
      </c>
      <c r="Q93" s="76">
        <f t="shared" si="11"/>
        <v>0</v>
      </c>
    </row>
    <row r="94" ht="15.75" customHeight="1">
      <c r="A94" s="45">
        <v>88.0</v>
      </c>
      <c r="B94" s="78"/>
      <c r="C94" s="47"/>
      <c r="D94" s="79"/>
      <c r="E94" s="49" t="str">
        <f t="shared" si="14"/>
        <v/>
      </c>
      <c r="F94" s="51"/>
      <c r="G94" s="51">
        <v>750.0</v>
      </c>
      <c r="H94" s="52">
        <f t="shared" si="6"/>
        <v>0</v>
      </c>
      <c r="I94" s="51"/>
      <c r="J94" s="54" t="str">
        <f t="shared" si="15"/>
        <v/>
      </c>
      <c r="K94" s="51"/>
      <c r="L94" s="54" t="str">
        <f t="shared" si="8"/>
        <v/>
      </c>
      <c r="M94" s="51"/>
      <c r="N94" s="55" t="str">
        <f t="shared" si="9"/>
        <v/>
      </c>
      <c r="O94" s="84"/>
      <c r="P94" s="51" t="str">
        <f t="shared" si="13"/>
        <v/>
      </c>
      <c r="Q94" s="56">
        <f t="shared" si="11"/>
        <v>0</v>
      </c>
    </row>
    <row r="95" ht="15.75" customHeight="1">
      <c r="A95" s="32">
        <v>89.0</v>
      </c>
      <c r="B95" s="81"/>
      <c r="C95" s="70"/>
      <c r="D95" s="82"/>
      <c r="E95" s="36" t="str">
        <f t="shared" si="14"/>
        <v/>
      </c>
      <c r="F95" s="38"/>
      <c r="G95" s="38">
        <v>750.0</v>
      </c>
      <c r="H95" s="39">
        <f t="shared" si="6"/>
        <v>0</v>
      </c>
      <c r="I95" s="38"/>
      <c r="J95" s="58" t="str">
        <f t="shared" si="15"/>
        <v/>
      </c>
      <c r="K95" s="38"/>
      <c r="L95" s="58" t="str">
        <f t="shared" si="8"/>
        <v/>
      </c>
      <c r="M95" s="38"/>
      <c r="N95" s="43" t="str">
        <f t="shared" si="9"/>
        <v/>
      </c>
      <c r="O95" s="38"/>
      <c r="P95" s="38" t="str">
        <f t="shared" si="13"/>
        <v/>
      </c>
      <c r="Q95" s="44">
        <f t="shared" si="11"/>
        <v>0</v>
      </c>
    </row>
    <row r="96" ht="15.75" customHeight="1">
      <c r="A96" s="45">
        <v>90.0</v>
      </c>
      <c r="B96" s="78"/>
      <c r="C96" s="47"/>
      <c r="D96" s="79"/>
      <c r="E96" s="49" t="str">
        <f t="shared" si="14"/>
        <v/>
      </c>
      <c r="F96" s="51"/>
      <c r="G96" s="51">
        <v>750.0</v>
      </c>
      <c r="H96" s="52">
        <f t="shared" si="6"/>
        <v>0</v>
      </c>
      <c r="I96" s="51"/>
      <c r="J96" s="54" t="str">
        <f t="shared" si="15"/>
        <v/>
      </c>
      <c r="K96" s="51"/>
      <c r="L96" s="54" t="str">
        <f t="shared" si="8"/>
        <v/>
      </c>
      <c r="M96" s="51"/>
      <c r="N96" s="55" t="str">
        <f t="shared" si="9"/>
        <v/>
      </c>
      <c r="O96" s="51"/>
      <c r="P96" s="51" t="str">
        <f t="shared" si="13"/>
        <v/>
      </c>
      <c r="Q96" s="56">
        <f t="shared" si="11"/>
        <v>0</v>
      </c>
    </row>
    <row r="97" ht="15.75" customHeight="1">
      <c r="A97" s="32">
        <v>91.0</v>
      </c>
      <c r="B97" s="81"/>
      <c r="C97" s="70"/>
      <c r="D97" s="82"/>
      <c r="E97" s="36" t="str">
        <f t="shared" si="14"/>
        <v/>
      </c>
      <c r="F97" s="38"/>
      <c r="G97" s="38">
        <v>750.0</v>
      </c>
      <c r="H97" s="39">
        <f t="shared" si="6"/>
        <v>0</v>
      </c>
      <c r="I97" s="38"/>
      <c r="J97" s="58" t="str">
        <f t="shared" si="15"/>
        <v/>
      </c>
      <c r="K97" s="38"/>
      <c r="L97" s="58" t="str">
        <f t="shared" si="8"/>
        <v/>
      </c>
      <c r="M97" s="38"/>
      <c r="N97" s="43" t="str">
        <f t="shared" si="9"/>
        <v/>
      </c>
      <c r="O97" s="38"/>
      <c r="P97" s="38" t="str">
        <f t="shared" si="13"/>
        <v/>
      </c>
      <c r="Q97" s="44">
        <f t="shared" si="11"/>
        <v>0</v>
      </c>
    </row>
    <row r="98" ht="15.75" customHeight="1">
      <c r="A98" s="45">
        <v>92.0</v>
      </c>
      <c r="B98" s="78"/>
      <c r="C98" s="47"/>
      <c r="D98" s="79"/>
      <c r="E98" s="49" t="str">
        <f t="shared" si="14"/>
        <v/>
      </c>
      <c r="F98" s="51"/>
      <c r="G98" s="51">
        <v>750.0</v>
      </c>
      <c r="H98" s="52">
        <f t="shared" si="6"/>
        <v>0</v>
      </c>
      <c r="I98" s="51"/>
      <c r="J98" s="54" t="str">
        <f t="shared" si="15"/>
        <v/>
      </c>
      <c r="K98" s="51"/>
      <c r="L98" s="54" t="str">
        <f t="shared" si="8"/>
        <v/>
      </c>
      <c r="M98" s="51"/>
      <c r="N98" s="55" t="str">
        <f t="shared" si="9"/>
        <v/>
      </c>
      <c r="O98" s="84"/>
      <c r="P98" s="51" t="str">
        <f t="shared" si="13"/>
        <v/>
      </c>
      <c r="Q98" s="56">
        <f t="shared" si="11"/>
        <v>0</v>
      </c>
    </row>
    <row r="99" ht="15.75" customHeight="1">
      <c r="A99" s="32">
        <v>93.0</v>
      </c>
      <c r="B99" s="81"/>
      <c r="C99" s="70"/>
      <c r="D99" s="82"/>
      <c r="E99" s="36" t="str">
        <f t="shared" si="14"/>
        <v/>
      </c>
      <c r="F99" s="38"/>
      <c r="G99" s="38">
        <v>750.0</v>
      </c>
      <c r="H99" s="39">
        <f t="shared" si="6"/>
        <v>0</v>
      </c>
      <c r="I99" s="38"/>
      <c r="J99" s="58" t="str">
        <f t="shared" si="15"/>
        <v/>
      </c>
      <c r="K99" s="38"/>
      <c r="L99" s="58" t="str">
        <f t="shared" si="8"/>
        <v/>
      </c>
      <c r="M99" s="38"/>
      <c r="N99" s="43" t="str">
        <f t="shared" si="9"/>
        <v/>
      </c>
      <c r="O99" s="83"/>
      <c r="P99" s="38" t="str">
        <f t="shared" si="13"/>
        <v/>
      </c>
      <c r="Q99" s="44">
        <f t="shared" si="11"/>
        <v>0</v>
      </c>
    </row>
    <row r="100" ht="15.75" customHeight="1">
      <c r="A100" s="45">
        <v>94.0</v>
      </c>
      <c r="B100" s="78"/>
      <c r="C100" s="47"/>
      <c r="D100" s="79"/>
      <c r="E100" s="49" t="str">
        <f t="shared" si="14"/>
        <v/>
      </c>
      <c r="F100" s="51"/>
      <c r="G100" s="51">
        <v>750.0</v>
      </c>
      <c r="H100" s="52">
        <f t="shared" si="6"/>
        <v>0</v>
      </c>
      <c r="I100" s="51"/>
      <c r="J100" s="54" t="str">
        <f t="shared" si="15"/>
        <v/>
      </c>
      <c r="K100" s="51"/>
      <c r="L100" s="54" t="str">
        <f t="shared" si="8"/>
        <v/>
      </c>
      <c r="M100" s="51"/>
      <c r="N100" s="55" t="str">
        <f t="shared" si="9"/>
        <v/>
      </c>
      <c r="O100" s="84"/>
      <c r="P100" s="51" t="str">
        <f t="shared" si="13"/>
        <v/>
      </c>
      <c r="Q100" s="56">
        <f t="shared" si="11"/>
        <v>0</v>
      </c>
    </row>
    <row r="101" ht="15.75" customHeight="1">
      <c r="A101" s="32">
        <v>95.0</v>
      </c>
      <c r="B101" s="81"/>
      <c r="C101" s="70"/>
      <c r="D101" s="82"/>
      <c r="E101" s="36" t="str">
        <f t="shared" si="14"/>
        <v/>
      </c>
      <c r="F101" s="38"/>
      <c r="G101" s="38">
        <v>750.0</v>
      </c>
      <c r="H101" s="39">
        <f t="shared" si="6"/>
        <v>0</v>
      </c>
      <c r="I101" s="38"/>
      <c r="J101" s="58" t="str">
        <f t="shared" si="15"/>
        <v/>
      </c>
      <c r="K101" s="38"/>
      <c r="L101" s="58" t="str">
        <f t="shared" si="8"/>
        <v/>
      </c>
      <c r="M101" s="38"/>
      <c r="N101" s="43" t="str">
        <f t="shared" si="9"/>
        <v/>
      </c>
      <c r="O101" s="38"/>
      <c r="P101" s="38" t="str">
        <f t="shared" si="13"/>
        <v/>
      </c>
      <c r="Q101" s="44">
        <f t="shared" si="11"/>
        <v>0</v>
      </c>
    </row>
    <row r="102" ht="15.75" customHeight="1">
      <c r="A102" s="45">
        <v>96.0</v>
      </c>
      <c r="B102" s="78"/>
      <c r="C102" s="47"/>
      <c r="D102" s="79"/>
      <c r="E102" s="49" t="str">
        <f t="shared" si="14"/>
        <v/>
      </c>
      <c r="F102" s="51"/>
      <c r="G102" s="51">
        <v>750.0</v>
      </c>
      <c r="H102" s="52">
        <f t="shared" si="6"/>
        <v>0</v>
      </c>
      <c r="I102" s="51"/>
      <c r="J102" s="54" t="str">
        <f t="shared" si="15"/>
        <v/>
      </c>
      <c r="K102" s="51"/>
      <c r="L102" s="54" t="str">
        <f t="shared" si="8"/>
        <v/>
      </c>
      <c r="M102" s="51"/>
      <c r="N102" s="55" t="str">
        <f t="shared" si="9"/>
        <v/>
      </c>
      <c r="O102" s="51"/>
      <c r="P102" s="51" t="str">
        <f t="shared" si="13"/>
        <v/>
      </c>
      <c r="Q102" s="56">
        <f t="shared" si="11"/>
        <v>0</v>
      </c>
    </row>
    <row r="103" ht="15.75" customHeight="1">
      <c r="A103" s="32">
        <v>97.0</v>
      </c>
      <c r="B103" s="81"/>
      <c r="C103" s="70"/>
      <c r="D103" s="82"/>
      <c r="E103" s="36" t="str">
        <f t="shared" si="14"/>
        <v/>
      </c>
      <c r="F103" s="38"/>
      <c r="G103" s="38">
        <v>750.0</v>
      </c>
      <c r="H103" s="39">
        <f t="shared" si="6"/>
        <v>0</v>
      </c>
      <c r="I103" s="38"/>
      <c r="J103" s="58" t="str">
        <f t="shared" si="15"/>
        <v/>
      </c>
      <c r="K103" s="38"/>
      <c r="L103" s="58" t="str">
        <f t="shared" si="8"/>
        <v/>
      </c>
      <c r="M103" s="38"/>
      <c r="N103" s="43" t="str">
        <f t="shared" si="9"/>
        <v/>
      </c>
      <c r="O103" s="38"/>
      <c r="P103" s="38" t="str">
        <f t="shared" si="13"/>
        <v/>
      </c>
      <c r="Q103" s="44">
        <f t="shared" si="11"/>
        <v>0</v>
      </c>
    </row>
    <row r="104" ht="15.75" customHeight="1">
      <c r="A104" s="45">
        <v>98.0</v>
      </c>
      <c r="B104" s="78"/>
      <c r="C104" s="47"/>
      <c r="D104" s="79"/>
      <c r="E104" s="49" t="str">
        <f t="shared" si="14"/>
        <v/>
      </c>
      <c r="F104" s="51"/>
      <c r="G104" s="51"/>
      <c r="H104" s="52" t="str">
        <f t="shared" si="6"/>
        <v/>
      </c>
      <c r="I104" s="51"/>
      <c r="J104" s="54" t="str">
        <f t="shared" si="15"/>
        <v/>
      </c>
      <c r="K104" s="51"/>
      <c r="L104" s="54" t="str">
        <f t="shared" si="8"/>
        <v/>
      </c>
      <c r="M104" s="51"/>
      <c r="N104" s="55" t="str">
        <f t="shared" si="9"/>
        <v/>
      </c>
      <c r="O104" s="84"/>
      <c r="P104" s="51" t="str">
        <f t="shared" si="13"/>
        <v/>
      </c>
      <c r="Q104" s="56">
        <f t="shared" si="11"/>
        <v>0</v>
      </c>
    </row>
    <row r="105" ht="15.75" customHeight="1">
      <c r="A105" s="32">
        <v>99.0</v>
      </c>
      <c r="B105" s="81"/>
      <c r="C105" s="70"/>
      <c r="D105" s="82"/>
      <c r="E105" s="36" t="str">
        <f t="shared" si="14"/>
        <v/>
      </c>
      <c r="F105" s="38"/>
      <c r="G105" s="38"/>
      <c r="H105" s="39" t="str">
        <f t="shared" si="6"/>
        <v/>
      </c>
      <c r="I105" s="38"/>
      <c r="J105" s="58" t="str">
        <f t="shared" si="15"/>
        <v/>
      </c>
      <c r="K105" s="38"/>
      <c r="L105" s="58" t="str">
        <f t="shared" si="8"/>
        <v/>
      </c>
      <c r="M105" s="38"/>
      <c r="N105" s="43" t="str">
        <f t="shared" si="9"/>
        <v/>
      </c>
      <c r="O105" s="38"/>
      <c r="P105" s="38" t="str">
        <f t="shared" si="13"/>
        <v/>
      </c>
      <c r="Q105" s="44">
        <f t="shared" si="11"/>
        <v>0</v>
      </c>
    </row>
    <row r="106" ht="15.75" customHeight="1">
      <c r="A106" s="45">
        <v>100.0</v>
      </c>
      <c r="B106" s="78"/>
      <c r="C106" s="47"/>
      <c r="D106" s="79"/>
      <c r="E106" s="49" t="str">
        <f t="shared" si="14"/>
        <v/>
      </c>
      <c r="F106" s="51"/>
      <c r="G106" s="51"/>
      <c r="H106" s="52" t="str">
        <f t="shared" si="6"/>
        <v/>
      </c>
      <c r="I106" s="51"/>
      <c r="J106" s="54" t="str">
        <f t="shared" si="15"/>
        <v/>
      </c>
      <c r="K106" s="51"/>
      <c r="L106" s="54" t="str">
        <f t="shared" si="8"/>
        <v/>
      </c>
      <c r="M106" s="51"/>
      <c r="N106" s="55" t="str">
        <f t="shared" si="9"/>
        <v/>
      </c>
      <c r="O106" s="51"/>
      <c r="P106" s="51" t="str">
        <f t="shared" si="13"/>
        <v/>
      </c>
      <c r="Q106" s="56">
        <f t="shared" si="11"/>
        <v>0</v>
      </c>
    </row>
    <row r="107" ht="15.75" customHeight="1">
      <c r="A107" s="32"/>
      <c r="B107" s="81"/>
      <c r="C107" s="70"/>
      <c r="D107" s="82"/>
      <c r="E107" s="36"/>
      <c r="F107" s="38"/>
      <c r="G107" s="38"/>
      <c r="H107" s="39"/>
      <c r="I107" s="38"/>
      <c r="J107" s="58"/>
      <c r="K107" s="38"/>
      <c r="L107" s="58"/>
      <c r="M107" s="38"/>
      <c r="N107" s="43"/>
      <c r="O107" s="38"/>
      <c r="P107" s="38"/>
      <c r="Q107" s="44"/>
    </row>
    <row r="108" ht="15.75" customHeight="1">
      <c r="A108" s="45"/>
      <c r="B108" s="78" t="s">
        <v>94</v>
      </c>
      <c r="C108" s="47"/>
      <c r="D108" s="79"/>
      <c r="E108" s="49"/>
      <c r="F108" s="51"/>
      <c r="G108" s="51"/>
      <c r="H108" s="52"/>
      <c r="I108" s="51"/>
      <c r="J108" s="54"/>
      <c r="K108" s="51"/>
      <c r="L108" s="54"/>
      <c r="M108" s="51"/>
      <c r="N108" s="55"/>
      <c r="O108" s="51"/>
      <c r="P108" s="51"/>
      <c r="Q108" s="56"/>
    </row>
    <row r="109" ht="15.75" customHeight="1">
      <c r="A109" s="32"/>
      <c r="B109" s="81" t="s">
        <v>95</v>
      </c>
      <c r="C109" s="70"/>
      <c r="D109" s="82"/>
      <c r="E109" s="36"/>
      <c r="F109" s="38"/>
      <c r="G109" s="38"/>
      <c r="H109" s="39"/>
      <c r="I109" s="38"/>
      <c r="J109" s="58"/>
      <c r="K109" s="38"/>
      <c r="L109" s="58"/>
      <c r="M109" s="38"/>
      <c r="N109" s="43"/>
      <c r="O109" s="38"/>
      <c r="P109" s="38"/>
      <c r="Q109" s="44"/>
    </row>
    <row r="110" ht="15.75" customHeight="1">
      <c r="A110" s="45"/>
      <c r="B110" s="78" t="s">
        <v>96</v>
      </c>
      <c r="C110" s="47"/>
      <c r="D110" s="79"/>
      <c r="E110" s="49"/>
      <c r="F110" s="51"/>
      <c r="G110" s="51"/>
      <c r="H110" s="52"/>
      <c r="I110" s="51"/>
      <c r="J110" s="54"/>
      <c r="K110" s="51"/>
      <c r="L110" s="54"/>
      <c r="M110" s="51"/>
      <c r="N110" s="55"/>
      <c r="O110" s="51"/>
      <c r="P110" s="51"/>
      <c r="Q110" s="56"/>
    </row>
    <row r="111" ht="15.75" customHeight="1">
      <c r="A111" s="32"/>
      <c r="B111" s="81" t="s">
        <v>97</v>
      </c>
      <c r="C111" s="70"/>
      <c r="D111" s="82"/>
      <c r="E111" s="36"/>
      <c r="F111" s="38"/>
      <c r="G111" s="38"/>
      <c r="H111" s="39"/>
      <c r="I111" s="38"/>
      <c r="J111" s="58"/>
      <c r="K111" s="38"/>
      <c r="L111" s="58"/>
      <c r="M111" s="38"/>
      <c r="N111" s="43"/>
      <c r="O111" s="38"/>
      <c r="P111" s="38"/>
      <c r="Q111" s="44"/>
    </row>
    <row r="112" ht="15.75" customHeight="1">
      <c r="A112" s="45"/>
      <c r="B112" s="78" t="s">
        <v>98</v>
      </c>
      <c r="C112" s="47"/>
      <c r="D112" s="79"/>
      <c r="E112" s="49"/>
      <c r="F112" s="51"/>
      <c r="G112" s="51"/>
      <c r="H112" s="52"/>
      <c r="I112" s="51"/>
      <c r="J112" s="54"/>
      <c r="K112" s="51"/>
      <c r="L112" s="54"/>
      <c r="M112" s="51"/>
      <c r="N112" s="55"/>
      <c r="O112" s="51"/>
      <c r="P112" s="51"/>
      <c r="Q112" s="56"/>
    </row>
    <row r="113" ht="15.75" customHeight="1">
      <c r="A113" s="32"/>
      <c r="B113" s="81" t="s">
        <v>99</v>
      </c>
      <c r="C113" s="70"/>
      <c r="D113" s="82"/>
      <c r="E113" s="36"/>
      <c r="F113" s="38"/>
      <c r="G113" s="38"/>
      <c r="H113" s="39"/>
      <c r="I113" s="38"/>
      <c r="J113" s="58"/>
      <c r="K113" s="38"/>
      <c r="L113" s="58"/>
      <c r="M113" s="38"/>
      <c r="N113" s="43"/>
      <c r="O113" s="38"/>
      <c r="P113" s="38"/>
      <c r="Q113" s="44"/>
    </row>
    <row r="114" ht="15.75" customHeight="1">
      <c r="A114" s="45"/>
      <c r="B114" s="78" t="s">
        <v>100</v>
      </c>
      <c r="C114" s="47"/>
      <c r="D114" s="79"/>
      <c r="E114" s="49"/>
      <c r="F114" s="51"/>
      <c r="G114" s="51"/>
      <c r="H114" s="52"/>
      <c r="I114" s="51"/>
      <c r="J114" s="54"/>
      <c r="K114" s="51"/>
      <c r="L114" s="54"/>
      <c r="M114" s="51"/>
      <c r="N114" s="55"/>
      <c r="O114" s="51"/>
      <c r="P114" s="51"/>
      <c r="Q114" s="56"/>
    </row>
    <row r="115" ht="15.75" customHeight="1">
      <c r="A115" s="32"/>
      <c r="B115" s="81" t="s">
        <v>101</v>
      </c>
      <c r="C115" s="70"/>
      <c r="D115" s="82"/>
      <c r="E115" s="36"/>
      <c r="F115" s="38"/>
      <c r="G115" s="38"/>
      <c r="H115" s="39"/>
      <c r="I115" s="38"/>
      <c r="J115" s="58"/>
      <c r="K115" s="38"/>
      <c r="L115" s="58"/>
      <c r="M115" s="38"/>
      <c r="N115" s="43"/>
      <c r="O115" s="38"/>
      <c r="P115" s="38"/>
      <c r="Q115" s="44"/>
    </row>
    <row r="116" ht="15.75" customHeight="1">
      <c r="A116" s="45"/>
      <c r="B116" s="78"/>
      <c r="C116" s="47"/>
      <c r="D116" s="79"/>
      <c r="E116" s="49"/>
      <c r="F116" s="51"/>
      <c r="G116" s="51"/>
      <c r="H116" s="52"/>
      <c r="I116" s="51"/>
      <c r="J116" s="54"/>
      <c r="K116" s="51"/>
      <c r="L116" s="54"/>
      <c r="M116" s="51"/>
      <c r="N116" s="55"/>
      <c r="O116" s="51"/>
      <c r="P116" s="51"/>
      <c r="Q116" s="56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mergeCells count="3">
    <mergeCell ref="O1:Q1"/>
    <mergeCell ref="B2:N2"/>
    <mergeCell ref="O2:Q2"/>
  </mergeCells>
  <printOptions horizontalCentered="1"/>
  <pageMargins bottom="0.75" footer="0.0" header="0.0" left="0.0" right="0.0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3.0"/>
    <col customWidth="1" min="3" max="3" width="3.29"/>
    <col customWidth="1" min="4" max="4" width="7.86"/>
    <col customWidth="1" min="5" max="5" width="0.29"/>
    <col customWidth="1" min="6" max="7" width="8.71"/>
    <col customWidth="1" min="8" max="8" width="9.29"/>
    <col customWidth="1" min="9" max="9" width="12.71"/>
    <col customWidth="1" min="10" max="10" width="10.86"/>
    <col customWidth="1" min="11" max="11" width="12.0"/>
    <col customWidth="1" min="12" max="12" width="9.71"/>
    <col customWidth="1" min="13" max="13" width="11.0"/>
    <col customWidth="1" min="14" max="14" width="9.14"/>
    <col customWidth="1" min="15" max="15" width="12.57"/>
    <col customWidth="1" min="16" max="16" width="10.71"/>
    <col customWidth="1" min="17" max="17" width="13.71"/>
    <col customWidth="1" min="18" max="18" width="8.71"/>
    <col customWidth="1" min="19" max="19" width="13.0"/>
    <col customWidth="1" min="20" max="20" width="10.14"/>
    <col customWidth="1" min="21" max="21" width="13.71"/>
    <col customWidth="1" min="22" max="22" width="11.14"/>
    <col customWidth="1" min="23" max="26" width="8.71"/>
  </cols>
  <sheetData>
    <row r="1">
      <c r="Q1" s="86"/>
      <c r="U1" s="86"/>
    </row>
    <row r="2" ht="15.0" customHeight="1"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87" t="s">
        <v>102</v>
      </c>
      <c r="P2" s="3"/>
      <c r="Q2" s="3"/>
      <c r="R2" s="4"/>
      <c r="S2" s="6" t="s">
        <v>103</v>
      </c>
      <c r="T2" s="3"/>
      <c r="U2" s="4"/>
    </row>
    <row r="3">
      <c r="B3" s="7" t="s">
        <v>3</v>
      </c>
      <c r="C3" s="8"/>
      <c r="D3" s="9" t="s">
        <v>104</v>
      </c>
      <c r="E3" s="9" t="s">
        <v>105</v>
      </c>
      <c r="F3" s="10" t="s">
        <v>7</v>
      </c>
      <c r="G3" s="10" t="s">
        <v>8</v>
      </c>
      <c r="H3" s="10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11" t="s">
        <v>15</v>
      </c>
      <c r="O3" s="12" t="s">
        <v>16</v>
      </c>
      <c r="P3" s="13" t="s">
        <v>17</v>
      </c>
      <c r="Q3" s="14" t="s">
        <v>18</v>
      </c>
      <c r="R3" s="88" t="s">
        <v>106</v>
      </c>
      <c r="S3" s="12" t="s">
        <v>16</v>
      </c>
      <c r="T3" s="13" t="s">
        <v>107</v>
      </c>
      <c r="U3" s="14" t="s">
        <v>18</v>
      </c>
    </row>
    <row r="4">
      <c r="B4" s="15" t="s">
        <v>19</v>
      </c>
      <c r="C4" s="16"/>
      <c r="D4" s="17">
        <f t="shared" ref="D4:E4" si="1">SUM(D7:D16)</f>
        <v>0</v>
      </c>
      <c r="E4" s="17">
        <f t="shared" si="1"/>
        <v>0</v>
      </c>
      <c r="F4" s="18">
        <f t="shared" ref="F4:G4" si="2">SUM(F7:F81)</f>
        <v>21776</v>
      </c>
      <c r="G4" s="18">
        <f t="shared" si="2"/>
        <v>46750</v>
      </c>
      <c r="H4" s="19"/>
      <c r="I4" s="20">
        <f>SUM(I7:I81)</f>
        <v>615441.95</v>
      </c>
      <c r="J4" s="19"/>
      <c r="K4" s="20">
        <f>SUM(K7:K81)</f>
        <v>453094.02</v>
      </c>
      <c r="L4" s="19"/>
      <c r="M4" s="20">
        <f t="shared" ref="M4:R4" si="3">SUM(M7:M81)</f>
        <v>545380.21</v>
      </c>
      <c r="N4" s="21" t="str">
        <f t="shared" si="3"/>
        <v>#DIV/0!</v>
      </c>
      <c r="O4" s="89">
        <f t="shared" si="3"/>
        <v>1276.03</v>
      </c>
      <c r="P4" s="20">
        <f t="shared" si="3"/>
        <v>453094.02</v>
      </c>
      <c r="Q4" s="22">
        <f t="shared" si="3"/>
        <v>454370.05</v>
      </c>
      <c r="R4" s="90">
        <f t="shared" si="3"/>
        <v>1</v>
      </c>
      <c r="S4" s="91"/>
      <c r="T4" s="92"/>
      <c r="U4" s="21"/>
    </row>
    <row r="5">
      <c r="B5" s="15" t="s">
        <v>20</v>
      </c>
      <c r="C5" s="16"/>
      <c r="D5" s="17"/>
      <c r="E5" s="17"/>
      <c r="F5" s="18" t="str">
        <f>F4/D4</f>
        <v>#DIV/0!</v>
      </c>
      <c r="G5" s="18" t="str">
        <f>G4/D4</f>
        <v>#DIV/0!</v>
      </c>
      <c r="H5" s="23">
        <f>F4/G4</f>
        <v>0.4657967914</v>
      </c>
      <c r="I5" s="20" t="str">
        <f>I4/D4</f>
        <v>#DIV/0!</v>
      </c>
      <c r="J5" s="24">
        <f>I4/F4</f>
        <v>28.26239668</v>
      </c>
      <c r="K5" s="20" t="str">
        <f>K4/E4</f>
        <v>#DIV/0!</v>
      </c>
      <c r="L5" s="24">
        <f>K4/F4</f>
        <v>20.80703619</v>
      </c>
      <c r="M5" s="20" t="str">
        <f>M4/D4</f>
        <v>#DIV/0!</v>
      </c>
      <c r="N5" s="25">
        <f>M4/I4</f>
        <v>0.8861602788</v>
      </c>
      <c r="O5" s="89" t="str">
        <f>O4/E4</f>
        <v>#DIV/0!</v>
      </c>
      <c r="P5" s="20" t="str">
        <f>P4/E4</f>
        <v>#DIV/0!</v>
      </c>
      <c r="Q5" s="22" t="str">
        <f>Q4/E4</f>
        <v>#DIV/0!</v>
      </c>
      <c r="R5" s="21"/>
      <c r="S5" s="91"/>
      <c r="T5" s="92"/>
      <c r="U5" s="21"/>
    </row>
    <row r="6">
      <c r="B6" s="93"/>
      <c r="N6" s="94"/>
      <c r="O6" s="93"/>
      <c r="R6" s="94"/>
      <c r="S6" s="93"/>
      <c r="U6" s="94"/>
    </row>
    <row r="7">
      <c r="A7" s="64">
        <v>5.0</v>
      </c>
      <c r="B7" s="95" t="s">
        <v>108</v>
      </c>
      <c r="C7" s="96"/>
      <c r="D7" s="96">
        <f t="array" ref="D7">COUNTIF('Magic Stick'!C:C,A:A)</f>
        <v>0</v>
      </c>
      <c r="E7" s="96">
        <f t="array" ref="E7">COUNTIF('Magic Stick'!C:C,A:A)</f>
        <v>0</v>
      </c>
      <c r="F7" s="97">
        <f>SUMIF('Magic Stick'!$C:$C,A:A,'Magic Stick'!$F:$F)</f>
        <v>12928</v>
      </c>
      <c r="G7" s="97">
        <f>SUMIF('Magic Stick'!$C:$C,A:A,'Magic Stick'!$G:$G)</f>
        <v>25000</v>
      </c>
      <c r="H7" s="98">
        <f t="shared" ref="H7:H12" si="4">F7/G7</f>
        <v>0.51712</v>
      </c>
      <c r="I7" s="99">
        <f>SUMIF('Magic Stick'!$C:$C,A:A,'Magic Stick'!$I:$I)</f>
        <v>365992.45</v>
      </c>
      <c r="J7" s="100">
        <f t="shared" ref="J7:J12" si="5">I7/F7</f>
        <v>28.31005956</v>
      </c>
      <c r="K7" s="99">
        <f>SUMIF('Magic Stick'!$C:$C,A:A,'Magic Stick'!$K:$K)</f>
        <v>317641.02</v>
      </c>
      <c r="L7" s="100">
        <f t="shared" ref="L7:L12" si="6">K7/F7</f>
        <v>24.57000464</v>
      </c>
      <c r="M7" s="99">
        <f>SUMIF('Magic Stick'!$C:$C,A:A,'Magic Stick'!$M:$M)</f>
        <v>387670</v>
      </c>
      <c r="N7" s="101">
        <f t="shared" ref="N7:N12" si="7">M7/I7</f>
        <v>1.0592295</v>
      </c>
      <c r="O7" s="102">
        <f>SUMIF('Magic Stick'!$C:$C,A:A,'Magic Stick'!$O:$O)</f>
        <v>-17079.99</v>
      </c>
      <c r="P7" s="99">
        <f t="shared" ref="P7:P14" si="8">K7</f>
        <v>317641.02</v>
      </c>
      <c r="Q7" s="99">
        <f t="shared" ref="Q7:Q14" si="9">O7+P7</f>
        <v>300561.03</v>
      </c>
      <c r="R7" s="101">
        <f t="shared" ref="R7:R14" si="10">Q7/$Q$4</f>
        <v>0.6614895282</v>
      </c>
      <c r="S7" s="102" t="str">
        <f t="shared" ref="S7:S14" si="11">O7/E7</f>
        <v>#DIV/0!</v>
      </c>
      <c r="T7" s="99" t="str">
        <f t="shared" ref="T7:T14" si="12">P7/E7</f>
        <v>#DIV/0!</v>
      </c>
      <c r="U7" s="103" t="str">
        <f t="shared" ref="U7:U14" si="13">S7+T7</f>
        <v>#DIV/0!</v>
      </c>
    </row>
    <row r="8">
      <c r="A8" s="64">
        <v>1.0</v>
      </c>
      <c r="B8" s="93" t="s">
        <v>109</v>
      </c>
      <c r="D8" s="64">
        <f t="array" ref="D8">COUNTIF('Magic Stick'!C:C,A:A)</f>
        <v>0</v>
      </c>
      <c r="E8" s="64">
        <f t="array" ref="E8">COUNTIF('Magic Stick'!C:C,A:A)</f>
        <v>0</v>
      </c>
      <c r="F8" s="72">
        <f>SUMIF('Magic Stick'!$C:$C,A:A,'Magic Stick'!$F:$F)</f>
        <v>8848</v>
      </c>
      <c r="G8" s="72">
        <f>SUMIF('Magic Stick'!$C:$C,A:A,'Magic Stick'!$G:$G)</f>
        <v>21750</v>
      </c>
      <c r="H8" s="104">
        <f t="shared" si="4"/>
        <v>0.4068045977</v>
      </c>
      <c r="I8" s="105">
        <f>SUMIF('Magic Stick'!$C:$C,A:A,'Magic Stick'!$I:$I)</f>
        <v>249449.5</v>
      </c>
      <c r="J8" s="86">
        <f t="shared" si="5"/>
        <v>28.19275542</v>
      </c>
      <c r="K8" s="105">
        <f>SUMIF('Magic Stick'!$C:$C,A:A,'Magic Stick'!$K:$K)</f>
        <v>122141</v>
      </c>
      <c r="L8" s="86">
        <f t="shared" si="6"/>
        <v>13.80436257</v>
      </c>
      <c r="M8" s="105">
        <f>SUMIF('Magic Stick'!$C:$C,A:A,'Magic Stick'!$M:$M)</f>
        <v>157710.21</v>
      </c>
      <c r="N8" s="106">
        <f t="shared" si="7"/>
        <v>0.6322330171</v>
      </c>
      <c r="O8" s="107">
        <f>SUMIF('Magic Stick'!$C:$C,A:A,'Magic Stick'!$O:$O)</f>
        <v>-20459.62</v>
      </c>
      <c r="P8" s="105">
        <f t="shared" si="8"/>
        <v>122141</v>
      </c>
      <c r="Q8" s="105">
        <f t="shared" si="9"/>
        <v>101681.38</v>
      </c>
      <c r="R8" s="106">
        <f t="shared" si="10"/>
        <v>0.2237853925</v>
      </c>
      <c r="S8" s="107" t="str">
        <f t="shared" si="11"/>
        <v>#DIV/0!</v>
      </c>
      <c r="T8" s="105" t="str">
        <f t="shared" si="12"/>
        <v>#DIV/0!</v>
      </c>
      <c r="U8" s="108" t="str">
        <f t="shared" si="13"/>
        <v>#DIV/0!</v>
      </c>
    </row>
    <row r="9">
      <c r="A9" s="64">
        <v>2.0</v>
      </c>
      <c r="B9" s="95" t="s">
        <v>110</v>
      </c>
      <c r="C9" s="96"/>
      <c r="D9" s="96">
        <f t="array" ref="D9">COUNTIF('Magic Stick'!C:C,A:A)</f>
        <v>0</v>
      </c>
      <c r="E9" s="96">
        <f t="array" ref="E9">COUNTIF('Magic Stick'!C:C,A:A)</f>
        <v>0</v>
      </c>
      <c r="F9" s="97">
        <f>SUMIF('Magic Stick'!$C:$C,A:A,'Magic Stick'!$F:$F)</f>
        <v>0</v>
      </c>
      <c r="G9" s="97">
        <f>SUMIF('Magic Stick'!$C:$C,A:A,'Magic Stick'!$G:$G)</f>
        <v>0</v>
      </c>
      <c r="H9" s="98" t="str">
        <f t="shared" si="4"/>
        <v>#DIV/0!</v>
      </c>
      <c r="I9" s="99">
        <f>SUMIF('Magic Stick'!$C:$C,A:A,'Magic Stick'!$I:$I)</f>
        <v>0</v>
      </c>
      <c r="J9" s="100" t="str">
        <f t="shared" si="5"/>
        <v>#DIV/0!</v>
      </c>
      <c r="K9" s="99">
        <f>SUMIF('Magic Stick'!$C:$C,A:A,'Magic Stick'!$K:$K)</f>
        <v>0</v>
      </c>
      <c r="L9" s="100" t="str">
        <f t="shared" si="6"/>
        <v>#DIV/0!</v>
      </c>
      <c r="M9" s="99">
        <f>SUMIF('Magic Stick'!$C:$C,A:A,'Magic Stick'!$M:$M)</f>
        <v>0</v>
      </c>
      <c r="N9" s="101" t="str">
        <f t="shared" si="7"/>
        <v>#DIV/0!</v>
      </c>
      <c r="O9" s="102">
        <f>SUMIF('Magic Stick'!$C:$C,A:A,'Magic Stick'!$O:$O)</f>
        <v>0</v>
      </c>
      <c r="P9" s="99">
        <f t="shared" si="8"/>
        <v>0</v>
      </c>
      <c r="Q9" s="99">
        <f t="shared" si="9"/>
        <v>0</v>
      </c>
      <c r="R9" s="101">
        <f t="shared" si="10"/>
        <v>0</v>
      </c>
      <c r="S9" s="102" t="str">
        <f t="shared" si="11"/>
        <v>#DIV/0!</v>
      </c>
      <c r="T9" s="99" t="str">
        <f t="shared" si="12"/>
        <v>#DIV/0!</v>
      </c>
      <c r="U9" s="103" t="str">
        <f t="shared" si="13"/>
        <v>#DIV/0!</v>
      </c>
      <c r="V9" s="62"/>
    </row>
    <row r="10">
      <c r="A10" s="64">
        <v>8.0</v>
      </c>
      <c r="B10" s="93" t="s">
        <v>111</v>
      </c>
      <c r="D10" s="64">
        <f t="array" ref="D10">COUNTIF('Magic Stick'!C:C,A:A)</f>
        <v>0</v>
      </c>
      <c r="E10" s="64">
        <f t="array" ref="E10">COUNTIF('Magic Stick'!C:C,A:A)</f>
        <v>0</v>
      </c>
      <c r="F10" s="72">
        <f>SUMIF('Magic Stick'!$C:$C,A:A,'Magic Stick'!$F:$F)</f>
        <v>0</v>
      </c>
      <c r="G10" s="72">
        <f>SUMIF('Magic Stick'!$C:$C,A:A,'Magic Stick'!$G:$G)</f>
        <v>0</v>
      </c>
      <c r="H10" s="104" t="str">
        <f t="shared" si="4"/>
        <v>#DIV/0!</v>
      </c>
      <c r="I10" s="105">
        <f>SUMIF('Magic Stick'!$C:$C,A:A,'Magic Stick'!$I:$I)</f>
        <v>0</v>
      </c>
      <c r="J10" s="86" t="str">
        <f t="shared" si="5"/>
        <v>#DIV/0!</v>
      </c>
      <c r="K10" s="105">
        <f>SUMIF('Magic Stick'!$C:$C,A:A,'Magic Stick'!$K:$K)</f>
        <v>0</v>
      </c>
      <c r="L10" s="86" t="str">
        <f t="shared" si="6"/>
        <v>#DIV/0!</v>
      </c>
      <c r="M10" s="105">
        <f>SUMIF('Magic Stick'!$C:$C,A:A,'Magic Stick'!$M:$M)</f>
        <v>0</v>
      </c>
      <c r="N10" s="106" t="str">
        <f t="shared" si="7"/>
        <v>#DIV/0!</v>
      </c>
      <c r="O10" s="107">
        <f>SUMIF('Magic Stick'!$C:$C,A:A,'Magic Stick'!$O:$O)</f>
        <v>0</v>
      </c>
      <c r="P10" s="105">
        <f t="shared" si="8"/>
        <v>0</v>
      </c>
      <c r="Q10" s="105">
        <f t="shared" si="9"/>
        <v>0</v>
      </c>
      <c r="R10" s="106">
        <f t="shared" si="10"/>
        <v>0</v>
      </c>
      <c r="S10" s="107" t="str">
        <f t="shared" si="11"/>
        <v>#DIV/0!</v>
      </c>
      <c r="T10" s="105" t="str">
        <f t="shared" si="12"/>
        <v>#DIV/0!</v>
      </c>
      <c r="U10" s="108" t="str">
        <f t="shared" si="13"/>
        <v>#DIV/0!</v>
      </c>
    </row>
    <row r="11">
      <c r="A11" s="64">
        <v>4.0</v>
      </c>
      <c r="B11" s="95" t="s">
        <v>112</v>
      </c>
      <c r="C11" s="96"/>
      <c r="D11" s="96">
        <f t="array" ref="D11">COUNTIF('Magic Stick'!C:C,A:A)</f>
        <v>0</v>
      </c>
      <c r="E11" s="96">
        <f t="array" ref="E11">COUNTIF('Magic Stick'!C:C,A:A)</f>
        <v>0</v>
      </c>
      <c r="F11" s="97">
        <f>SUMIF('Magic Stick'!$C:$C,A:A,'Magic Stick'!$F:$F)</f>
        <v>0</v>
      </c>
      <c r="G11" s="97">
        <f>SUMIF('Magic Stick'!$C:$C,A:A,'Magic Stick'!$G:$G)</f>
        <v>0</v>
      </c>
      <c r="H11" s="98" t="str">
        <f t="shared" si="4"/>
        <v>#DIV/0!</v>
      </c>
      <c r="I11" s="99">
        <f>SUMIF('Magic Stick'!$C:$C,A:A,'Magic Stick'!$I:$I)</f>
        <v>0</v>
      </c>
      <c r="J11" s="100" t="str">
        <f t="shared" si="5"/>
        <v>#DIV/0!</v>
      </c>
      <c r="K11" s="99">
        <f>SUMIF('Magic Stick'!$C:$C,A:A,'Magic Stick'!$K:$K)</f>
        <v>0</v>
      </c>
      <c r="L11" s="100" t="str">
        <f t="shared" si="6"/>
        <v>#DIV/0!</v>
      </c>
      <c r="M11" s="99">
        <f>SUMIF('Magic Stick'!$C:$C,A:A,'Magic Stick'!$M:$M)</f>
        <v>0</v>
      </c>
      <c r="N11" s="101" t="str">
        <f t="shared" si="7"/>
        <v>#DIV/0!</v>
      </c>
      <c r="O11" s="102">
        <f>SUMIF('Magic Stick'!$C:$C,A:A,'Magic Stick'!$O:$O)</f>
        <v>0</v>
      </c>
      <c r="P11" s="99">
        <f t="shared" si="8"/>
        <v>0</v>
      </c>
      <c r="Q11" s="99">
        <f t="shared" si="9"/>
        <v>0</v>
      </c>
      <c r="R11" s="101">
        <f t="shared" si="10"/>
        <v>0</v>
      </c>
      <c r="S11" s="102" t="str">
        <f t="shared" si="11"/>
        <v>#DIV/0!</v>
      </c>
      <c r="T11" s="99" t="str">
        <f t="shared" si="12"/>
        <v>#DIV/0!</v>
      </c>
      <c r="U11" s="103" t="str">
        <f t="shared" si="13"/>
        <v>#DIV/0!</v>
      </c>
    </row>
    <row r="12">
      <c r="A12" s="64">
        <v>3.0</v>
      </c>
      <c r="B12" s="93" t="s">
        <v>113</v>
      </c>
      <c r="D12" s="64">
        <f t="array" ref="D12">COUNTIF('Magic Stick'!C:C,A:A)</f>
        <v>0</v>
      </c>
      <c r="E12" s="64">
        <f t="array" ref="E12">COUNTIF('Magic Stick'!C:C,A:A)</f>
        <v>0</v>
      </c>
      <c r="F12" s="72">
        <f>SUMIF('Magic Stick'!$C:$C,A:A,'Magic Stick'!$F:$F)</f>
        <v>0</v>
      </c>
      <c r="G12" s="72">
        <f>SUMIF('Magic Stick'!$C:$C,A:A,'Magic Stick'!$G:$G)</f>
        <v>0</v>
      </c>
      <c r="H12" s="104" t="str">
        <f t="shared" si="4"/>
        <v>#DIV/0!</v>
      </c>
      <c r="I12" s="105">
        <f>SUMIF('Magic Stick'!$C:$C,A:A,'Magic Stick'!$I:$I)</f>
        <v>0</v>
      </c>
      <c r="J12" s="86" t="str">
        <f t="shared" si="5"/>
        <v>#DIV/0!</v>
      </c>
      <c r="K12" s="105">
        <f>SUMIF('Magic Stick'!$C:$C,A:A,'Magic Stick'!$K:$K)</f>
        <v>0</v>
      </c>
      <c r="L12" s="86" t="str">
        <f t="shared" si="6"/>
        <v>#DIV/0!</v>
      </c>
      <c r="M12" s="105">
        <f>SUMIF('Magic Stick'!$C:$C,A:A,'Magic Stick'!$M:$M)</f>
        <v>0</v>
      </c>
      <c r="N12" s="106" t="str">
        <f t="shared" si="7"/>
        <v>#DIV/0!</v>
      </c>
      <c r="O12" s="107">
        <f>SUMIF('Magic Stick'!$C:$C,A:A,'Magic Stick'!$O:$O)</f>
        <v>0</v>
      </c>
      <c r="P12" s="105">
        <f t="shared" si="8"/>
        <v>0</v>
      </c>
      <c r="Q12" s="105">
        <f t="shared" si="9"/>
        <v>0</v>
      </c>
      <c r="R12" s="106">
        <f t="shared" si="10"/>
        <v>0</v>
      </c>
      <c r="S12" s="107" t="str">
        <f t="shared" si="11"/>
        <v>#DIV/0!</v>
      </c>
      <c r="T12" s="105" t="str">
        <f t="shared" si="12"/>
        <v>#DIV/0!</v>
      </c>
      <c r="U12" s="108" t="str">
        <f t="shared" si="13"/>
        <v>#DIV/0!</v>
      </c>
    </row>
    <row r="13">
      <c r="A13" s="64">
        <v>6.0</v>
      </c>
      <c r="B13" s="95" t="s">
        <v>114</v>
      </c>
      <c r="C13" s="96"/>
      <c r="D13" s="96"/>
      <c r="E13" s="96">
        <f t="array" ref="E13">COUNTIF('Magic Stick'!C:C,A:A)</f>
        <v>0</v>
      </c>
      <c r="F13" s="97"/>
      <c r="G13" s="97"/>
      <c r="H13" s="98"/>
      <c r="I13" s="99"/>
      <c r="J13" s="100"/>
      <c r="K13" s="99">
        <f>SUMIF('Magic Stick'!$C:$C,A:A,'Magic Stick'!$K:$K)</f>
        <v>13312</v>
      </c>
      <c r="L13" s="100"/>
      <c r="M13" s="99"/>
      <c r="N13" s="101"/>
      <c r="O13" s="102">
        <f>SUMIF('Magic Stick'!$C:$C,A:A,'Magic Stick'!$O:$O)</f>
        <v>38815.64</v>
      </c>
      <c r="P13" s="99">
        <f t="shared" si="8"/>
        <v>13312</v>
      </c>
      <c r="Q13" s="99">
        <f t="shared" si="9"/>
        <v>52127.64</v>
      </c>
      <c r="R13" s="101">
        <f t="shared" si="10"/>
        <v>0.1147250793</v>
      </c>
      <c r="S13" s="102" t="str">
        <f t="shared" si="11"/>
        <v>#DIV/0!</v>
      </c>
      <c r="T13" s="99" t="str">
        <f t="shared" si="12"/>
        <v>#DIV/0!</v>
      </c>
      <c r="U13" s="103" t="str">
        <f t="shared" si="13"/>
        <v>#DIV/0!</v>
      </c>
    </row>
    <row r="14">
      <c r="A14" s="64">
        <v>7.0</v>
      </c>
      <c r="B14" s="93" t="s">
        <v>115</v>
      </c>
      <c r="D14" s="64">
        <f t="array" ref="D14">COUNTIF('Magic Stick'!C:C,A:A)</f>
        <v>0</v>
      </c>
      <c r="E14" s="64">
        <f t="array" ref="E14">COUNTIF('Magic Stick'!C:C,A:A)</f>
        <v>0</v>
      </c>
      <c r="F14" s="72">
        <f>SUMIF('Magic Stick'!$C:$C,A:A,'Magic Stick'!$F:$F)</f>
        <v>0</v>
      </c>
      <c r="G14" s="72">
        <f>SUMIF('Magic Stick'!$C:$C,A:A,'Magic Stick'!$G:$G)</f>
        <v>0</v>
      </c>
      <c r="H14" s="104" t="str">
        <f>F14/G14</f>
        <v>#DIV/0!</v>
      </c>
      <c r="I14" s="105">
        <f>SUMIF('Magic Stick'!$C:$C,A:A,'Magic Stick'!$I:$I)</f>
        <v>0</v>
      </c>
      <c r="J14" s="86" t="str">
        <f>I14/F14</f>
        <v>#DIV/0!</v>
      </c>
      <c r="K14" s="105">
        <f>SUMIF('Magic Stick'!$C:$C,A:A,'Magic Stick'!$K:$K)</f>
        <v>0</v>
      </c>
      <c r="L14" s="86" t="str">
        <f>K14/F14</f>
        <v>#DIV/0!</v>
      </c>
      <c r="M14" s="105">
        <f>SUMIF('Magic Stick'!$C:$C,A:A,'Magic Stick'!$M:$M)</f>
        <v>0</v>
      </c>
      <c r="N14" s="106" t="str">
        <f>M14/I14</f>
        <v>#DIV/0!</v>
      </c>
      <c r="O14" s="107">
        <f>SUMIF('Magic Stick'!$C:$C,A:A,'Magic Stick'!$O:$O)</f>
        <v>0</v>
      </c>
      <c r="P14" s="105">
        <f t="shared" si="8"/>
        <v>0</v>
      </c>
      <c r="Q14" s="105">
        <f t="shared" si="9"/>
        <v>0</v>
      </c>
      <c r="R14" s="106">
        <f t="shared" si="10"/>
        <v>0</v>
      </c>
      <c r="S14" s="107" t="str">
        <f t="shared" si="11"/>
        <v>#DIV/0!</v>
      </c>
      <c r="T14" s="105" t="str">
        <f t="shared" si="12"/>
        <v>#DIV/0!</v>
      </c>
      <c r="U14" s="108" t="str">
        <f t="shared" si="13"/>
        <v>#DIV/0!</v>
      </c>
    </row>
    <row r="15">
      <c r="B15" s="93"/>
      <c r="N15" s="94"/>
      <c r="O15" s="93"/>
      <c r="Q15" s="105"/>
      <c r="R15" s="94"/>
      <c r="S15" s="93"/>
      <c r="U15" s="94"/>
    </row>
    <row r="16">
      <c r="B16" s="93"/>
      <c r="N16" s="94"/>
      <c r="O16" s="93"/>
      <c r="R16" s="94"/>
      <c r="S16" s="93"/>
      <c r="U16" s="94"/>
    </row>
    <row r="17">
      <c r="B17" s="109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1"/>
      <c r="O17" s="109"/>
      <c r="P17" s="110"/>
      <c r="Q17" s="110"/>
      <c r="R17" s="111"/>
      <c r="S17" s="109"/>
      <c r="T17" s="110"/>
      <c r="U17" s="1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N2"/>
    <mergeCell ref="O2:R2"/>
    <mergeCell ref="S2:U2"/>
  </mergeCells>
  <printOptions horizontalCentered="1"/>
  <pageMargins bottom="0.75" footer="0.0" header="0.0" left="0.2" right="0.2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2019-03-04T20:21:35Z</dcterms:created>
  <dc:creator>Tom Ott</dc:creator>
</cp:coreProperties>
</file>