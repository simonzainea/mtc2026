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atre" sheetId="1" r:id="rId4"/>
  </sheets>
  <definedNames/>
  <calcPr/>
  <extLst>
    <ext uri="GoogleSheetsCustomDataVersion2">
      <go:sheetsCustomData xmlns:go="http://customooxmlschemas.google.com/" r:id="rId5" roundtripDataChecksum="D/tkguTjtmyhMWN+L+xLsIkKeXlmt8SJL3iodDP9iOY="/>
    </ext>
  </extLst>
</workbook>
</file>

<file path=xl/sharedStrings.xml><?xml version="1.0" encoding="utf-8"?>
<sst xmlns="http://schemas.openxmlformats.org/spreadsheetml/2006/main" count="110" uniqueCount="107">
  <si>
    <t>VENUE TOTAL</t>
  </si>
  <si>
    <t>PARTNER SPLIT</t>
  </si>
  <si>
    <t>***MAJESTIC THEATRE RESULTS***</t>
  </si>
  <si>
    <t>MTC Inc</t>
  </si>
  <si>
    <t>MAJESTIC THEATRE</t>
  </si>
  <si>
    <t xml:space="preserve">AEG </t>
  </si>
  <si>
    <t>Name</t>
  </si>
  <si>
    <t>Date</t>
  </si>
  <si>
    <t>Day of the week</t>
  </si>
  <si>
    <t>Tickets Sold</t>
  </si>
  <si>
    <t>Venue Capacity</t>
  </si>
  <si>
    <t>Capacity Rate</t>
  </si>
  <si>
    <t>Gross Ticket Revenue</t>
  </si>
  <si>
    <t>Avg. Ticket Price (including TW rebate)</t>
  </si>
  <si>
    <t>Bar Revenue</t>
  </si>
  <si>
    <t>Avg sale of alcohol per guest</t>
  </si>
  <si>
    <t>Band(s) guarantee</t>
  </si>
  <si>
    <t>% of Gross Ticket Revenue</t>
  </si>
  <si>
    <t xml:space="preserve">Gate Settlement Gain/(Loss)  </t>
  </si>
  <si>
    <t>Bar Sales 100%</t>
  </si>
  <si>
    <t>Show Gross Proceeds (before COGS, Labor, &amp; Facility Costs)</t>
  </si>
  <si>
    <t>Bar Sales 70%</t>
  </si>
  <si>
    <t>Bar  COGS, Labor &amp; Facility Costs 28%</t>
  </si>
  <si>
    <t>Show Gross Proceeds</t>
  </si>
  <si>
    <t>Bar Sales 30%</t>
  </si>
  <si>
    <t>INPUT - Total Gate Settlement</t>
  </si>
  <si>
    <t>TOTALS</t>
  </si>
  <si>
    <t>AVERAGES</t>
  </si>
  <si>
    <t>Story of the Year</t>
  </si>
  <si>
    <t>Blue Note Orchestra</t>
  </si>
  <si>
    <t>Thursday</t>
  </si>
  <si>
    <t>1/26.24</t>
  </si>
  <si>
    <t>Restless Road</t>
  </si>
  <si>
    <t>DJ Shadow</t>
  </si>
  <si>
    <t>Mayer Hawthorne</t>
  </si>
  <si>
    <t>Poolside</t>
  </si>
  <si>
    <t>Elyanna</t>
  </si>
  <si>
    <t>Eric Bellinger</t>
  </si>
  <si>
    <t>Thievery Corporation</t>
  </si>
  <si>
    <t>Sam Barber</t>
  </si>
  <si>
    <t>Two Door Cinema Club</t>
  </si>
  <si>
    <t>Twin Temple</t>
  </si>
  <si>
    <t>Kaivon</t>
  </si>
  <si>
    <t>Dorian Electra</t>
  </si>
  <si>
    <t>Le Youth</t>
  </si>
  <si>
    <t>Health</t>
  </si>
  <si>
    <t>49 Winchester</t>
  </si>
  <si>
    <t>Ismo</t>
  </si>
  <si>
    <t>Alestorm</t>
  </si>
  <si>
    <t>William Black</t>
  </si>
  <si>
    <t>Last Dinner Party</t>
  </si>
  <si>
    <t>Jeff Rosenstock</t>
  </si>
  <si>
    <t>Queenssryche</t>
  </si>
  <si>
    <t>Sematary</t>
  </si>
  <si>
    <t>Reality Gays</t>
  </si>
  <si>
    <t>Waxahacthee</t>
  </si>
  <si>
    <t>The Ghost Inside</t>
  </si>
  <si>
    <t>Stiff Little Fingers</t>
  </si>
  <si>
    <t>Molly Tuttle</t>
  </si>
  <si>
    <t>Abbath</t>
  </si>
  <si>
    <t>Ride</t>
  </si>
  <si>
    <t>Psychelic Porn Crumpets</t>
  </si>
  <si>
    <t>They Might Be Giants</t>
  </si>
  <si>
    <t>Shordie Shordie</t>
  </si>
  <si>
    <t>Hunxho</t>
  </si>
  <si>
    <t>Archspire</t>
  </si>
  <si>
    <t>The Church</t>
  </si>
  <si>
    <t>Amyl &amp; the Sniffers</t>
  </si>
  <si>
    <t>Sleater-Kinney</t>
  </si>
  <si>
    <t>DIIV</t>
  </si>
  <si>
    <t>Killer Mike</t>
  </si>
  <si>
    <t>Washed Out</t>
  </si>
  <si>
    <t>Orbit Culture</t>
  </si>
  <si>
    <t>Royal Otis</t>
  </si>
  <si>
    <t>Cupakke</t>
  </si>
  <si>
    <t>Novo Amor</t>
  </si>
  <si>
    <t>The Aces</t>
  </si>
  <si>
    <t>The Lemonheads</t>
  </si>
  <si>
    <t>The Warning</t>
  </si>
  <si>
    <t>Faun</t>
  </si>
  <si>
    <t>Palaye Royale</t>
  </si>
  <si>
    <t>Tinlicker</t>
  </si>
  <si>
    <t>Billy Brag</t>
  </si>
  <si>
    <t>Duster</t>
  </si>
  <si>
    <t>Tinzo + JoJo</t>
  </si>
  <si>
    <t>California Honeydrops</t>
  </si>
  <si>
    <t>Sueco</t>
  </si>
  <si>
    <t>Homoxide Gang</t>
  </si>
  <si>
    <t>Perfect Person</t>
  </si>
  <si>
    <t>ICP</t>
  </si>
  <si>
    <t>Dirtwire</t>
  </si>
  <si>
    <t>Houndmouth</t>
  </si>
  <si>
    <t>Death From Above</t>
  </si>
  <si>
    <t>Cold War Kids</t>
  </si>
  <si>
    <t>Chat Pile</t>
  </si>
  <si>
    <t>Ocie Elliot</t>
  </si>
  <si>
    <t>Kasbo</t>
  </si>
  <si>
    <t>Living Tombstone</t>
  </si>
  <si>
    <t>Chicks in the Office</t>
  </si>
  <si>
    <t>State Champs</t>
  </si>
  <si>
    <t>Weston Estate</t>
  </si>
  <si>
    <t>Exodus</t>
  </si>
  <si>
    <t>Zeal &amp; Andor</t>
  </si>
  <si>
    <t>Blood Brothers</t>
  </si>
  <si>
    <t>JCW</t>
  </si>
  <si>
    <t>Disco Lines</t>
  </si>
  <si>
    <t>Tropidelic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</si>
</sst>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m/d/yy"/>
    <numFmt numFmtId="169" formatCode="ddd"/>
    <numFmt numFmtId="170" formatCode="_(* #,##0_);_(* \(#,##0\);_(* &quot;-&quot;_);_(@_)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sz val="11.0"/>
      <color theme="1"/>
      <name val="Calibri"/>
    </font>
    <font>
      <b/>
      <sz val="11.0"/>
      <color theme="1"/>
      <name val="Times New Roman"/>
    </font>
    <font>
      <b/>
      <sz val="11.0"/>
      <color rgb="FFFF0000"/>
      <name val="Times New Roman"/>
    </font>
    <font>
      <b/>
      <sz val="11.0"/>
      <color rgb="FFFF0000"/>
      <name val="Calibri"/>
    </font>
    <font>
      <sz val="10.0"/>
      <color theme="1"/>
      <name val="Times New Roman"/>
    </font>
    <font>
      <sz val="10.0"/>
      <color rgb="FFFF0000"/>
      <name val="Times New Roman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F7474"/>
        <bgColor rgb="FFFF7474"/>
      </patternFill>
    </fill>
  </fills>
  <borders count="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9" xfId="0" applyFont="1" applyNumberForma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0" fillId="0" fontId="4" numFmtId="0" xfId="0" applyFont="1"/>
    <xf borderId="1" fillId="4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4" fillId="7" fontId="5" numFmtId="0" xfId="0" applyAlignment="1" applyBorder="1" applyFill="1" applyFont="1">
      <alignment horizontal="center" shrinkToFit="0" wrapText="1"/>
    </xf>
    <xf borderId="5" fillId="7" fontId="5" numFmtId="0" xfId="0" applyAlignment="1" applyBorder="1" applyFont="1">
      <alignment horizontal="center" shrinkToFit="0" wrapText="1"/>
    </xf>
    <xf borderId="5" fillId="7" fontId="5" numFmtId="164" xfId="0" applyAlignment="1" applyBorder="1" applyFont="1" applyNumberFormat="1">
      <alignment horizontal="center" shrinkToFit="0" wrapText="1"/>
    </xf>
    <xf borderId="6" fillId="7" fontId="5" numFmtId="0" xfId="0" applyAlignment="1" applyBorder="1" applyFont="1">
      <alignment horizontal="center" shrinkToFit="0" wrapText="1"/>
    </xf>
    <xf borderId="7" fillId="7" fontId="5" numFmtId="0" xfId="0" applyAlignment="1" applyBorder="1" applyFont="1">
      <alignment horizontal="center" shrinkToFit="0" wrapText="1"/>
    </xf>
    <xf borderId="8" fillId="7" fontId="5" numFmtId="0" xfId="0" applyAlignment="1" applyBorder="1" applyFont="1">
      <alignment horizontal="center" shrinkToFit="0" wrapText="1"/>
    </xf>
    <xf borderId="9" fillId="7" fontId="5" numFmtId="0" xfId="0" applyAlignment="1" applyBorder="1" applyFont="1">
      <alignment horizontal="center" shrinkToFit="0" wrapText="1"/>
    </xf>
    <xf borderId="10" fillId="7" fontId="6" numFmtId="0" xfId="0" applyAlignment="1" applyBorder="1" applyFont="1">
      <alignment horizontal="center" shrinkToFit="0" wrapText="1"/>
    </xf>
    <xf borderId="11" fillId="0" fontId="4" numFmtId="165" xfId="0" applyAlignment="1" applyBorder="1" applyFont="1" applyNumberFormat="1">
      <alignment horizontal="center" shrinkToFit="0" wrapText="1"/>
    </xf>
    <xf borderId="12" fillId="4" fontId="5" numFmtId="0" xfId="0" applyBorder="1" applyFont="1"/>
    <xf borderId="13" fillId="4" fontId="4" numFmtId="0" xfId="0" applyBorder="1" applyFont="1"/>
    <xf borderId="13" fillId="4" fontId="5" numFmtId="164" xfId="0" applyBorder="1" applyFont="1" applyNumberFormat="1"/>
    <xf borderId="13" fillId="2" fontId="5" numFmtId="164" xfId="0" applyBorder="1" applyFont="1" applyNumberFormat="1"/>
    <xf borderId="13" fillId="4" fontId="5" numFmtId="166" xfId="0" applyBorder="1" applyFont="1" applyNumberFormat="1"/>
    <xf borderId="14" fillId="2" fontId="5" numFmtId="166" xfId="0" applyBorder="1" applyFont="1" applyNumberFormat="1"/>
    <xf borderId="12" fillId="4" fontId="5" numFmtId="166" xfId="0" applyBorder="1" applyFont="1" applyNumberFormat="1"/>
    <xf borderId="14" fillId="4" fontId="5" numFmtId="166" xfId="0" applyBorder="1" applyFont="1" applyNumberFormat="1"/>
    <xf borderId="13" fillId="4" fontId="6" numFmtId="166" xfId="0" applyBorder="1" applyFont="1" applyNumberFormat="1"/>
    <xf borderId="13" fillId="4" fontId="5" numFmtId="10" xfId="0" applyBorder="1" applyFont="1" applyNumberFormat="1"/>
    <xf borderId="13" fillId="4" fontId="5" numFmtId="167" xfId="0" applyBorder="1" applyFont="1" applyNumberFormat="1"/>
    <xf borderId="14" fillId="4" fontId="5" numFmtId="10" xfId="0" applyBorder="1" applyFont="1" applyNumberFormat="1"/>
    <xf borderId="15" fillId="0" fontId="4" numFmtId="0" xfId="0" applyBorder="1" applyFont="1"/>
    <xf borderId="16" fillId="0" fontId="4" numFmtId="0" xfId="0" applyBorder="1" applyFont="1"/>
    <xf borderId="16" fillId="0" fontId="4" numFmtId="165" xfId="0" applyBorder="1" applyFont="1" applyNumberFormat="1"/>
    <xf borderId="16" fillId="0" fontId="4" numFmtId="164" xfId="0" applyBorder="1" applyFont="1" applyNumberFormat="1"/>
    <xf borderId="17" fillId="0" fontId="4" numFmtId="165" xfId="0" applyBorder="1" applyFont="1" applyNumberFormat="1"/>
    <xf borderId="15" fillId="0" fontId="4" numFmtId="165" xfId="0" applyBorder="1" applyFont="1" applyNumberFormat="1"/>
    <xf borderId="16" fillId="0" fontId="7" numFmtId="165" xfId="0" applyBorder="1" applyFont="1" applyNumberFormat="1"/>
    <xf borderId="18" fillId="7" fontId="8" numFmtId="0" xfId="0" applyBorder="1" applyFont="1"/>
    <xf borderId="19" fillId="7" fontId="8" numFmtId="0" xfId="0" applyAlignment="1" applyBorder="1" applyFont="1">
      <alignment readingOrder="0"/>
    </xf>
    <xf borderId="18" fillId="7" fontId="8" numFmtId="168" xfId="0" applyAlignment="1" applyBorder="1" applyFont="1" applyNumberFormat="1">
      <alignment horizontal="center" readingOrder="0"/>
    </xf>
    <xf borderId="18" fillId="7" fontId="8" numFmtId="169" xfId="0" applyAlignment="1" applyBorder="1" applyFont="1" applyNumberFormat="1">
      <alignment horizontal="center"/>
    </xf>
    <xf borderId="18" fillId="7" fontId="8" numFmtId="164" xfId="0" applyAlignment="1" applyBorder="1" applyFont="1" applyNumberFormat="1">
      <alignment readingOrder="0"/>
    </xf>
    <xf borderId="18" fillId="7" fontId="8" numFmtId="164" xfId="0" applyBorder="1" applyFont="1" applyNumberFormat="1"/>
    <xf borderId="18" fillId="7" fontId="8" numFmtId="9" xfId="0" applyBorder="1" applyFont="1" applyNumberFormat="1"/>
    <xf borderId="18" fillId="7" fontId="8" numFmtId="166" xfId="0" applyAlignment="1" applyBorder="1" applyFont="1" applyNumberFormat="1">
      <alignment readingOrder="0"/>
    </xf>
    <xf borderId="18" fillId="7" fontId="8" numFmtId="167" xfId="0" applyBorder="1" applyFont="1" applyNumberFormat="1"/>
    <xf borderId="18" fillId="7" fontId="8" numFmtId="166" xfId="0" applyBorder="1" applyFont="1" applyNumberFormat="1"/>
    <xf borderId="20" fillId="7" fontId="8" numFmtId="9" xfId="0" applyBorder="1" applyFont="1" applyNumberFormat="1"/>
    <xf borderId="19" fillId="7" fontId="8" numFmtId="166" xfId="0" applyBorder="1" applyFont="1" applyNumberFormat="1"/>
    <xf borderId="20" fillId="7" fontId="8" numFmtId="166" xfId="0" applyBorder="1" applyFont="1" applyNumberFormat="1"/>
    <xf borderId="19" fillId="7" fontId="8" numFmtId="170" xfId="0" applyBorder="1" applyFont="1" applyNumberFormat="1"/>
    <xf borderId="18" fillId="7" fontId="8" numFmtId="170" xfId="0" applyBorder="1" applyFont="1" applyNumberFormat="1"/>
    <xf borderId="18" fillId="7" fontId="9" numFmtId="170" xfId="0" applyBorder="1" applyFont="1" applyNumberFormat="1"/>
    <xf borderId="20" fillId="7" fontId="8" numFmtId="170" xfId="0" applyBorder="1" applyFont="1" applyNumberFormat="1"/>
    <xf borderId="0" fillId="0" fontId="4" numFmtId="165" xfId="0" applyAlignment="1" applyFont="1" applyNumberFormat="1">
      <alignment readingOrder="0"/>
    </xf>
    <xf borderId="0" fillId="0" fontId="8" numFmtId="0" xfId="0" applyFont="1"/>
    <xf borderId="21" fillId="0" fontId="8" numFmtId="0" xfId="0" applyAlignment="1" applyBorder="1" applyFont="1">
      <alignment readingOrder="0"/>
    </xf>
    <xf borderId="0" fillId="0" fontId="8" numFmtId="168" xfId="0" applyAlignment="1" applyFont="1" applyNumberFormat="1">
      <alignment horizontal="center" readingOrder="0"/>
    </xf>
    <xf borderId="0" fillId="0" fontId="8" numFmtId="164" xfId="0" applyAlignment="1" applyFont="1" applyNumberFormat="1">
      <alignment readingOrder="0"/>
    </xf>
    <xf borderId="0" fillId="0" fontId="8" numFmtId="164" xfId="0" applyFont="1" applyNumberFormat="1"/>
    <xf borderId="0" fillId="0" fontId="8" numFmtId="9" xfId="0" applyFont="1" applyNumberFormat="1"/>
    <xf borderId="0" fillId="0" fontId="8" numFmtId="165" xfId="0" applyFont="1" applyNumberFormat="1"/>
    <xf borderId="22" fillId="0" fontId="8" numFmtId="9" xfId="0" applyBorder="1" applyFont="1" applyNumberFormat="1"/>
    <xf borderId="21" fillId="0" fontId="8" numFmtId="164" xfId="0" applyBorder="1" applyFont="1" applyNumberFormat="1"/>
    <xf borderId="22" fillId="0" fontId="8" numFmtId="164" xfId="0" applyBorder="1" applyFont="1" applyNumberFormat="1"/>
    <xf borderId="21" fillId="0" fontId="8" numFmtId="170" xfId="0" applyBorder="1" applyFont="1" applyNumberFormat="1"/>
    <xf borderId="0" fillId="0" fontId="8" numFmtId="170" xfId="0" applyFont="1" applyNumberFormat="1"/>
    <xf borderId="0" fillId="0" fontId="9" numFmtId="170" xfId="0" applyFont="1" applyNumberFormat="1"/>
    <xf borderId="22" fillId="0" fontId="8" numFmtId="170" xfId="0" applyBorder="1" applyFont="1" applyNumberFormat="1"/>
    <xf borderId="18" fillId="7" fontId="8" numFmtId="0" xfId="0" applyAlignment="1" applyBorder="1" applyFont="1">
      <alignment horizontal="center" readingOrder="0"/>
    </xf>
    <xf borderId="18" fillId="7" fontId="8" numFmtId="165" xfId="0" applyBorder="1" applyFont="1" applyNumberFormat="1"/>
    <xf borderId="19" fillId="7" fontId="8" numFmtId="164" xfId="0" applyBorder="1" applyFont="1" applyNumberFormat="1"/>
    <xf borderId="20" fillId="7" fontId="8" numFmtId="164" xfId="0" applyBorder="1" applyFont="1" applyNumberFormat="1"/>
    <xf borderId="18" fillId="8" fontId="4" numFmtId="165" xfId="0" applyAlignment="1" applyBorder="1" applyFill="1" applyFont="1" applyNumberFormat="1">
      <alignment readingOrder="0"/>
    </xf>
    <xf borderId="0" fillId="0" fontId="1" numFmtId="165" xfId="0" applyFont="1" applyNumberFormat="1"/>
    <xf borderId="0" fillId="0" fontId="8" numFmtId="169" xfId="0" applyAlignment="1" applyFont="1" applyNumberFormat="1">
      <alignment horizontal="center"/>
    </xf>
    <xf borderId="19" fillId="7" fontId="8" numFmtId="0" xfId="0" applyBorder="1" applyFont="1"/>
    <xf borderId="18" fillId="7" fontId="8" numFmtId="168" xfId="0" applyAlignment="1" applyBorder="1" applyFont="1" applyNumberFormat="1">
      <alignment horizontal="center"/>
    </xf>
    <xf borderId="0" fillId="0" fontId="4" numFmtId="165" xfId="0" applyFont="1" applyNumberFormat="1"/>
    <xf borderId="23" fillId="7" fontId="8" numFmtId="0" xfId="0" applyBorder="1" applyFont="1"/>
    <xf borderId="24" fillId="7" fontId="8" numFmtId="168" xfId="0" applyAlignment="1" applyBorder="1" applyFont="1" applyNumberFormat="1">
      <alignment horizontal="center"/>
    </xf>
    <xf borderId="24" fillId="7" fontId="8" numFmtId="169" xfId="0" applyAlignment="1" applyBorder="1" applyFont="1" applyNumberFormat="1">
      <alignment horizontal="center"/>
    </xf>
    <xf borderId="24" fillId="7" fontId="8" numFmtId="164" xfId="0" applyBorder="1" applyFont="1" applyNumberFormat="1"/>
    <xf borderId="24" fillId="7" fontId="8" numFmtId="9" xfId="0" applyBorder="1" applyFont="1" applyNumberFormat="1"/>
    <xf borderId="24" fillId="7" fontId="8" numFmtId="165" xfId="0" applyBorder="1" applyFont="1" applyNumberFormat="1"/>
    <xf borderId="25" fillId="7" fontId="8" numFmtId="9" xfId="0" applyBorder="1" applyFont="1" applyNumberFormat="1"/>
    <xf borderId="23" fillId="7" fontId="8" numFmtId="164" xfId="0" applyBorder="1" applyFont="1" applyNumberFormat="1"/>
    <xf borderId="25" fillId="7" fontId="8" numFmtId="164" xfId="0" applyBorder="1" applyFont="1" applyNumberFormat="1"/>
    <xf borderId="23" fillId="7" fontId="8" numFmtId="170" xfId="0" applyBorder="1" applyFont="1" applyNumberFormat="1"/>
    <xf borderId="24" fillId="7" fontId="8" numFmtId="170" xfId="0" applyBorder="1" applyFont="1" applyNumberFormat="1"/>
    <xf borderId="24" fillId="7" fontId="9" numFmtId="170" xfId="0" applyBorder="1" applyFont="1" applyNumberFormat="1"/>
    <xf borderId="25" fillId="7" fontId="8" numFmtId="170" xfId="0" applyBorder="1" applyFont="1" applyNumberFormat="1"/>
    <xf borderId="26" fillId="0" fontId="4" numFmtId="165" xfId="0" applyBorder="1" applyFont="1" applyNumberFormat="1"/>
    <xf borderId="0" fillId="0" fontId="10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Theatr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7:X89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Theat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34.29"/>
    <col customWidth="1" min="3" max="3" width="8.14"/>
    <col customWidth="1" min="4" max="4" width="6.0"/>
    <col customWidth="1" min="5" max="6" width="8.71"/>
    <col customWidth="1" min="7" max="7" width="9.29"/>
    <col customWidth="1" min="8" max="8" width="12.43"/>
    <col customWidth="1" min="9" max="9" width="10.86"/>
    <col customWidth="1" min="10" max="10" width="11.0"/>
    <col customWidth="1" min="11" max="11" width="9.71"/>
    <col customWidth="1" min="12" max="12" width="12.71"/>
    <col customWidth="1" min="13" max="13" width="9.14"/>
    <col customWidth="1" min="14" max="14" width="11.71"/>
    <col customWidth="1" min="15" max="15" width="11.0"/>
    <col customWidth="1" min="16" max="16" width="13.71"/>
    <col customWidth="1" min="17" max="17" width="12.29"/>
    <col customWidth="1" min="18" max="19" width="11.0"/>
    <col customWidth="1" min="20" max="20" width="11.29"/>
    <col customWidth="1" min="21" max="21" width="12.14"/>
    <col customWidth="1" min="22" max="22" width="11.0"/>
    <col customWidth="1" min="23" max="23" width="11.29"/>
    <col customWidth="1" min="24" max="24" width="11.43"/>
    <col customWidth="1" min="25" max="25" width="11.0"/>
    <col customWidth="1" min="26" max="26" width="10.43"/>
  </cols>
  <sheetData>
    <row r="1">
      <c r="M1" s="1"/>
      <c r="N1" s="2" t="s">
        <v>0</v>
      </c>
      <c r="O1" s="3"/>
      <c r="P1" s="4"/>
      <c r="Q1" s="5" t="s">
        <v>1</v>
      </c>
      <c r="R1" s="3"/>
      <c r="S1" s="3"/>
      <c r="T1" s="3"/>
      <c r="U1" s="3"/>
      <c r="V1" s="3"/>
      <c r="W1" s="4"/>
      <c r="X1" s="6"/>
    </row>
    <row r="2">
      <c r="B2" s="7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8" t="s">
        <v>3</v>
      </c>
      <c r="O2" s="3"/>
      <c r="P2" s="4"/>
      <c r="Q2" s="8" t="s">
        <v>4</v>
      </c>
      <c r="R2" s="3"/>
      <c r="S2" s="3"/>
      <c r="T2" s="4"/>
      <c r="U2" s="9" t="s">
        <v>5</v>
      </c>
      <c r="V2" s="3"/>
      <c r="W2" s="4"/>
      <c r="X2" s="6"/>
    </row>
    <row r="3">
      <c r="B3" s="10" t="s">
        <v>6</v>
      </c>
      <c r="C3" s="11" t="s">
        <v>7</v>
      </c>
      <c r="D3" s="11" t="s">
        <v>8</v>
      </c>
      <c r="E3" s="12" t="s">
        <v>9</v>
      </c>
      <c r="F3" s="12" t="s">
        <v>10</v>
      </c>
      <c r="G3" s="12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3" t="s">
        <v>17</v>
      </c>
      <c r="N3" s="14" t="s">
        <v>18</v>
      </c>
      <c r="O3" s="15" t="s">
        <v>19</v>
      </c>
      <c r="P3" s="16" t="s">
        <v>20</v>
      </c>
      <c r="Q3" s="14" t="s">
        <v>18</v>
      </c>
      <c r="R3" s="15" t="s">
        <v>21</v>
      </c>
      <c r="S3" s="17" t="s">
        <v>22</v>
      </c>
      <c r="T3" s="16" t="s">
        <v>23</v>
      </c>
      <c r="U3" s="14" t="s">
        <v>18</v>
      </c>
      <c r="V3" s="15" t="s">
        <v>24</v>
      </c>
      <c r="W3" s="16" t="s">
        <v>23</v>
      </c>
      <c r="X3" s="18" t="s">
        <v>25</v>
      </c>
    </row>
    <row r="4">
      <c r="B4" s="19" t="s">
        <v>26</v>
      </c>
      <c r="C4" s="20"/>
      <c r="D4" s="20"/>
      <c r="E4" s="21">
        <f t="shared" ref="E4:F4" si="1">SUM(E7:E84)</f>
        <v>51753</v>
      </c>
      <c r="F4" s="21">
        <f t="shared" si="1"/>
        <v>84750</v>
      </c>
      <c r="G4" s="22"/>
      <c r="H4" s="23">
        <f>SUM(H7:H84)</f>
        <v>2216228.66</v>
      </c>
      <c r="I4" s="22"/>
      <c r="J4" s="23">
        <f>SUM(J7:J84)</f>
        <v>678744.91</v>
      </c>
      <c r="K4" s="22"/>
      <c r="L4" s="23">
        <f t="shared" ref="L4:W4" si="2">SUM(L7:L84)</f>
        <v>1104231.22</v>
      </c>
      <c r="M4" s="24">
        <f t="shared" si="2"/>
        <v>41.58866872</v>
      </c>
      <c r="N4" s="25">
        <f t="shared" si="2"/>
        <v>227236.1</v>
      </c>
      <c r="O4" s="23">
        <f t="shared" si="2"/>
        <v>678744.91</v>
      </c>
      <c r="P4" s="26">
        <f t="shared" si="2"/>
        <v>905981.01</v>
      </c>
      <c r="Q4" s="25">
        <f t="shared" si="2"/>
        <v>113618.05</v>
      </c>
      <c r="R4" s="23">
        <f t="shared" si="2"/>
        <v>475121.437</v>
      </c>
      <c r="S4" s="27">
        <f t="shared" si="2"/>
        <v>190048.5748</v>
      </c>
      <c r="T4" s="26">
        <f t="shared" si="2"/>
        <v>398690.9122</v>
      </c>
      <c r="U4" s="25">
        <f t="shared" si="2"/>
        <v>113618.05</v>
      </c>
      <c r="V4" s="23">
        <f t="shared" si="2"/>
        <v>203623.473</v>
      </c>
      <c r="W4" s="26">
        <f t="shared" si="2"/>
        <v>317241.523</v>
      </c>
      <c r="X4" s="6"/>
    </row>
    <row r="5">
      <c r="B5" s="19" t="s">
        <v>27</v>
      </c>
      <c r="C5" s="20"/>
      <c r="D5" s="20"/>
      <c r="E5" s="21">
        <f t="shared" ref="E5:F5" si="3">E4/COUNTA(E7:E84)</f>
        <v>663.5</v>
      </c>
      <c r="F5" s="21">
        <f t="shared" si="3"/>
        <v>1086.538462</v>
      </c>
      <c r="G5" s="28">
        <f>E4/F4</f>
        <v>0.6106548673</v>
      </c>
      <c r="H5" s="23">
        <f>H4/COUNTA(H7:H84)</f>
        <v>28413.18795</v>
      </c>
      <c r="I5" s="29">
        <f>H4/E4</f>
        <v>42.82319209</v>
      </c>
      <c r="J5" s="23">
        <f>J4/COUNTA(J7:J84)</f>
        <v>8701.857821</v>
      </c>
      <c r="K5" s="29">
        <f>J4/E4</f>
        <v>13.11508338</v>
      </c>
      <c r="L5" s="23">
        <f>L4/COUNTA(L7:L84)</f>
        <v>14156.81051</v>
      </c>
      <c r="M5" s="30">
        <f>L4/H4</f>
        <v>0.4982478748</v>
      </c>
      <c r="N5" s="25">
        <f t="shared" ref="N5:W5" si="4">N4/COUNTIF(N7:N84,"&lt;&gt;0")</f>
        <v>2913.283333</v>
      </c>
      <c r="O5" s="23">
        <f t="shared" si="4"/>
        <v>8701.857821</v>
      </c>
      <c r="P5" s="26">
        <f t="shared" si="4"/>
        <v>11615.14115</v>
      </c>
      <c r="Q5" s="25">
        <f t="shared" si="4"/>
        <v>1456.641667</v>
      </c>
      <c r="R5" s="23">
        <f t="shared" si="4"/>
        <v>6091.300474</v>
      </c>
      <c r="S5" s="27">
        <f t="shared" si="4"/>
        <v>2436.52019</v>
      </c>
      <c r="T5" s="26">
        <f t="shared" si="4"/>
        <v>5111.421951</v>
      </c>
      <c r="U5" s="25">
        <f t="shared" si="4"/>
        <v>1456.641667</v>
      </c>
      <c r="V5" s="23">
        <f t="shared" si="4"/>
        <v>2610.557346</v>
      </c>
      <c r="W5" s="26">
        <f t="shared" si="4"/>
        <v>4067.199013</v>
      </c>
      <c r="X5" s="6"/>
    </row>
    <row r="6">
      <c r="B6" s="31"/>
      <c r="C6" s="32"/>
      <c r="D6" s="32"/>
      <c r="E6" s="33"/>
      <c r="F6" s="33"/>
      <c r="G6" s="33"/>
      <c r="H6" s="33"/>
      <c r="I6" s="34"/>
      <c r="J6" s="33"/>
      <c r="K6" s="34"/>
      <c r="L6" s="33"/>
      <c r="M6" s="35"/>
      <c r="N6" s="36"/>
      <c r="O6" s="33"/>
      <c r="P6" s="35"/>
      <c r="Q6" s="36"/>
      <c r="R6" s="33"/>
      <c r="S6" s="37"/>
      <c r="T6" s="35"/>
      <c r="U6" s="36"/>
      <c r="V6" s="33"/>
      <c r="W6" s="35"/>
      <c r="X6" s="6"/>
    </row>
    <row r="7">
      <c r="A7" s="38">
        <v>1.0</v>
      </c>
      <c r="B7" s="39" t="s">
        <v>28</v>
      </c>
      <c r="C7" s="40">
        <v>45296.0</v>
      </c>
      <c r="D7" s="41">
        <f t="shared" ref="D7:D89" si="6">C7</f>
        <v>45296</v>
      </c>
      <c r="E7" s="42">
        <v>963.0</v>
      </c>
      <c r="F7" s="43">
        <v>1100.0</v>
      </c>
      <c r="G7" s="44">
        <f t="shared" ref="G7:G89" si="7">IFERROR(E7/F7,"")</f>
        <v>0.8754545455</v>
      </c>
      <c r="H7" s="45">
        <v>42920.0</v>
      </c>
      <c r="I7" s="46">
        <f t="shared" ref="I7:I89" si="8">IFERROR(H7/E7,"")</f>
        <v>44.56905504</v>
      </c>
      <c r="J7" s="45">
        <v>15941.88</v>
      </c>
      <c r="K7" s="46">
        <f t="shared" ref="K7:K89" si="9">IFERROR(J7/E7,"")</f>
        <v>16.55439252</v>
      </c>
      <c r="L7" s="47">
        <f>15000+7000</f>
        <v>22000</v>
      </c>
      <c r="M7" s="48">
        <f t="shared" ref="M7:M12" si="10">L7/H7</f>
        <v>0.5125815471</v>
      </c>
      <c r="N7" s="49">
        <f t="shared" ref="N7:O7" si="5">Q7+U7</f>
        <v>8478.58</v>
      </c>
      <c r="O7" s="47">
        <f t="shared" si="5"/>
        <v>15941.88</v>
      </c>
      <c r="P7" s="50">
        <f t="shared" ref="P7:P89" si="12">N7+O7</f>
        <v>24420.46</v>
      </c>
      <c r="Q7" s="51">
        <f t="shared" ref="Q7:Q89" si="13">X7*0.5</f>
        <v>4239.29</v>
      </c>
      <c r="R7" s="52">
        <f t="shared" ref="R7:R89" si="14">J7*70%</f>
        <v>11159.316</v>
      </c>
      <c r="S7" s="53">
        <f t="shared" ref="S7:S89" si="15">J7*0.28</f>
        <v>4463.7264</v>
      </c>
      <c r="T7" s="54">
        <f t="shared" ref="T7:T89" si="16">Q7+R7-S7</f>
        <v>10934.8796</v>
      </c>
      <c r="U7" s="49">
        <f t="shared" ref="U7:U89" si="17">Q7</f>
        <v>4239.29</v>
      </c>
      <c r="V7" s="47">
        <f t="shared" ref="V7:V89" si="18">J7*30%</f>
        <v>4782.564</v>
      </c>
      <c r="W7" s="50">
        <f t="shared" ref="W7:W89" si="19">U7+V7</f>
        <v>9021.854</v>
      </c>
      <c r="X7" s="55">
        <v>8478.58</v>
      </c>
    </row>
    <row r="8">
      <c r="A8" s="56">
        <v>2.0</v>
      </c>
      <c r="B8" s="57" t="s">
        <v>29</v>
      </c>
      <c r="C8" s="58">
        <v>45310.0</v>
      </c>
      <c r="D8" s="41">
        <f t="shared" si="6"/>
        <v>45310</v>
      </c>
      <c r="E8" s="59">
        <v>114.0</v>
      </c>
      <c r="F8" s="60">
        <v>1100.0</v>
      </c>
      <c r="G8" s="61">
        <f t="shared" si="7"/>
        <v>0.1036363636</v>
      </c>
      <c r="H8" s="59">
        <v>10927.0</v>
      </c>
      <c r="I8" s="62">
        <f t="shared" si="8"/>
        <v>95.85087719</v>
      </c>
      <c r="J8" s="59">
        <v>2000.27</v>
      </c>
      <c r="K8" s="62">
        <f t="shared" si="9"/>
        <v>17.54622807</v>
      </c>
      <c r="L8" s="59">
        <v>0.0</v>
      </c>
      <c r="M8" s="63">
        <f t="shared" si="10"/>
        <v>0</v>
      </c>
      <c r="N8" s="64">
        <f t="shared" ref="N8:O8" si="11">Q8+U8</f>
        <v>5554.99</v>
      </c>
      <c r="O8" s="60">
        <f t="shared" si="11"/>
        <v>2000.27</v>
      </c>
      <c r="P8" s="65">
        <f t="shared" si="12"/>
        <v>7555.26</v>
      </c>
      <c r="Q8" s="66">
        <f t="shared" si="13"/>
        <v>2777.495</v>
      </c>
      <c r="R8" s="67">
        <f t="shared" si="14"/>
        <v>1400.189</v>
      </c>
      <c r="S8" s="68">
        <f t="shared" si="15"/>
        <v>560.0756</v>
      </c>
      <c r="T8" s="69">
        <f t="shared" si="16"/>
        <v>3617.6084</v>
      </c>
      <c r="U8" s="64">
        <f t="shared" si="17"/>
        <v>2777.495</v>
      </c>
      <c r="V8" s="60">
        <f t="shared" si="18"/>
        <v>600.081</v>
      </c>
      <c r="W8" s="65">
        <f t="shared" si="19"/>
        <v>3377.576</v>
      </c>
      <c r="X8" s="55">
        <v>5554.99</v>
      </c>
    </row>
    <row r="9">
      <c r="A9" s="38">
        <v>3.0</v>
      </c>
      <c r="B9" s="39" t="s">
        <v>30</v>
      </c>
      <c r="C9" s="70" t="s">
        <v>31</v>
      </c>
      <c r="D9" s="41" t="str">
        <f t="shared" si="6"/>
        <v>1/26.24</v>
      </c>
      <c r="E9" s="42">
        <v>968.0</v>
      </c>
      <c r="F9" s="43">
        <v>1100.0</v>
      </c>
      <c r="G9" s="44">
        <f t="shared" si="7"/>
        <v>0.88</v>
      </c>
      <c r="H9" s="42">
        <v>39850.83</v>
      </c>
      <c r="I9" s="71">
        <f t="shared" si="8"/>
        <v>41.16821281</v>
      </c>
      <c r="J9" s="42">
        <v>15540.12</v>
      </c>
      <c r="K9" s="71">
        <f t="shared" si="9"/>
        <v>16.05384298</v>
      </c>
      <c r="L9" s="43">
        <f>10500+400+300</f>
        <v>11200</v>
      </c>
      <c r="M9" s="48">
        <f t="shared" si="10"/>
        <v>0.2810480986</v>
      </c>
      <c r="N9" s="72">
        <f t="shared" ref="N9:O9" si="20">Q9+U9</f>
        <v>10539.32</v>
      </c>
      <c r="O9" s="43">
        <f t="shared" si="20"/>
        <v>15540.12</v>
      </c>
      <c r="P9" s="73">
        <f t="shared" si="12"/>
        <v>26079.44</v>
      </c>
      <c r="Q9" s="51">
        <f t="shared" si="13"/>
        <v>5269.66</v>
      </c>
      <c r="R9" s="52">
        <f t="shared" si="14"/>
        <v>10878.084</v>
      </c>
      <c r="S9" s="53">
        <f t="shared" si="15"/>
        <v>4351.2336</v>
      </c>
      <c r="T9" s="54">
        <f t="shared" si="16"/>
        <v>11796.5104</v>
      </c>
      <c r="U9" s="72">
        <f t="shared" si="17"/>
        <v>5269.66</v>
      </c>
      <c r="V9" s="43">
        <f t="shared" si="18"/>
        <v>4662.036</v>
      </c>
      <c r="W9" s="73">
        <f t="shared" si="19"/>
        <v>9931.696</v>
      </c>
      <c r="X9" s="55">
        <v>10539.32</v>
      </c>
    </row>
    <row r="10">
      <c r="A10" s="56">
        <v>4.0</v>
      </c>
      <c r="B10" s="57" t="s">
        <v>32</v>
      </c>
      <c r="C10" s="58">
        <v>45318.0</v>
      </c>
      <c r="D10" s="41">
        <f t="shared" si="6"/>
        <v>45318</v>
      </c>
      <c r="E10" s="59">
        <v>556.0</v>
      </c>
      <c r="F10" s="60">
        <v>1100.0</v>
      </c>
      <c r="G10" s="61">
        <f t="shared" si="7"/>
        <v>0.5054545455</v>
      </c>
      <c r="H10" s="59">
        <v>17568.0</v>
      </c>
      <c r="I10" s="62">
        <f t="shared" si="8"/>
        <v>31.5971223</v>
      </c>
      <c r="J10" s="59">
        <v>9421.25</v>
      </c>
      <c r="K10" s="62">
        <f t="shared" si="9"/>
        <v>16.94469424</v>
      </c>
      <c r="L10" s="60">
        <f>4039+500.5</f>
        <v>4539.5</v>
      </c>
      <c r="M10" s="63">
        <f t="shared" si="10"/>
        <v>0.2583959472</v>
      </c>
      <c r="N10" s="64">
        <f t="shared" ref="N10:O10" si="21">Q10+U10</f>
        <v>442.48</v>
      </c>
      <c r="O10" s="60">
        <f t="shared" si="21"/>
        <v>9421.25</v>
      </c>
      <c r="P10" s="65">
        <f t="shared" si="12"/>
        <v>9863.73</v>
      </c>
      <c r="Q10" s="66">
        <f t="shared" si="13"/>
        <v>221.24</v>
      </c>
      <c r="R10" s="67">
        <f t="shared" si="14"/>
        <v>6594.875</v>
      </c>
      <c r="S10" s="68">
        <f t="shared" si="15"/>
        <v>2637.95</v>
      </c>
      <c r="T10" s="69">
        <f t="shared" si="16"/>
        <v>4178.165</v>
      </c>
      <c r="U10" s="64">
        <f t="shared" si="17"/>
        <v>221.24</v>
      </c>
      <c r="V10" s="60">
        <f t="shared" si="18"/>
        <v>2826.375</v>
      </c>
      <c r="W10" s="65">
        <f t="shared" si="19"/>
        <v>3047.615</v>
      </c>
      <c r="X10" s="74">
        <v>442.48</v>
      </c>
    </row>
    <row r="11">
      <c r="A11" s="38">
        <v>5.0</v>
      </c>
      <c r="B11" s="39" t="s">
        <v>33</v>
      </c>
      <c r="C11" s="40">
        <v>45323.0</v>
      </c>
      <c r="D11" s="41">
        <f t="shared" si="6"/>
        <v>45323</v>
      </c>
      <c r="E11" s="42">
        <v>817.0</v>
      </c>
      <c r="F11" s="43">
        <v>1100.0</v>
      </c>
      <c r="G11" s="44">
        <f t="shared" si="7"/>
        <v>0.7427272727</v>
      </c>
      <c r="H11" s="42">
        <v>31973.05</v>
      </c>
      <c r="I11" s="71">
        <f t="shared" si="8"/>
        <v>39.13470012</v>
      </c>
      <c r="J11" s="42">
        <v>13114.04</v>
      </c>
      <c r="K11" s="71">
        <f t="shared" si="9"/>
        <v>16.05145655</v>
      </c>
      <c r="L11" s="43">
        <f>10000+1000</f>
        <v>11000</v>
      </c>
      <c r="M11" s="48">
        <f t="shared" si="10"/>
        <v>0.344039746</v>
      </c>
      <c r="N11" s="72">
        <f t="shared" ref="N11:O11" si="22">Q11+U11</f>
        <v>10392.99</v>
      </c>
      <c r="O11" s="43">
        <f t="shared" si="22"/>
        <v>13114.04</v>
      </c>
      <c r="P11" s="73">
        <f t="shared" si="12"/>
        <v>23507.03</v>
      </c>
      <c r="Q11" s="51">
        <f t="shared" si="13"/>
        <v>5196.495</v>
      </c>
      <c r="R11" s="52">
        <f t="shared" si="14"/>
        <v>9179.828</v>
      </c>
      <c r="S11" s="53">
        <f t="shared" si="15"/>
        <v>3671.9312</v>
      </c>
      <c r="T11" s="54">
        <f t="shared" si="16"/>
        <v>10704.3918</v>
      </c>
      <c r="U11" s="72">
        <f t="shared" si="17"/>
        <v>5196.495</v>
      </c>
      <c r="V11" s="43">
        <f t="shared" si="18"/>
        <v>3934.212</v>
      </c>
      <c r="W11" s="73">
        <f t="shared" si="19"/>
        <v>9130.707</v>
      </c>
      <c r="X11" s="74">
        <v>10392.99</v>
      </c>
    </row>
    <row r="12">
      <c r="A12" s="56">
        <v>6.0</v>
      </c>
      <c r="B12" s="57" t="s">
        <v>34</v>
      </c>
      <c r="C12" s="58">
        <v>45324.0</v>
      </c>
      <c r="D12" s="41">
        <f t="shared" si="6"/>
        <v>45324</v>
      </c>
      <c r="E12" s="59">
        <v>780.0</v>
      </c>
      <c r="F12" s="60">
        <v>1100.0</v>
      </c>
      <c r="G12" s="61">
        <f t="shared" si="7"/>
        <v>0.7090909091</v>
      </c>
      <c r="H12" s="59">
        <v>37898.0</v>
      </c>
      <c r="I12" s="62">
        <f t="shared" si="8"/>
        <v>48.58717949</v>
      </c>
      <c r="J12" s="59">
        <v>14047.36</v>
      </c>
      <c r="K12" s="62">
        <f t="shared" si="9"/>
        <v>18.0094359</v>
      </c>
      <c r="L12" s="60">
        <f>9636.22</f>
        <v>9636.22</v>
      </c>
      <c r="M12" s="63">
        <f t="shared" si="10"/>
        <v>0.2542672437</v>
      </c>
      <c r="N12" s="64">
        <f t="shared" ref="N12:O12" si="23">Q12+U12</f>
        <v>11614.06</v>
      </c>
      <c r="O12" s="60">
        <f t="shared" si="23"/>
        <v>14047.36</v>
      </c>
      <c r="P12" s="65">
        <f t="shared" si="12"/>
        <v>25661.42</v>
      </c>
      <c r="Q12" s="66">
        <f t="shared" si="13"/>
        <v>5807.03</v>
      </c>
      <c r="R12" s="67">
        <f t="shared" si="14"/>
        <v>9833.152</v>
      </c>
      <c r="S12" s="68">
        <f t="shared" si="15"/>
        <v>3933.2608</v>
      </c>
      <c r="T12" s="69">
        <f t="shared" si="16"/>
        <v>11706.9212</v>
      </c>
      <c r="U12" s="64">
        <f t="shared" si="17"/>
        <v>5807.03</v>
      </c>
      <c r="V12" s="60">
        <f t="shared" si="18"/>
        <v>4214.208</v>
      </c>
      <c r="W12" s="65">
        <f t="shared" si="19"/>
        <v>10021.238</v>
      </c>
      <c r="X12" s="74">
        <v>11614.06</v>
      </c>
    </row>
    <row r="13">
      <c r="A13" s="38">
        <v>7.0</v>
      </c>
      <c r="B13" s="39" t="s">
        <v>35</v>
      </c>
      <c r="C13" s="40">
        <v>45332.0</v>
      </c>
      <c r="D13" s="41">
        <f t="shared" si="6"/>
        <v>45332</v>
      </c>
      <c r="E13" s="42">
        <v>494.0</v>
      </c>
      <c r="F13" s="43">
        <v>1100.0</v>
      </c>
      <c r="G13" s="44">
        <f t="shared" si="7"/>
        <v>0.4490909091</v>
      </c>
      <c r="H13" s="42">
        <v>17704.65</v>
      </c>
      <c r="I13" s="71">
        <f t="shared" si="8"/>
        <v>35.83937247</v>
      </c>
      <c r="J13" s="42">
        <v>8320.11</v>
      </c>
      <c r="K13" s="71">
        <f t="shared" si="9"/>
        <v>16.84232794</v>
      </c>
      <c r="L13" s="43">
        <f>6000+1000</f>
        <v>7000</v>
      </c>
      <c r="M13" s="48">
        <f t="shared" ref="M13:M89" si="25">IFERROR(L13/H13,"")</f>
        <v>0.3953763559</v>
      </c>
      <c r="N13" s="72">
        <f t="shared" ref="N13:O13" si="24">Q13+U13</f>
        <v>1841.06</v>
      </c>
      <c r="O13" s="43">
        <f t="shared" si="24"/>
        <v>8320.11</v>
      </c>
      <c r="P13" s="73">
        <f t="shared" si="12"/>
        <v>10161.17</v>
      </c>
      <c r="Q13" s="51">
        <f t="shared" si="13"/>
        <v>920.53</v>
      </c>
      <c r="R13" s="52">
        <f t="shared" si="14"/>
        <v>5824.077</v>
      </c>
      <c r="S13" s="53">
        <f t="shared" si="15"/>
        <v>2329.6308</v>
      </c>
      <c r="T13" s="54">
        <f t="shared" si="16"/>
        <v>4414.9762</v>
      </c>
      <c r="U13" s="72">
        <f t="shared" si="17"/>
        <v>920.53</v>
      </c>
      <c r="V13" s="43">
        <f t="shared" si="18"/>
        <v>2496.033</v>
      </c>
      <c r="W13" s="73">
        <f t="shared" si="19"/>
        <v>3416.563</v>
      </c>
      <c r="X13" s="55">
        <v>1841.06</v>
      </c>
    </row>
    <row r="14">
      <c r="A14" s="56">
        <v>8.0</v>
      </c>
      <c r="B14" s="57" t="s">
        <v>36</v>
      </c>
      <c r="C14" s="58">
        <v>45335.0</v>
      </c>
      <c r="D14" s="41">
        <f t="shared" si="6"/>
        <v>45335</v>
      </c>
      <c r="E14" s="59">
        <v>1115.0</v>
      </c>
      <c r="F14" s="60">
        <v>1100.0</v>
      </c>
      <c r="G14" s="61">
        <f t="shared" si="7"/>
        <v>1.013636364</v>
      </c>
      <c r="H14" s="59">
        <v>34655.5</v>
      </c>
      <c r="I14" s="62">
        <f t="shared" si="8"/>
        <v>31.08116592</v>
      </c>
      <c r="J14" s="59">
        <v>6644.19</v>
      </c>
      <c r="K14" s="62">
        <f t="shared" si="9"/>
        <v>5.958914798</v>
      </c>
      <c r="L14" s="60">
        <f>10500</f>
        <v>10500</v>
      </c>
      <c r="M14" s="63">
        <f t="shared" si="25"/>
        <v>0.3029822106</v>
      </c>
      <c r="N14" s="64">
        <f t="shared" ref="N14:O14" si="26">Q14+U14</f>
        <v>10811.86</v>
      </c>
      <c r="O14" s="60">
        <f t="shared" si="26"/>
        <v>6644.19</v>
      </c>
      <c r="P14" s="65">
        <f t="shared" si="12"/>
        <v>17456.05</v>
      </c>
      <c r="Q14" s="66">
        <f t="shared" si="13"/>
        <v>5405.93</v>
      </c>
      <c r="R14" s="67">
        <f t="shared" si="14"/>
        <v>4650.933</v>
      </c>
      <c r="S14" s="68">
        <f t="shared" si="15"/>
        <v>1860.3732</v>
      </c>
      <c r="T14" s="69">
        <f t="shared" si="16"/>
        <v>8196.4898</v>
      </c>
      <c r="U14" s="64">
        <f t="shared" si="17"/>
        <v>5405.93</v>
      </c>
      <c r="V14" s="60">
        <f t="shared" si="18"/>
        <v>1993.257</v>
      </c>
      <c r="W14" s="65">
        <f t="shared" si="19"/>
        <v>7399.187</v>
      </c>
      <c r="X14" s="74">
        <v>10811.86</v>
      </c>
    </row>
    <row r="15">
      <c r="A15" s="38">
        <v>9.0</v>
      </c>
      <c r="B15" s="39" t="s">
        <v>37</v>
      </c>
      <c r="C15" s="40">
        <v>45341.0</v>
      </c>
      <c r="D15" s="41">
        <f t="shared" si="6"/>
        <v>45341</v>
      </c>
      <c r="E15" s="42">
        <v>689.0</v>
      </c>
      <c r="F15" s="43">
        <v>1100.0</v>
      </c>
      <c r="G15" s="44">
        <f t="shared" si="7"/>
        <v>0.6263636364</v>
      </c>
      <c r="H15" s="42">
        <v>38016.0</v>
      </c>
      <c r="I15" s="71">
        <f t="shared" si="8"/>
        <v>55.17561684</v>
      </c>
      <c r="J15" s="42">
        <v>7921.52</v>
      </c>
      <c r="K15" s="71">
        <f t="shared" si="9"/>
        <v>11.49712627</v>
      </c>
      <c r="L15" s="43">
        <f>10000+750</f>
        <v>10750</v>
      </c>
      <c r="M15" s="48">
        <f t="shared" si="25"/>
        <v>0.2827756734</v>
      </c>
      <c r="N15" s="72">
        <f t="shared" ref="N15:O15" si="27">Q15+U15</f>
        <v>9268.6</v>
      </c>
      <c r="O15" s="43">
        <f t="shared" si="27"/>
        <v>7921.52</v>
      </c>
      <c r="P15" s="73">
        <f t="shared" si="12"/>
        <v>17190.12</v>
      </c>
      <c r="Q15" s="51">
        <f t="shared" si="13"/>
        <v>4634.3</v>
      </c>
      <c r="R15" s="52">
        <f t="shared" si="14"/>
        <v>5545.064</v>
      </c>
      <c r="S15" s="53">
        <f t="shared" si="15"/>
        <v>2218.0256</v>
      </c>
      <c r="T15" s="54">
        <f t="shared" si="16"/>
        <v>7961.3384</v>
      </c>
      <c r="U15" s="72">
        <f t="shared" si="17"/>
        <v>4634.3</v>
      </c>
      <c r="V15" s="43">
        <f t="shared" si="18"/>
        <v>2376.456</v>
      </c>
      <c r="W15" s="73">
        <f t="shared" si="19"/>
        <v>7010.756</v>
      </c>
      <c r="X15" s="74">
        <v>9268.6</v>
      </c>
    </row>
    <row r="16">
      <c r="A16" s="56">
        <v>10.0</v>
      </c>
      <c r="B16" s="57" t="s">
        <v>38</v>
      </c>
      <c r="C16" s="58">
        <v>45351.0</v>
      </c>
      <c r="D16" s="41">
        <f t="shared" si="6"/>
        <v>45351</v>
      </c>
      <c r="E16" s="59">
        <v>1115.0</v>
      </c>
      <c r="F16" s="60">
        <v>1100.0</v>
      </c>
      <c r="G16" s="61">
        <f t="shared" si="7"/>
        <v>1.013636364</v>
      </c>
      <c r="H16" s="59">
        <v>53190.5</v>
      </c>
      <c r="I16" s="62">
        <f t="shared" si="8"/>
        <v>47.7044843</v>
      </c>
      <c r="J16" s="59">
        <v>17868.05</v>
      </c>
      <c r="K16" s="62">
        <f t="shared" si="9"/>
        <v>16.02515695</v>
      </c>
      <c r="L16" s="60">
        <f>25000+500</f>
        <v>25500</v>
      </c>
      <c r="M16" s="63">
        <f t="shared" si="25"/>
        <v>0.479408917</v>
      </c>
      <c r="N16" s="64">
        <f t="shared" ref="N16:O16" si="28">Q16+U16</f>
        <v>14441.06</v>
      </c>
      <c r="O16" s="60">
        <f t="shared" si="28"/>
        <v>17868.05</v>
      </c>
      <c r="P16" s="65">
        <f t="shared" si="12"/>
        <v>32309.11</v>
      </c>
      <c r="Q16" s="66">
        <f t="shared" si="13"/>
        <v>7220.53</v>
      </c>
      <c r="R16" s="67">
        <f t="shared" si="14"/>
        <v>12507.635</v>
      </c>
      <c r="S16" s="68">
        <f t="shared" si="15"/>
        <v>5003.054</v>
      </c>
      <c r="T16" s="69">
        <f t="shared" si="16"/>
        <v>14725.111</v>
      </c>
      <c r="U16" s="64">
        <f t="shared" si="17"/>
        <v>7220.53</v>
      </c>
      <c r="V16" s="60">
        <f t="shared" si="18"/>
        <v>5360.415</v>
      </c>
      <c r="W16" s="65">
        <f t="shared" si="19"/>
        <v>12580.945</v>
      </c>
      <c r="X16" s="55">
        <v>14441.06</v>
      </c>
    </row>
    <row r="17">
      <c r="A17" s="38">
        <v>11.0</v>
      </c>
      <c r="B17" s="39" t="s">
        <v>39</v>
      </c>
      <c r="C17" s="40">
        <v>45352.0</v>
      </c>
      <c r="D17" s="41">
        <f t="shared" si="6"/>
        <v>45352</v>
      </c>
      <c r="E17" s="42">
        <v>1130.0</v>
      </c>
      <c r="F17" s="43">
        <v>1100.0</v>
      </c>
      <c r="G17" s="44">
        <f t="shared" si="7"/>
        <v>1.027272727</v>
      </c>
      <c r="H17" s="42">
        <v>33341.8</v>
      </c>
      <c r="I17" s="71">
        <f t="shared" si="8"/>
        <v>29.5060177</v>
      </c>
      <c r="J17" s="42">
        <v>18371.54</v>
      </c>
      <c r="K17" s="71">
        <f t="shared" si="9"/>
        <v>16.258</v>
      </c>
      <c r="L17" s="43">
        <f>15559.38+500</f>
        <v>16059.38</v>
      </c>
      <c r="M17" s="48">
        <f t="shared" si="25"/>
        <v>0.4816590586</v>
      </c>
      <c r="N17" s="72">
        <f t="shared" ref="N17:O17" si="29">Q17+U17</f>
        <v>5568.23</v>
      </c>
      <c r="O17" s="43">
        <f t="shared" si="29"/>
        <v>18371.54</v>
      </c>
      <c r="P17" s="73">
        <f t="shared" si="12"/>
        <v>23939.77</v>
      </c>
      <c r="Q17" s="51">
        <f t="shared" si="13"/>
        <v>2784.115</v>
      </c>
      <c r="R17" s="52">
        <f t="shared" si="14"/>
        <v>12860.078</v>
      </c>
      <c r="S17" s="53">
        <f t="shared" si="15"/>
        <v>5144.0312</v>
      </c>
      <c r="T17" s="54">
        <f t="shared" si="16"/>
        <v>10500.1618</v>
      </c>
      <c r="U17" s="72">
        <f t="shared" si="17"/>
        <v>2784.115</v>
      </c>
      <c r="V17" s="43">
        <f t="shared" si="18"/>
        <v>5511.462</v>
      </c>
      <c r="W17" s="73">
        <f t="shared" si="19"/>
        <v>8295.577</v>
      </c>
      <c r="X17" s="55">
        <v>5568.23</v>
      </c>
    </row>
    <row r="18">
      <c r="A18" s="56">
        <v>12.0</v>
      </c>
      <c r="B18" s="57" t="s">
        <v>40</v>
      </c>
      <c r="C18" s="58">
        <v>45355.0</v>
      </c>
      <c r="D18" s="41">
        <f t="shared" si="6"/>
        <v>45355</v>
      </c>
      <c r="E18" s="59">
        <v>1215.0</v>
      </c>
      <c r="F18" s="60">
        <v>1100.0</v>
      </c>
      <c r="G18" s="61">
        <f t="shared" si="7"/>
        <v>1.104545455</v>
      </c>
      <c r="H18" s="59">
        <v>56298.36</v>
      </c>
      <c r="I18" s="62">
        <f t="shared" si="8"/>
        <v>46.33609877</v>
      </c>
      <c r="J18" s="59">
        <v>13057.21</v>
      </c>
      <c r="K18" s="62">
        <f t="shared" si="9"/>
        <v>10.7466749</v>
      </c>
      <c r="L18" s="60">
        <f>21215.66+5000</f>
        <v>26215.66</v>
      </c>
      <c r="M18" s="63">
        <f t="shared" si="25"/>
        <v>0.4656558379</v>
      </c>
      <c r="N18" s="64">
        <f t="shared" ref="N18:O18" si="30">Q18+U18</f>
        <v>18676.16</v>
      </c>
      <c r="O18" s="60">
        <f t="shared" si="30"/>
        <v>13057.21</v>
      </c>
      <c r="P18" s="65">
        <f t="shared" si="12"/>
        <v>31733.37</v>
      </c>
      <c r="Q18" s="66">
        <f t="shared" si="13"/>
        <v>9338.08</v>
      </c>
      <c r="R18" s="67">
        <f t="shared" si="14"/>
        <v>9140.047</v>
      </c>
      <c r="S18" s="68">
        <f t="shared" si="15"/>
        <v>3656.0188</v>
      </c>
      <c r="T18" s="69">
        <f t="shared" si="16"/>
        <v>14822.1082</v>
      </c>
      <c r="U18" s="64">
        <f t="shared" si="17"/>
        <v>9338.08</v>
      </c>
      <c r="V18" s="60">
        <f t="shared" si="18"/>
        <v>3917.163</v>
      </c>
      <c r="W18" s="65">
        <f t="shared" si="19"/>
        <v>13255.243</v>
      </c>
      <c r="X18" s="55">
        <v>18676.16</v>
      </c>
    </row>
    <row r="19">
      <c r="A19" s="38">
        <v>13.0</v>
      </c>
      <c r="B19" s="39" t="s">
        <v>41</v>
      </c>
      <c r="C19" s="40">
        <v>45356.0</v>
      </c>
      <c r="D19" s="41">
        <f t="shared" si="6"/>
        <v>45356</v>
      </c>
      <c r="E19" s="42">
        <v>623.0</v>
      </c>
      <c r="F19" s="43">
        <v>1100.0</v>
      </c>
      <c r="G19" s="44">
        <f t="shared" si="7"/>
        <v>0.5663636364</v>
      </c>
      <c r="H19" s="42">
        <v>21415.0</v>
      </c>
      <c r="I19" s="71">
        <f t="shared" si="8"/>
        <v>34.37399679</v>
      </c>
      <c r="J19" s="42">
        <v>6495.44</v>
      </c>
      <c r="K19" s="71">
        <f t="shared" si="9"/>
        <v>10.42606742</v>
      </c>
      <c r="L19" s="43">
        <f>7500+1000</f>
        <v>8500</v>
      </c>
      <c r="M19" s="48">
        <f t="shared" si="25"/>
        <v>0.3969180481</v>
      </c>
      <c r="N19" s="72">
        <f t="shared" ref="N19:O19" si="31">Q19+U19</f>
        <v>2853.42</v>
      </c>
      <c r="O19" s="43">
        <f t="shared" si="31"/>
        <v>6495.44</v>
      </c>
      <c r="P19" s="73">
        <f t="shared" si="12"/>
        <v>9348.86</v>
      </c>
      <c r="Q19" s="51">
        <f t="shared" si="13"/>
        <v>1426.71</v>
      </c>
      <c r="R19" s="52">
        <f t="shared" si="14"/>
        <v>4546.808</v>
      </c>
      <c r="S19" s="53">
        <f t="shared" si="15"/>
        <v>1818.7232</v>
      </c>
      <c r="T19" s="54">
        <f t="shared" si="16"/>
        <v>4154.7948</v>
      </c>
      <c r="U19" s="72">
        <f t="shared" si="17"/>
        <v>1426.71</v>
      </c>
      <c r="V19" s="43">
        <f t="shared" si="18"/>
        <v>1948.632</v>
      </c>
      <c r="W19" s="73">
        <f t="shared" si="19"/>
        <v>3375.342</v>
      </c>
      <c r="X19" s="74">
        <v>2853.42</v>
      </c>
    </row>
    <row r="20">
      <c r="A20" s="56">
        <v>14.0</v>
      </c>
      <c r="B20" s="57" t="s">
        <v>42</v>
      </c>
      <c r="C20" s="58">
        <v>45365.0</v>
      </c>
      <c r="D20" s="41">
        <f t="shared" si="6"/>
        <v>45365</v>
      </c>
      <c r="E20" s="59">
        <v>457.0</v>
      </c>
      <c r="F20" s="60">
        <v>1100.0</v>
      </c>
      <c r="G20" s="61">
        <f t="shared" si="7"/>
        <v>0.4154545455</v>
      </c>
      <c r="H20" s="59">
        <v>12114.5</v>
      </c>
      <c r="I20" s="62">
        <f t="shared" si="8"/>
        <v>26.50875274</v>
      </c>
      <c r="J20" s="59">
        <v>7999.35</v>
      </c>
      <c r="K20" s="62">
        <f t="shared" si="9"/>
        <v>17.50404814</v>
      </c>
      <c r="L20" s="60">
        <f>4500+250+250</f>
        <v>5000</v>
      </c>
      <c r="M20" s="63">
        <f t="shared" si="25"/>
        <v>0.4127285484</v>
      </c>
      <c r="N20" s="64">
        <f t="shared" ref="N20:O20" si="32">Q20+U20</f>
        <v>-1006.15</v>
      </c>
      <c r="O20" s="60">
        <f t="shared" si="32"/>
        <v>7999.35</v>
      </c>
      <c r="P20" s="65">
        <f t="shared" si="12"/>
        <v>6993.2</v>
      </c>
      <c r="Q20" s="66">
        <f t="shared" si="13"/>
        <v>-503.075</v>
      </c>
      <c r="R20" s="67">
        <f t="shared" si="14"/>
        <v>5599.545</v>
      </c>
      <c r="S20" s="68">
        <f t="shared" si="15"/>
        <v>2239.818</v>
      </c>
      <c r="T20" s="69">
        <f t="shared" si="16"/>
        <v>2856.652</v>
      </c>
      <c r="U20" s="64">
        <f t="shared" si="17"/>
        <v>-503.075</v>
      </c>
      <c r="V20" s="60">
        <f t="shared" si="18"/>
        <v>2399.805</v>
      </c>
      <c r="W20" s="65">
        <f t="shared" si="19"/>
        <v>1896.73</v>
      </c>
      <c r="X20" s="74">
        <v>-1006.15</v>
      </c>
    </row>
    <row r="21" ht="15.75" customHeight="1">
      <c r="A21" s="38">
        <v>15.0</v>
      </c>
      <c r="B21" s="39" t="s">
        <v>43</v>
      </c>
      <c r="C21" s="40">
        <v>45366.0</v>
      </c>
      <c r="D21" s="41">
        <f t="shared" si="6"/>
        <v>45366</v>
      </c>
      <c r="E21" s="42">
        <v>584.0</v>
      </c>
      <c r="F21" s="43">
        <v>1100.0</v>
      </c>
      <c r="G21" s="44">
        <f t="shared" si="7"/>
        <v>0.5309090909</v>
      </c>
      <c r="H21" s="42">
        <v>24564.37</v>
      </c>
      <c r="I21" s="71">
        <f t="shared" si="8"/>
        <v>42.0622774</v>
      </c>
      <c r="J21" s="42">
        <v>5295.54</v>
      </c>
      <c r="K21" s="71">
        <f t="shared" si="9"/>
        <v>9.067705479</v>
      </c>
      <c r="L21" s="43">
        <f>10000+1000+500</f>
        <v>11500</v>
      </c>
      <c r="M21" s="48">
        <f t="shared" si="25"/>
        <v>0.4681577423</v>
      </c>
      <c r="N21" s="72">
        <f t="shared" ref="N21:O21" si="33">Q21+U21</f>
        <v>28.26</v>
      </c>
      <c r="O21" s="43">
        <f t="shared" si="33"/>
        <v>5295.54</v>
      </c>
      <c r="P21" s="73">
        <f t="shared" si="12"/>
        <v>5323.8</v>
      </c>
      <c r="Q21" s="51">
        <f t="shared" si="13"/>
        <v>14.13</v>
      </c>
      <c r="R21" s="52">
        <f t="shared" si="14"/>
        <v>3706.878</v>
      </c>
      <c r="S21" s="53">
        <f t="shared" si="15"/>
        <v>1482.7512</v>
      </c>
      <c r="T21" s="54">
        <f t="shared" si="16"/>
        <v>2238.2568</v>
      </c>
      <c r="U21" s="72">
        <f t="shared" si="17"/>
        <v>14.13</v>
      </c>
      <c r="V21" s="43">
        <f t="shared" si="18"/>
        <v>1588.662</v>
      </c>
      <c r="W21" s="73">
        <f t="shared" si="19"/>
        <v>1602.792</v>
      </c>
      <c r="X21" s="74">
        <v>28.26</v>
      </c>
    </row>
    <row r="22" ht="15.75" customHeight="1">
      <c r="A22" s="56">
        <v>16.0</v>
      </c>
      <c r="B22" s="57" t="s">
        <v>44</v>
      </c>
      <c r="C22" s="58">
        <v>45367.0</v>
      </c>
      <c r="D22" s="41">
        <f t="shared" si="6"/>
        <v>45367</v>
      </c>
      <c r="E22" s="59">
        <v>456.0</v>
      </c>
      <c r="F22" s="60">
        <v>1100.0</v>
      </c>
      <c r="G22" s="61">
        <f t="shared" si="7"/>
        <v>0.4145454545</v>
      </c>
      <c r="H22" s="59">
        <v>14229.63</v>
      </c>
      <c r="I22" s="62">
        <f t="shared" si="8"/>
        <v>31.20532895</v>
      </c>
      <c r="J22" s="59">
        <v>9818.56</v>
      </c>
      <c r="K22" s="62">
        <f t="shared" si="9"/>
        <v>21.53192982</v>
      </c>
      <c r="L22" s="60">
        <f>5900</f>
        <v>5900</v>
      </c>
      <c r="M22" s="63">
        <f t="shared" si="25"/>
        <v>0.4146277872</v>
      </c>
      <c r="N22" s="64">
        <f t="shared" ref="N22:O22" si="34">Q22+U22</f>
        <v>-1959.18</v>
      </c>
      <c r="O22" s="60">
        <f t="shared" si="34"/>
        <v>9818.56</v>
      </c>
      <c r="P22" s="65">
        <f t="shared" si="12"/>
        <v>7859.38</v>
      </c>
      <c r="Q22" s="66">
        <f t="shared" si="13"/>
        <v>-979.59</v>
      </c>
      <c r="R22" s="67">
        <f t="shared" si="14"/>
        <v>6872.992</v>
      </c>
      <c r="S22" s="68">
        <f t="shared" si="15"/>
        <v>2749.1968</v>
      </c>
      <c r="T22" s="69">
        <f t="shared" si="16"/>
        <v>3144.2052</v>
      </c>
      <c r="U22" s="64">
        <f t="shared" si="17"/>
        <v>-979.59</v>
      </c>
      <c r="V22" s="60">
        <f t="shared" si="18"/>
        <v>2945.568</v>
      </c>
      <c r="W22" s="65">
        <f t="shared" si="19"/>
        <v>1965.978</v>
      </c>
      <c r="X22" s="55">
        <v>-1959.18</v>
      </c>
    </row>
    <row r="23" ht="15.75" customHeight="1">
      <c r="A23" s="38">
        <v>17.0</v>
      </c>
      <c r="B23" s="39" t="s">
        <v>45</v>
      </c>
      <c r="C23" s="40">
        <v>45371.0</v>
      </c>
      <c r="D23" s="41">
        <f t="shared" si="6"/>
        <v>45371</v>
      </c>
      <c r="E23" s="42">
        <v>828.0</v>
      </c>
      <c r="F23" s="43">
        <v>1100.0</v>
      </c>
      <c r="G23" s="44">
        <f t="shared" si="7"/>
        <v>0.7527272727</v>
      </c>
      <c r="H23" s="42">
        <v>31093.5</v>
      </c>
      <c r="I23" s="71">
        <f t="shared" si="8"/>
        <v>37.55253623</v>
      </c>
      <c r="J23" s="42">
        <v>10841.61</v>
      </c>
      <c r="K23" s="71">
        <f t="shared" si="9"/>
        <v>13.09373188</v>
      </c>
      <c r="L23" s="43">
        <f>10000+1000+500</f>
        <v>11500</v>
      </c>
      <c r="M23" s="48">
        <f t="shared" si="25"/>
        <v>0.3698522199</v>
      </c>
      <c r="N23" s="72">
        <f t="shared" ref="N23:O23" si="35">Q23+U23</f>
        <v>8936.34</v>
      </c>
      <c r="O23" s="43">
        <f t="shared" si="35"/>
        <v>10841.61</v>
      </c>
      <c r="P23" s="73">
        <f t="shared" si="12"/>
        <v>19777.95</v>
      </c>
      <c r="Q23" s="51">
        <f t="shared" si="13"/>
        <v>4468.17</v>
      </c>
      <c r="R23" s="52">
        <f t="shared" si="14"/>
        <v>7589.127</v>
      </c>
      <c r="S23" s="53">
        <f t="shared" si="15"/>
        <v>3035.6508</v>
      </c>
      <c r="T23" s="54">
        <f t="shared" si="16"/>
        <v>9021.6462</v>
      </c>
      <c r="U23" s="72">
        <f t="shared" si="17"/>
        <v>4468.17</v>
      </c>
      <c r="V23" s="43">
        <f t="shared" si="18"/>
        <v>3252.483</v>
      </c>
      <c r="W23" s="73">
        <f t="shared" si="19"/>
        <v>7720.653</v>
      </c>
      <c r="X23" s="55">
        <v>8936.34</v>
      </c>
    </row>
    <row r="24" ht="15.75" customHeight="1">
      <c r="A24" s="56">
        <v>18.0</v>
      </c>
      <c r="B24" s="57" t="s">
        <v>46</v>
      </c>
      <c r="C24" s="58">
        <v>45372.0</v>
      </c>
      <c r="D24" s="41">
        <f t="shared" si="6"/>
        <v>45372</v>
      </c>
      <c r="E24" s="59">
        <v>514.0</v>
      </c>
      <c r="F24" s="60">
        <v>1100.0</v>
      </c>
      <c r="G24" s="61">
        <f t="shared" si="7"/>
        <v>0.4672727273</v>
      </c>
      <c r="H24" s="59">
        <v>15848.0</v>
      </c>
      <c r="I24" s="62">
        <f t="shared" si="8"/>
        <v>30.83268482</v>
      </c>
      <c r="J24" s="59">
        <v>9396.94</v>
      </c>
      <c r="K24" s="62">
        <f t="shared" si="9"/>
        <v>18.28198444</v>
      </c>
      <c r="L24" s="60">
        <f>8000</f>
        <v>8000</v>
      </c>
      <c r="M24" s="63">
        <f t="shared" si="25"/>
        <v>0.5047955578</v>
      </c>
      <c r="N24" s="64">
        <f t="shared" ref="N24:O24" si="36">Q24+U24</f>
        <v>-2228.19</v>
      </c>
      <c r="O24" s="60">
        <f t="shared" si="36"/>
        <v>9396.94</v>
      </c>
      <c r="P24" s="65">
        <f t="shared" si="12"/>
        <v>7168.75</v>
      </c>
      <c r="Q24" s="66">
        <f t="shared" si="13"/>
        <v>-1114.095</v>
      </c>
      <c r="R24" s="67">
        <f t="shared" si="14"/>
        <v>6577.858</v>
      </c>
      <c r="S24" s="68">
        <f t="shared" si="15"/>
        <v>2631.1432</v>
      </c>
      <c r="T24" s="69">
        <f t="shared" si="16"/>
        <v>2832.6198</v>
      </c>
      <c r="U24" s="64">
        <f t="shared" si="17"/>
        <v>-1114.095</v>
      </c>
      <c r="V24" s="60">
        <f t="shared" si="18"/>
        <v>2819.082</v>
      </c>
      <c r="W24" s="65">
        <f t="shared" si="19"/>
        <v>1704.987</v>
      </c>
      <c r="X24" s="55">
        <v>-2228.19</v>
      </c>
    </row>
    <row r="25" ht="15.75" customHeight="1">
      <c r="A25" s="38">
        <v>19.0</v>
      </c>
      <c r="B25" s="39" t="s">
        <v>47</v>
      </c>
      <c r="C25" s="40">
        <v>45373.0</v>
      </c>
      <c r="D25" s="41">
        <f t="shared" si="6"/>
        <v>45373</v>
      </c>
      <c r="E25" s="42">
        <v>400.0</v>
      </c>
      <c r="F25" s="43">
        <v>1100.0</v>
      </c>
      <c r="G25" s="44">
        <f t="shared" si="7"/>
        <v>0.3636363636</v>
      </c>
      <c r="H25" s="42">
        <v>21856.0</v>
      </c>
      <c r="I25" s="71">
        <f t="shared" si="8"/>
        <v>54.64</v>
      </c>
      <c r="J25" s="42">
        <v>3303.99</v>
      </c>
      <c r="K25" s="62">
        <f t="shared" si="9"/>
        <v>8.259975</v>
      </c>
      <c r="L25" s="43">
        <f>10337.1</f>
        <v>10337.1</v>
      </c>
      <c r="M25" s="48">
        <f t="shared" si="25"/>
        <v>0.4729639458</v>
      </c>
      <c r="N25" s="72">
        <f t="shared" ref="N25:O25" si="37">Q25+U25</f>
        <v>6310.25</v>
      </c>
      <c r="O25" s="43">
        <f t="shared" si="37"/>
        <v>3303.99</v>
      </c>
      <c r="P25" s="73">
        <f t="shared" si="12"/>
        <v>9614.24</v>
      </c>
      <c r="Q25" s="51">
        <f t="shared" si="13"/>
        <v>3155.125</v>
      </c>
      <c r="R25" s="52">
        <f t="shared" si="14"/>
        <v>2312.793</v>
      </c>
      <c r="S25" s="53">
        <f t="shared" si="15"/>
        <v>925.1172</v>
      </c>
      <c r="T25" s="54">
        <f t="shared" si="16"/>
        <v>4542.8008</v>
      </c>
      <c r="U25" s="72">
        <f t="shared" si="17"/>
        <v>3155.125</v>
      </c>
      <c r="V25" s="43">
        <f t="shared" si="18"/>
        <v>991.197</v>
      </c>
      <c r="W25" s="73">
        <f t="shared" si="19"/>
        <v>4146.322</v>
      </c>
      <c r="X25" s="74">
        <v>6310.25</v>
      </c>
    </row>
    <row r="26" ht="15.75" customHeight="1">
      <c r="A26" s="56">
        <v>20.0</v>
      </c>
      <c r="B26" s="57" t="s">
        <v>48</v>
      </c>
      <c r="C26" s="58">
        <v>45378.0</v>
      </c>
      <c r="D26" s="41">
        <f t="shared" si="6"/>
        <v>45378</v>
      </c>
      <c r="E26" s="59">
        <v>988.0</v>
      </c>
      <c r="F26" s="60">
        <v>1100.0</v>
      </c>
      <c r="G26" s="61">
        <f t="shared" si="7"/>
        <v>0.8981818182</v>
      </c>
      <c r="H26" s="59">
        <v>38815.5</v>
      </c>
      <c r="I26" s="62">
        <f t="shared" si="8"/>
        <v>39.28694332</v>
      </c>
      <c r="J26" s="59">
        <v>16183.69</v>
      </c>
      <c r="K26" s="62">
        <f t="shared" si="9"/>
        <v>16.38025304</v>
      </c>
      <c r="L26" s="60">
        <f>17900+2000</f>
        <v>19900</v>
      </c>
      <c r="M26" s="63">
        <f t="shared" si="25"/>
        <v>0.5126817895</v>
      </c>
      <c r="N26" s="64">
        <f t="shared" ref="N26:O26" si="38">Q26+U26</f>
        <v>5899.71</v>
      </c>
      <c r="O26" s="60">
        <f t="shared" si="38"/>
        <v>16183.69</v>
      </c>
      <c r="P26" s="65">
        <f t="shared" si="12"/>
        <v>22083.4</v>
      </c>
      <c r="Q26" s="66">
        <f t="shared" si="13"/>
        <v>2949.855</v>
      </c>
      <c r="R26" s="67">
        <f t="shared" si="14"/>
        <v>11328.583</v>
      </c>
      <c r="S26" s="68">
        <f t="shared" si="15"/>
        <v>4531.4332</v>
      </c>
      <c r="T26" s="69">
        <f t="shared" si="16"/>
        <v>9747.0048</v>
      </c>
      <c r="U26" s="64">
        <f t="shared" si="17"/>
        <v>2949.855</v>
      </c>
      <c r="V26" s="60">
        <f t="shared" si="18"/>
        <v>4855.107</v>
      </c>
      <c r="W26" s="65">
        <f t="shared" si="19"/>
        <v>7804.962</v>
      </c>
      <c r="X26" s="55">
        <v>5899.71</v>
      </c>
    </row>
    <row r="27" ht="15.75" customHeight="1">
      <c r="A27" s="38">
        <v>21.0</v>
      </c>
      <c r="B27" s="39" t="s">
        <v>49</v>
      </c>
      <c r="C27" s="40">
        <v>45379.0</v>
      </c>
      <c r="D27" s="41">
        <f t="shared" si="6"/>
        <v>45379</v>
      </c>
      <c r="E27" s="42">
        <v>425.0</v>
      </c>
      <c r="F27" s="43">
        <v>1100.0</v>
      </c>
      <c r="G27" s="44">
        <f t="shared" si="7"/>
        <v>0.3863636364</v>
      </c>
      <c r="H27" s="42">
        <v>12547.27</v>
      </c>
      <c r="I27" s="71">
        <f t="shared" si="8"/>
        <v>29.52298824</v>
      </c>
      <c r="J27" s="42">
        <v>7706.36</v>
      </c>
      <c r="K27" s="71">
        <f t="shared" si="9"/>
        <v>18.13261176</v>
      </c>
      <c r="L27" s="43">
        <f>4750+1500</f>
        <v>6250</v>
      </c>
      <c r="M27" s="48">
        <f t="shared" si="25"/>
        <v>0.4981163233</v>
      </c>
      <c r="N27" s="72">
        <f t="shared" ref="N27:O27" si="39">Q27+U27</f>
        <v>-3938.39</v>
      </c>
      <c r="O27" s="43">
        <f t="shared" si="39"/>
        <v>7706.36</v>
      </c>
      <c r="P27" s="73">
        <f t="shared" si="12"/>
        <v>3767.97</v>
      </c>
      <c r="Q27" s="51">
        <f t="shared" si="13"/>
        <v>-1969.195</v>
      </c>
      <c r="R27" s="52">
        <f t="shared" si="14"/>
        <v>5394.452</v>
      </c>
      <c r="S27" s="53">
        <f t="shared" si="15"/>
        <v>2157.7808</v>
      </c>
      <c r="T27" s="54">
        <f t="shared" si="16"/>
        <v>1267.4762</v>
      </c>
      <c r="U27" s="72">
        <f t="shared" si="17"/>
        <v>-1969.195</v>
      </c>
      <c r="V27" s="43">
        <f t="shared" si="18"/>
        <v>2311.908</v>
      </c>
      <c r="W27" s="73">
        <f t="shared" si="19"/>
        <v>342.713</v>
      </c>
      <c r="X27" s="55">
        <v>-3938.39</v>
      </c>
    </row>
    <row r="28" ht="15.75" customHeight="1">
      <c r="A28" s="56">
        <v>22.0</v>
      </c>
      <c r="B28" s="57" t="s">
        <v>50</v>
      </c>
      <c r="C28" s="58">
        <v>45382.0</v>
      </c>
      <c r="D28" s="41">
        <f t="shared" si="6"/>
        <v>45382</v>
      </c>
      <c r="E28" s="59">
        <v>1115.0</v>
      </c>
      <c r="F28" s="60">
        <v>1100.0</v>
      </c>
      <c r="G28" s="61">
        <f t="shared" si="7"/>
        <v>1.013636364</v>
      </c>
      <c r="H28" s="59">
        <v>40226.47</v>
      </c>
      <c r="I28" s="62">
        <f t="shared" si="8"/>
        <v>36.07755157</v>
      </c>
      <c r="J28" s="59">
        <v>7832.0</v>
      </c>
      <c r="K28" s="62">
        <f t="shared" si="9"/>
        <v>7.024215247</v>
      </c>
      <c r="L28" s="60">
        <f>10000+2940.22+500</f>
        <v>13440.22</v>
      </c>
      <c r="M28" s="63">
        <f t="shared" si="25"/>
        <v>0.334113831</v>
      </c>
      <c r="N28" s="64">
        <f t="shared" ref="N28:O28" si="40">Q28+U28</f>
        <v>16995.93</v>
      </c>
      <c r="O28" s="60">
        <f t="shared" si="40"/>
        <v>7832</v>
      </c>
      <c r="P28" s="65">
        <f t="shared" si="12"/>
        <v>24827.93</v>
      </c>
      <c r="Q28" s="66">
        <f t="shared" si="13"/>
        <v>8497.965</v>
      </c>
      <c r="R28" s="67">
        <f t="shared" si="14"/>
        <v>5482.4</v>
      </c>
      <c r="S28" s="68">
        <f t="shared" si="15"/>
        <v>2192.96</v>
      </c>
      <c r="T28" s="69">
        <f t="shared" si="16"/>
        <v>11787.405</v>
      </c>
      <c r="U28" s="64">
        <f t="shared" si="17"/>
        <v>8497.965</v>
      </c>
      <c r="V28" s="60">
        <f t="shared" si="18"/>
        <v>2349.6</v>
      </c>
      <c r="W28" s="65">
        <f t="shared" si="19"/>
        <v>10847.565</v>
      </c>
      <c r="X28" s="55">
        <v>16995.93</v>
      </c>
    </row>
    <row r="29" ht="15.75" customHeight="1">
      <c r="A29" s="38">
        <v>23.0</v>
      </c>
      <c r="B29" s="39" t="s">
        <v>51</v>
      </c>
      <c r="C29" s="40">
        <v>45395.0</v>
      </c>
      <c r="D29" s="41">
        <f t="shared" si="6"/>
        <v>45395</v>
      </c>
      <c r="E29" s="42">
        <v>1164.0</v>
      </c>
      <c r="F29" s="43">
        <v>1100.0</v>
      </c>
      <c r="G29" s="44">
        <f t="shared" si="7"/>
        <v>1.058181818</v>
      </c>
      <c r="H29" s="42">
        <v>34463.8</v>
      </c>
      <c r="I29" s="71">
        <f t="shared" si="8"/>
        <v>29.6080756</v>
      </c>
      <c r="J29" s="42">
        <v>11132.84</v>
      </c>
      <c r="K29" s="71">
        <f t="shared" si="9"/>
        <v>9.564295533</v>
      </c>
      <c r="L29" s="43">
        <f>15750+1500+1750+1000</f>
        <v>20000</v>
      </c>
      <c r="M29" s="48">
        <f t="shared" si="25"/>
        <v>0.5803190594</v>
      </c>
      <c r="N29" s="72">
        <f t="shared" ref="N29:O29" si="41">Q29+U29</f>
        <v>477.27</v>
      </c>
      <c r="O29" s="43">
        <f t="shared" si="41"/>
        <v>11132.84</v>
      </c>
      <c r="P29" s="73">
        <f t="shared" si="12"/>
        <v>11610.11</v>
      </c>
      <c r="Q29" s="51">
        <f t="shared" si="13"/>
        <v>238.635</v>
      </c>
      <c r="R29" s="52">
        <f t="shared" si="14"/>
        <v>7792.988</v>
      </c>
      <c r="S29" s="53">
        <f t="shared" si="15"/>
        <v>3117.1952</v>
      </c>
      <c r="T29" s="54">
        <f t="shared" si="16"/>
        <v>4914.4278</v>
      </c>
      <c r="U29" s="72">
        <f t="shared" si="17"/>
        <v>238.635</v>
      </c>
      <c r="V29" s="43">
        <f t="shared" si="18"/>
        <v>3339.852</v>
      </c>
      <c r="W29" s="73">
        <f t="shared" si="19"/>
        <v>3578.487</v>
      </c>
      <c r="X29" s="55">
        <v>477.27</v>
      </c>
    </row>
    <row r="30" ht="15.75" customHeight="1">
      <c r="A30" s="56">
        <v>24.0</v>
      </c>
      <c r="B30" s="57" t="s">
        <v>52</v>
      </c>
      <c r="C30" s="58">
        <v>45396.0</v>
      </c>
      <c r="D30" s="41">
        <f t="shared" si="6"/>
        <v>45396</v>
      </c>
      <c r="E30" s="59">
        <v>495.0</v>
      </c>
      <c r="F30" s="60">
        <v>1100.0</v>
      </c>
      <c r="G30" s="61">
        <f t="shared" si="7"/>
        <v>0.45</v>
      </c>
      <c r="H30" s="59">
        <v>24221.78</v>
      </c>
      <c r="I30" s="62">
        <f t="shared" si="8"/>
        <v>48.93288889</v>
      </c>
      <c r="J30" s="59">
        <v>7160.76</v>
      </c>
      <c r="K30" s="62">
        <f t="shared" si="9"/>
        <v>14.46618182</v>
      </c>
      <c r="L30" s="60">
        <f>13950+1550+4500</f>
        <v>20000</v>
      </c>
      <c r="M30" s="63">
        <f t="shared" si="25"/>
        <v>0.8257031482</v>
      </c>
      <c r="N30" s="64">
        <f t="shared" ref="N30:O30" si="42">Q30+U30</f>
        <v>-5772.86</v>
      </c>
      <c r="O30" s="60">
        <f t="shared" si="42"/>
        <v>7160.76</v>
      </c>
      <c r="P30" s="65">
        <f t="shared" si="12"/>
        <v>1387.9</v>
      </c>
      <c r="Q30" s="66">
        <f t="shared" si="13"/>
        <v>-2886.43</v>
      </c>
      <c r="R30" s="67">
        <f t="shared" si="14"/>
        <v>5012.532</v>
      </c>
      <c r="S30" s="68">
        <f t="shared" si="15"/>
        <v>2005.0128</v>
      </c>
      <c r="T30" s="69">
        <f t="shared" si="16"/>
        <v>121.0892</v>
      </c>
      <c r="U30" s="64">
        <f t="shared" si="17"/>
        <v>-2886.43</v>
      </c>
      <c r="V30" s="60">
        <f t="shared" si="18"/>
        <v>2148.228</v>
      </c>
      <c r="W30" s="65">
        <f t="shared" si="19"/>
        <v>-738.202</v>
      </c>
      <c r="X30" s="55">
        <v>-5772.86</v>
      </c>
    </row>
    <row r="31" ht="15.75" customHeight="1">
      <c r="A31" s="38">
        <v>25.0</v>
      </c>
      <c r="B31" s="39" t="s">
        <v>53</v>
      </c>
      <c r="C31" s="40">
        <v>45401.0</v>
      </c>
      <c r="D31" s="41">
        <f t="shared" si="6"/>
        <v>45401</v>
      </c>
      <c r="E31" s="42">
        <v>435.0</v>
      </c>
      <c r="F31" s="43">
        <v>1100.0</v>
      </c>
      <c r="G31" s="44">
        <f t="shared" si="7"/>
        <v>0.3954545455</v>
      </c>
      <c r="H31" s="42">
        <v>19707.19</v>
      </c>
      <c r="I31" s="71">
        <f t="shared" si="8"/>
        <v>45.30388506</v>
      </c>
      <c r="J31" s="42">
        <v>2175.09</v>
      </c>
      <c r="K31" s="71">
        <f t="shared" si="9"/>
        <v>5.000206897</v>
      </c>
      <c r="L31" s="43">
        <f>20250+2250</f>
        <v>22500</v>
      </c>
      <c r="M31" s="48">
        <f t="shared" si="25"/>
        <v>1.141715283</v>
      </c>
      <c r="N31" s="72">
        <f t="shared" ref="N31:O31" si="43">Q31+U31</f>
        <v>-11982.15</v>
      </c>
      <c r="O31" s="43">
        <f t="shared" si="43"/>
        <v>2175.09</v>
      </c>
      <c r="P31" s="73">
        <f t="shared" si="12"/>
        <v>-9807.06</v>
      </c>
      <c r="Q31" s="51">
        <f t="shared" si="13"/>
        <v>-5991.075</v>
      </c>
      <c r="R31" s="52">
        <f t="shared" si="14"/>
        <v>1522.563</v>
      </c>
      <c r="S31" s="53">
        <f t="shared" si="15"/>
        <v>609.0252</v>
      </c>
      <c r="T31" s="54">
        <f t="shared" si="16"/>
        <v>-5077.5372</v>
      </c>
      <c r="U31" s="72">
        <f t="shared" si="17"/>
        <v>-5991.075</v>
      </c>
      <c r="V31" s="43">
        <f t="shared" si="18"/>
        <v>652.527</v>
      </c>
      <c r="W31" s="73">
        <f t="shared" si="19"/>
        <v>-5338.548</v>
      </c>
      <c r="X31" s="55">
        <v>-11982.15</v>
      </c>
    </row>
    <row r="32" ht="15.75" customHeight="1">
      <c r="A32" s="56">
        <v>26.0</v>
      </c>
      <c r="B32" s="57" t="s">
        <v>54</v>
      </c>
      <c r="C32" s="58">
        <v>45767.0</v>
      </c>
      <c r="D32" s="41">
        <f t="shared" si="6"/>
        <v>45767</v>
      </c>
      <c r="E32" s="59">
        <v>91.0</v>
      </c>
      <c r="F32" s="60">
        <v>1100.0</v>
      </c>
      <c r="G32" s="61">
        <f t="shared" si="7"/>
        <v>0.08272727273</v>
      </c>
      <c r="H32" s="59">
        <v>5403.0</v>
      </c>
      <c r="I32" s="62">
        <f t="shared" si="8"/>
        <v>59.37362637</v>
      </c>
      <c r="J32" s="59">
        <v>1448.0</v>
      </c>
      <c r="K32" s="62">
        <f t="shared" si="9"/>
        <v>15.91208791</v>
      </c>
      <c r="L32" s="60">
        <f>2000+500</f>
        <v>2500</v>
      </c>
      <c r="M32" s="63">
        <f t="shared" si="25"/>
        <v>0.4627059041</v>
      </c>
      <c r="N32" s="64">
        <f t="shared" ref="N32:O32" si="44">Q32+U32</f>
        <v>-3451.07</v>
      </c>
      <c r="O32" s="60">
        <f t="shared" si="44"/>
        <v>1448</v>
      </c>
      <c r="P32" s="65">
        <f t="shared" si="12"/>
        <v>-2003.07</v>
      </c>
      <c r="Q32" s="66">
        <f t="shared" si="13"/>
        <v>-1725.535</v>
      </c>
      <c r="R32" s="67">
        <f t="shared" si="14"/>
        <v>1013.6</v>
      </c>
      <c r="S32" s="68">
        <f t="shared" si="15"/>
        <v>405.44</v>
      </c>
      <c r="T32" s="69">
        <f t="shared" si="16"/>
        <v>-1117.375</v>
      </c>
      <c r="U32" s="64">
        <f t="shared" si="17"/>
        <v>-1725.535</v>
      </c>
      <c r="V32" s="60">
        <f t="shared" si="18"/>
        <v>434.4</v>
      </c>
      <c r="W32" s="65">
        <f t="shared" si="19"/>
        <v>-1291.135</v>
      </c>
      <c r="X32" s="74">
        <v>-3451.07</v>
      </c>
    </row>
    <row r="33" ht="15.75" customHeight="1">
      <c r="A33" s="38">
        <v>27.0</v>
      </c>
      <c r="B33" s="39" t="s">
        <v>55</v>
      </c>
      <c r="C33" s="40">
        <v>45403.0</v>
      </c>
      <c r="D33" s="41">
        <f t="shared" si="6"/>
        <v>45403</v>
      </c>
      <c r="E33" s="42">
        <v>1115.0</v>
      </c>
      <c r="F33" s="43">
        <v>1100.0</v>
      </c>
      <c r="G33" s="44">
        <f t="shared" si="7"/>
        <v>1.013636364</v>
      </c>
      <c r="H33" s="42">
        <v>51465.0</v>
      </c>
      <c r="I33" s="71">
        <f t="shared" si="8"/>
        <v>46.15695067</v>
      </c>
      <c r="J33" s="42">
        <v>11639.66</v>
      </c>
      <c r="K33" s="71">
        <f t="shared" si="9"/>
        <v>10.43915695</v>
      </c>
      <c r="L33" s="43">
        <f>23448+2000</f>
        <v>25448</v>
      </c>
      <c r="M33" s="48">
        <f t="shared" si="25"/>
        <v>0.4944719712</v>
      </c>
      <c r="N33" s="72">
        <f t="shared" ref="N33:O33" si="45">Q33+U33</f>
        <v>14468.31</v>
      </c>
      <c r="O33" s="43">
        <f t="shared" si="45"/>
        <v>11639.66</v>
      </c>
      <c r="P33" s="73">
        <f t="shared" si="12"/>
        <v>26107.97</v>
      </c>
      <c r="Q33" s="51">
        <f t="shared" si="13"/>
        <v>7234.155</v>
      </c>
      <c r="R33" s="52">
        <f t="shared" si="14"/>
        <v>8147.762</v>
      </c>
      <c r="S33" s="53">
        <f t="shared" si="15"/>
        <v>3259.1048</v>
      </c>
      <c r="T33" s="54">
        <f t="shared" si="16"/>
        <v>12122.8122</v>
      </c>
      <c r="U33" s="72">
        <f t="shared" si="17"/>
        <v>7234.155</v>
      </c>
      <c r="V33" s="43">
        <f t="shared" si="18"/>
        <v>3491.898</v>
      </c>
      <c r="W33" s="73">
        <f t="shared" si="19"/>
        <v>10726.053</v>
      </c>
      <c r="X33" s="74">
        <v>14468.31</v>
      </c>
    </row>
    <row r="34" ht="15.75" customHeight="1">
      <c r="A34" s="56">
        <v>28.0</v>
      </c>
      <c r="B34" s="57" t="s">
        <v>56</v>
      </c>
      <c r="C34" s="58">
        <v>45407.0</v>
      </c>
      <c r="D34" s="41">
        <f t="shared" si="6"/>
        <v>45407</v>
      </c>
      <c r="E34" s="59">
        <v>488.0</v>
      </c>
      <c r="F34" s="60">
        <v>1100.0</v>
      </c>
      <c r="G34" s="61">
        <f t="shared" si="7"/>
        <v>0.4436363636</v>
      </c>
      <c r="H34" s="59">
        <v>20619.29</v>
      </c>
      <c r="I34" s="62">
        <f t="shared" si="8"/>
        <v>42.25264344</v>
      </c>
      <c r="J34" s="59">
        <v>10026.0</v>
      </c>
      <c r="K34" s="62">
        <f t="shared" si="9"/>
        <v>20.54508197</v>
      </c>
      <c r="L34" s="60">
        <f>18000+1500+500</f>
        <v>20000</v>
      </c>
      <c r="M34" s="63">
        <f t="shared" si="25"/>
        <v>0.9699655032</v>
      </c>
      <c r="N34" s="64">
        <f t="shared" ref="N34:O34" si="46">Q34+U34</f>
        <v>-10718.25</v>
      </c>
      <c r="O34" s="60">
        <f t="shared" si="46"/>
        <v>10026</v>
      </c>
      <c r="P34" s="65">
        <f t="shared" si="12"/>
        <v>-692.25</v>
      </c>
      <c r="Q34" s="66">
        <f t="shared" si="13"/>
        <v>-5359.125</v>
      </c>
      <c r="R34" s="67">
        <f t="shared" si="14"/>
        <v>7018.2</v>
      </c>
      <c r="S34" s="68">
        <f t="shared" si="15"/>
        <v>2807.28</v>
      </c>
      <c r="T34" s="69">
        <f t="shared" si="16"/>
        <v>-1148.205</v>
      </c>
      <c r="U34" s="64">
        <f t="shared" si="17"/>
        <v>-5359.125</v>
      </c>
      <c r="V34" s="60">
        <f t="shared" si="18"/>
        <v>3007.8</v>
      </c>
      <c r="W34" s="65">
        <f t="shared" si="19"/>
        <v>-2351.325</v>
      </c>
      <c r="X34" s="55">
        <v>-10718.25</v>
      </c>
    </row>
    <row r="35" ht="15.75" customHeight="1">
      <c r="A35" s="38">
        <v>29.0</v>
      </c>
      <c r="B35" s="39" t="s">
        <v>57</v>
      </c>
      <c r="C35" s="40">
        <v>45421.0</v>
      </c>
      <c r="D35" s="41">
        <f t="shared" si="6"/>
        <v>45421</v>
      </c>
      <c r="E35" s="42">
        <v>353.0</v>
      </c>
      <c r="F35" s="43">
        <v>1100.0</v>
      </c>
      <c r="G35" s="44">
        <f t="shared" si="7"/>
        <v>0.3209090909</v>
      </c>
      <c r="H35" s="42">
        <v>13700.63</v>
      </c>
      <c r="I35" s="71">
        <f t="shared" si="8"/>
        <v>38.811983</v>
      </c>
      <c r="J35" s="42">
        <v>4549.74</v>
      </c>
      <c r="K35" s="71">
        <f t="shared" si="9"/>
        <v>12.88878187</v>
      </c>
      <c r="L35" s="43">
        <f>3500+5000+1500</f>
        <v>10000</v>
      </c>
      <c r="M35" s="48">
        <f t="shared" si="25"/>
        <v>0.7298934429</v>
      </c>
      <c r="N35" s="72">
        <f t="shared" ref="N35:O35" si="47">Q35+U35</f>
        <v>-4712.17</v>
      </c>
      <c r="O35" s="43">
        <f t="shared" si="47"/>
        <v>4549.74</v>
      </c>
      <c r="P35" s="73">
        <f t="shared" si="12"/>
        <v>-162.43</v>
      </c>
      <c r="Q35" s="51">
        <f t="shared" si="13"/>
        <v>-2356.085</v>
      </c>
      <c r="R35" s="52">
        <f t="shared" si="14"/>
        <v>3184.818</v>
      </c>
      <c r="S35" s="53">
        <f t="shared" si="15"/>
        <v>1273.9272</v>
      </c>
      <c r="T35" s="54">
        <f t="shared" si="16"/>
        <v>-445.1942</v>
      </c>
      <c r="U35" s="72">
        <f t="shared" si="17"/>
        <v>-2356.085</v>
      </c>
      <c r="V35" s="43">
        <f t="shared" si="18"/>
        <v>1364.922</v>
      </c>
      <c r="W35" s="73">
        <f t="shared" si="19"/>
        <v>-991.163</v>
      </c>
      <c r="X35" s="55">
        <v>-4712.17</v>
      </c>
    </row>
    <row r="36" ht="15.75" customHeight="1">
      <c r="A36" s="56">
        <v>30.0</v>
      </c>
      <c r="B36" s="57" t="s">
        <v>58</v>
      </c>
      <c r="C36" s="58">
        <v>45423.0</v>
      </c>
      <c r="D36" s="41">
        <f t="shared" si="6"/>
        <v>45423</v>
      </c>
      <c r="E36" s="59">
        <v>625.0</v>
      </c>
      <c r="F36" s="60">
        <v>1100.0</v>
      </c>
      <c r="G36" s="61">
        <f t="shared" si="7"/>
        <v>0.5681818182</v>
      </c>
      <c r="H36" s="59">
        <v>28575.0</v>
      </c>
      <c r="I36" s="62">
        <f t="shared" si="8"/>
        <v>45.72</v>
      </c>
      <c r="J36" s="59">
        <v>7716.37</v>
      </c>
      <c r="K36" s="62">
        <f t="shared" si="9"/>
        <v>12.346192</v>
      </c>
      <c r="L36" s="60">
        <f>9000+1000+500</f>
        <v>10500</v>
      </c>
      <c r="M36" s="63">
        <f t="shared" si="25"/>
        <v>0.3674540682</v>
      </c>
      <c r="N36" s="64">
        <f t="shared" ref="N36:O36" si="48">Q36+U36</f>
        <v>8235.99</v>
      </c>
      <c r="O36" s="60">
        <f t="shared" si="48"/>
        <v>7716.37</v>
      </c>
      <c r="P36" s="65">
        <f t="shared" si="12"/>
        <v>15952.36</v>
      </c>
      <c r="Q36" s="66">
        <f t="shared" si="13"/>
        <v>4117.995</v>
      </c>
      <c r="R36" s="67">
        <f t="shared" si="14"/>
        <v>5401.459</v>
      </c>
      <c r="S36" s="68">
        <f t="shared" si="15"/>
        <v>2160.5836</v>
      </c>
      <c r="T36" s="69">
        <f t="shared" si="16"/>
        <v>7358.8704</v>
      </c>
      <c r="U36" s="64">
        <f t="shared" si="17"/>
        <v>4117.995</v>
      </c>
      <c r="V36" s="60">
        <f t="shared" si="18"/>
        <v>2314.911</v>
      </c>
      <c r="W36" s="65">
        <f t="shared" si="19"/>
        <v>6432.906</v>
      </c>
      <c r="X36" s="55">
        <v>8235.99</v>
      </c>
    </row>
    <row r="37" ht="15.75" customHeight="1">
      <c r="A37" s="38">
        <v>31.0</v>
      </c>
      <c r="B37" s="39" t="s">
        <v>59</v>
      </c>
      <c r="C37" s="40">
        <v>45426.0</v>
      </c>
      <c r="D37" s="41">
        <f t="shared" si="6"/>
        <v>45426</v>
      </c>
      <c r="E37" s="42">
        <v>163.0</v>
      </c>
      <c r="F37" s="43">
        <v>1100.0</v>
      </c>
      <c r="G37" s="44">
        <f t="shared" si="7"/>
        <v>0.1481818182</v>
      </c>
      <c r="H37" s="42">
        <v>6029.35</v>
      </c>
      <c r="I37" s="71">
        <f t="shared" si="8"/>
        <v>36.9898773</v>
      </c>
      <c r="J37" s="42">
        <v>2824.63</v>
      </c>
      <c r="K37" s="71">
        <f t="shared" si="9"/>
        <v>17.3290184</v>
      </c>
      <c r="L37" s="43">
        <f>6500+700+700+200</f>
        <v>8100</v>
      </c>
      <c r="M37" s="48">
        <f t="shared" si="25"/>
        <v>1.343428396</v>
      </c>
      <c r="N37" s="72">
        <f t="shared" ref="N37:O37" si="49">Q37+U37</f>
        <v>-11870.11</v>
      </c>
      <c r="O37" s="43">
        <f t="shared" si="49"/>
        <v>2824.63</v>
      </c>
      <c r="P37" s="73">
        <f t="shared" si="12"/>
        <v>-9045.48</v>
      </c>
      <c r="Q37" s="51">
        <f t="shared" si="13"/>
        <v>-5935.055</v>
      </c>
      <c r="R37" s="52">
        <f t="shared" si="14"/>
        <v>1977.241</v>
      </c>
      <c r="S37" s="53">
        <f t="shared" si="15"/>
        <v>790.8964</v>
      </c>
      <c r="T37" s="54">
        <f t="shared" si="16"/>
        <v>-4748.7104</v>
      </c>
      <c r="U37" s="72">
        <f t="shared" si="17"/>
        <v>-5935.055</v>
      </c>
      <c r="V37" s="43">
        <f t="shared" si="18"/>
        <v>847.389</v>
      </c>
      <c r="W37" s="73">
        <f t="shared" si="19"/>
        <v>-5087.666</v>
      </c>
      <c r="X37" s="74">
        <v>-11870.11</v>
      </c>
    </row>
    <row r="38" ht="15.75" customHeight="1">
      <c r="A38" s="56">
        <v>32.0</v>
      </c>
      <c r="B38" s="57" t="s">
        <v>60</v>
      </c>
      <c r="C38" s="58">
        <v>45427.0</v>
      </c>
      <c r="D38" s="41">
        <f t="shared" si="6"/>
        <v>45427</v>
      </c>
      <c r="E38" s="59">
        <v>384.0</v>
      </c>
      <c r="F38" s="60">
        <v>1100.0</v>
      </c>
      <c r="G38" s="61">
        <f t="shared" si="7"/>
        <v>0.3490909091</v>
      </c>
      <c r="H38" s="59">
        <v>16591.65</v>
      </c>
      <c r="I38" s="62">
        <f t="shared" si="8"/>
        <v>43.20742188</v>
      </c>
      <c r="J38" s="59">
        <v>4358.76</v>
      </c>
      <c r="K38" s="62">
        <f t="shared" si="9"/>
        <v>11.3509375</v>
      </c>
      <c r="L38" s="60">
        <f>1200+500+2500</f>
        <v>4200</v>
      </c>
      <c r="M38" s="63">
        <f t="shared" si="25"/>
        <v>0.2531393804</v>
      </c>
      <c r="N38" s="64">
        <f t="shared" ref="N38:O38" si="50">Q38+U38</f>
        <v>-7052.63</v>
      </c>
      <c r="O38" s="60">
        <f t="shared" si="50"/>
        <v>4358.76</v>
      </c>
      <c r="P38" s="65">
        <f t="shared" si="12"/>
        <v>-2693.87</v>
      </c>
      <c r="Q38" s="66">
        <f t="shared" si="13"/>
        <v>-3526.315</v>
      </c>
      <c r="R38" s="67">
        <f t="shared" si="14"/>
        <v>3051.132</v>
      </c>
      <c r="S38" s="68">
        <f t="shared" si="15"/>
        <v>1220.4528</v>
      </c>
      <c r="T38" s="69">
        <f t="shared" si="16"/>
        <v>-1695.6358</v>
      </c>
      <c r="U38" s="64">
        <f t="shared" si="17"/>
        <v>-3526.315</v>
      </c>
      <c r="V38" s="60">
        <f t="shared" si="18"/>
        <v>1307.628</v>
      </c>
      <c r="W38" s="65">
        <f t="shared" si="19"/>
        <v>-2218.687</v>
      </c>
      <c r="X38" s="74">
        <v>-7052.63</v>
      </c>
    </row>
    <row r="39" ht="15.75" customHeight="1">
      <c r="A39" s="38">
        <v>33.0</v>
      </c>
      <c r="B39" s="39" t="s">
        <v>61</v>
      </c>
      <c r="C39" s="40">
        <v>45429.0</v>
      </c>
      <c r="D39" s="41">
        <f t="shared" si="6"/>
        <v>45429</v>
      </c>
      <c r="E39" s="42">
        <v>582.0</v>
      </c>
      <c r="F39" s="43">
        <v>1100.0</v>
      </c>
      <c r="G39" s="44">
        <f t="shared" si="7"/>
        <v>0.5290909091</v>
      </c>
      <c r="H39" s="42">
        <v>20132.0</v>
      </c>
      <c r="I39" s="71">
        <f t="shared" si="8"/>
        <v>34.59106529</v>
      </c>
      <c r="J39" s="42">
        <v>7726.76</v>
      </c>
      <c r="K39" s="71">
        <f t="shared" si="9"/>
        <v>13.27621993</v>
      </c>
      <c r="L39" s="43">
        <f>7500+1000</f>
        <v>8500</v>
      </c>
      <c r="M39" s="48">
        <f t="shared" si="25"/>
        <v>0.4222133916</v>
      </c>
      <c r="N39" s="72">
        <f t="shared" ref="N39:O39" si="51">Q39+U39</f>
        <v>1621.48</v>
      </c>
      <c r="O39" s="43">
        <f t="shared" si="51"/>
        <v>7726.76</v>
      </c>
      <c r="P39" s="73">
        <f t="shared" si="12"/>
        <v>9348.24</v>
      </c>
      <c r="Q39" s="51">
        <f t="shared" si="13"/>
        <v>810.74</v>
      </c>
      <c r="R39" s="52">
        <f t="shared" si="14"/>
        <v>5408.732</v>
      </c>
      <c r="S39" s="53">
        <f t="shared" si="15"/>
        <v>2163.4928</v>
      </c>
      <c r="T39" s="54">
        <f t="shared" si="16"/>
        <v>4055.9792</v>
      </c>
      <c r="U39" s="72">
        <f t="shared" si="17"/>
        <v>810.74</v>
      </c>
      <c r="V39" s="43">
        <f t="shared" si="18"/>
        <v>2318.028</v>
      </c>
      <c r="W39" s="73">
        <f t="shared" si="19"/>
        <v>3128.768</v>
      </c>
      <c r="X39" s="55">
        <v>1621.48</v>
      </c>
    </row>
    <row r="40" ht="15.75" customHeight="1">
      <c r="A40" s="56">
        <v>34.0</v>
      </c>
      <c r="B40" s="57" t="s">
        <v>62</v>
      </c>
      <c r="C40" s="58">
        <v>45430.0</v>
      </c>
      <c r="D40" s="41">
        <f t="shared" si="6"/>
        <v>45430</v>
      </c>
      <c r="E40" s="59">
        <v>2252.0</v>
      </c>
      <c r="F40" s="60">
        <v>1100.0</v>
      </c>
      <c r="G40" s="61">
        <f t="shared" si="7"/>
        <v>2.047272727</v>
      </c>
      <c r="H40" s="59">
        <v>112656.73</v>
      </c>
      <c r="I40" s="62">
        <f t="shared" si="8"/>
        <v>50.02519094</v>
      </c>
      <c r="J40" s="60">
        <f>11871.85+10593.18</f>
        <v>22465.03</v>
      </c>
      <c r="K40" s="62">
        <f t="shared" si="9"/>
        <v>9.975590586</v>
      </c>
      <c r="L40" s="60">
        <f>57112.55+5000</f>
        <v>62112.55</v>
      </c>
      <c r="M40" s="63">
        <f t="shared" si="25"/>
        <v>0.5513434484</v>
      </c>
      <c r="N40" s="64">
        <f t="shared" ref="N40:O40" si="52">Q40+U40</f>
        <v>29454.96</v>
      </c>
      <c r="O40" s="60">
        <f t="shared" si="52"/>
        <v>22465.03</v>
      </c>
      <c r="P40" s="65">
        <f t="shared" si="12"/>
        <v>51919.99</v>
      </c>
      <c r="Q40" s="66">
        <f t="shared" si="13"/>
        <v>14727.48</v>
      </c>
      <c r="R40" s="67">
        <f t="shared" si="14"/>
        <v>15725.521</v>
      </c>
      <c r="S40" s="68">
        <f t="shared" si="15"/>
        <v>6290.2084</v>
      </c>
      <c r="T40" s="69">
        <f t="shared" si="16"/>
        <v>24162.7926</v>
      </c>
      <c r="U40" s="64">
        <f t="shared" si="17"/>
        <v>14727.48</v>
      </c>
      <c r="V40" s="60">
        <f t="shared" si="18"/>
        <v>6739.509</v>
      </c>
      <c r="W40" s="65">
        <f t="shared" si="19"/>
        <v>21466.989</v>
      </c>
      <c r="X40" s="74">
        <v>29454.96</v>
      </c>
      <c r="Y40" s="75"/>
      <c r="Z40" s="75"/>
    </row>
    <row r="41" ht="15.75" customHeight="1">
      <c r="A41" s="38">
        <v>35.0</v>
      </c>
      <c r="B41" s="39" t="s">
        <v>63</v>
      </c>
      <c r="C41" s="40">
        <v>45421.0</v>
      </c>
      <c r="D41" s="41">
        <f t="shared" si="6"/>
        <v>45421</v>
      </c>
      <c r="E41" s="42">
        <v>423.0</v>
      </c>
      <c r="F41" s="43">
        <v>1100.0</v>
      </c>
      <c r="G41" s="44">
        <f t="shared" si="7"/>
        <v>0.3845454545</v>
      </c>
      <c r="H41" s="42">
        <v>15859.28</v>
      </c>
      <c r="I41" s="71">
        <f t="shared" si="8"/>
        <v>37.49238771</v>
      </c>
      <c r="J41" s="42">
        <v>4422.93</v>
      </c>
      <c r="K41" s="71">
        <f t="shared" si="9"/>
        <v>10.45609929</v>
      </c>
      <c r="L41" s="42">
        <v>8800.0</v>
      </c>
      <c r="M41" s="48">
        <f t="shared" si="25"/>
        <v>0.5548801711</v>
      </c>
      <c r="N41" s="72">
        <f t="shared" ref="N41:O41" si="53">Q41+U41</f>
        <v>-3726.67</v>
      </c>
      <c r="O41" s="43">
        <f t="shared" si="53"/>
        <v>4422.93</v>
      </c>
      <c r="P41" s="73">
        <f t="shared" si="12"/>
        <v>696.26</v>
      </c>
      <c r="Q41" s="51">
        <f t="shared" si="13"/>
        <v>-1863.335</v>
      </c>
      <c r="R41" s="52">
        <f t="shared" si="14"/>
        <v>3096.051</v>
      </c>
      <c r="S41" s="53">
        <f t="shared" si="15"/>
        <v>1238.4204</v>
      </c>
      <c r="T41" s="54">
        <f t="shared" si="16"/>
        <v>-5.7044</v>
      </c>
      <c r="U41" s="72">
        <f t="shared" si="17"/>
        <v>-1863.335</v>
      </c>
      <c r="V41" s="43">
        <f t="shared" si="18"/>
        <v>1326.879</v>
      </c>
      <c r="W41" s="73">
        <f t="shared" si="19"/>
        <v>-536.456</v>
      </c>
      <c r="X41" s="74">
        <v>-3726.67</v>
      </c>
    </row>
    <row r="42" ht="15.75" customHeight="1">
      <c r="A42" s="56">
        <v>36.0</v>
      </c>
      <c r="B42" s="57" t="s">
        <v>64</v>
      </c>
      <c r="C42" s="58">
        <v>45442.0</v>
      </c>
      <c r="D42" s="41">
        <f t="shared" si="6"/>
        <v>45442</v>
      </c>
      <c r="E42" s="59">
        <v>1115.0</v>
      </c>
      <c r="F42" s="60">
        <v>1100.0</v>
      </c>
      <c r="G42" s="61">
        <f t="shared" si="7"/>
        <v>1.013636364</v>
      </c>
      <c r="H42" s="59">
        <v>55432.38</v>
      </c>
      <c r="I42" s="62">
        <f t="shared" si="8"/>
        <v>49.71513901</v>
      </c>
      <c r="J42" s="59">
        <v>8098.86</v>
      </c>
      <c r="K42" s="62">
        <f t="shared" si="9"/>
        <v>7.26355157</v>
      </c>
      <c r="L42" s="60">
        <f>18668.41</f>
        <v>18668.41</v>
      </c>
      <c r="M42" s="63">
        <f t="shared" si="25"/>
        <v>0.3367780709</v>
      </c>
      <c r="N42" s="64">
        <f t="shared" ref="N42:O42" si="54">Q42+U42</f>
        <v>15153.37</v>
      </c>
      <c r="O42" s="60">
        <f t="shared" si="54"/>
        <v>8098.86</v>
      </c>
      <c r="P42" s="65">
        <f t="shared" si="12"/>
        <v>23252.23</v>
      </c>
      <c r="Q42" s="66">
        <f t="shared" si="13"/>
        <v>7576.685</v>
      </c>
      <c r="R42" s="67">
        <f t="shared" si="14"/>
        <v>5669.202</v>
      </c>
      <c r="S42" s="68">
        <f t="shared" si="15"/>
        <v>2267.6808</v>
      </c>
      <c r="T42" s="69">
        <f t="shared" si="16"/>
        <v>10978.2062</v>
      </c>
      <c r="U42" s="64">
        <f t="shared" si="17"/>
        <v>7576.685</v>
      </c>
      <c r="V42" s="60">
        <f t="shared" si="18"/>
        <v>2429.658</v>
      </c>
      <c r="W42" s="65">
        <f t="shared" si="19"/>
        <v>10006.343</v>
      </c>
      <c r="X42" s="55">
        <v>15153.37</v>
      </c>
    </row>
    <row r="43" ht="15.75" customHeight="1">
      <c r="A43" s="38">
        <v>37.0</v>
      </c>
      <c r="B43" s="39" t="s">
        <v>65</v>
      </c>
      <c r="C43" s="40">
        <v>45450.0</v>
      </c>
      <c r="D43" s="41">
        <f t="shared" si="6"/>
        <v>45450</v>
      </c>
      <c r="E43" s="42">
        <v>624.0</v>
      </c>
      <c r="F43" s="43">
        <v>1100.0</v>
      </c>
      <c r="G43" s="44">
        <f t="shared" si="7"/>
        <v>0.5672727273</v>
      </c>
      <c r="H43" s="42">
        <v>21458.97</v>
      </c>
      <c r="I43" s="71">
        <f t="shared" si="8"/>
        <v>34.389375</v>
      </c>
      <c r="J43" s="42">
        <v>10554.95</v>
      </c>
      <c r="K43" s="71">
        <f t="shared" si="9"/>
        <v>16.91498397</v>
      </c>
      <c r="L43" s="43">
        <f>5000+2000+500+500</f>
        <v>8000</v>
      </c>
      <c r="M43" s="48">
        <f t="shared" si="25"/>
        <v>0.3728044729</v>
      </c>
      <c r="N43" s="72">
        <f t="shared" ref="N43:O43" si="55">Q43+U43</f>
        <v>2438.6</v>
      </c>
      <c r="O43" s="43">
        <f t="shared" si="55"/>
        <v>10554.95</v>
      </c>
      <c r="P43" s="73">
        <f t="shared" si="12"/>
        <v>12993.55</v>
      </c>
      <c r="Q43" s="51">
        <f t="shared" si="13"/>
        <v>1219.3</v>
      </c>
      <c r="R43" s="52">
        <f t="shared" si="14"/>
        <v>7388.465</v>
      </c>
      <c r="S43" s="53">
        <f t="shared" si="15"/>
        <v>2955.386</v>
      </c>
      <c r="T43" s="54">
        <f t="shared" si="16"/>
        <v>5652.379</v>
      </c>
      <c r="U43" s="72">
        <f t="shared" si="17"/>
        <v>1219.3</v>
      </c>
      <c r="V43" s="43">
        <f t="shared" si="18"/>
        <v>3166.485</v>
      </c>
      <c r="W43" s="73">
        <f t="shared" si="19"/>
        <v>4385.785</v>
      </c>
      <c r="X43" s="74">
        <v>2438.6</v>
      </c>
    </row>
    <row r="44" ht="15.75" customHeight="1">
      <c r="A44" s="56">
        <v>38.0</v>
      </c>
      <c r="B44" s="57" t="s">
        <v>66</v>
      </c>
      <c r="C44" s="58">
        <v>45468.0</v>
      </c>
      <c r="D44" s="41">
        <f t="shared" si="6"/>
        <v>45468</v>
      </c>
      <c r="E44" s="59">
        <v>887.0</v>
      </c>
      <c r="F44" s="60">
        <v>1100.0</v>
      </c>
      <c r="G44" s="61">
        <f t="shared" si="7"/>
        <v>0.8063636364</v>
      </c>
      <c r="H44" s="59">
        <v>56738.0</v>
      </c>
      <c r="I44" s="62">
        <f t="shared" si="8"/>
        <v>63.96617813</v>
      </c>
      <c r="J44" s="59">
        <v>15952.53</v>
      </c>
      <c r="K44" s="62">
        <f t="shared" si="9"/>
        <v>17.98481398</v>
      </c>
      <c r="L44" s="60">
        <f>1500+11250+11250+1500</f>
        <v>25500</v>
      </c>
      <c r="M44" s="63">
        <f t="shared" si="25"/>
        <v>0.4494342416</v>
      </c>
      <c r="N44" s="64">
        <f t="shared" ref="N44:O44" si="56">Q44+U44</f>
        <v>8684.12</v>
      </c>
      <c r="O44" s="60">
        <f t="shared" si="56"/>
        <v>15952.53</v>
      </c>
      <c r="P44" s="65">
        <f t="shared" si="12"/>
        <v>24636.65</v>
      </c>
      <c r="Q44" s="66">
        <f t="shared" si="13"/>
        <v>4342.06</v>
      </c>
      <c r="R44" s="67">
        <f t="shared" si="14"/>
        <v>11166.771</v>
      </c>
      <c r="S44" s="68">
        <f t="shared" si="15"/>
        <v>4466.7084</v>
      </c>
      <c r="T44" s="69">
        <f t="shared" si="16"/>
        <v>11042.1226</v>
      </c>
      <c r="U44" s="64">
        <f t="shared" si="17"/>
        <v>4342.06</v>
      </c>
      <c r="V44" s="60">
        <f t="shared" si="18"/>
        <v>4785.759</v>
      </c>
      <c r="W44" s="65">
        <f t="shared" si="19"/>
        <v>9127.819</v>
      </c>
      <c r="X44" s="55">
        <v>8684.12</v>
      </c>
    </row>
    <row r="45" ht="15.75" customHeight="1">
      <c r="A45" s="38">
        <v>39.0</v>
      </c>
      <c r="B45" s="39" t="s">
        <v>67</v>
      </c>
      <c r="C45" s="40">
        <v>45497.0</v>
      </c>
      <c r="D45" s="41">
        <f t="shared" si="6"/>
        <v>45497</v>
      </c>
      <c r="E45" s="42">
        <v>1115.0</v>
      </c>
      <c r="F45" s="43">
        <v>1100.0</v>
      </c>
      <c r="G45" s="44">
        <f t="shared" si="7"/>
        <v>1.013636364</v>
      </c>
      <c r="H45" s="42">
        <v>44191.61</v>
      </c>
      <c r="I45" s="71">
        <f t="shared" si="8"/>
        <v>39.63373094</v>
      </c>
      <c r="J45" s="42">
        <v>13884.94</v>
      </c>
      <c r="K45" s="71">
        <f t="shared" si="9"/>
        <v>12.45286099</v>
      </c>
      <c r="L45" s="43">
        <f>20000+500</f>
        <v>20500</v>
      </c>
      <c r="M45" s="48">
        <f t="shared" si="25"/>
        <v>0.4638889599</v>
      </c>
      <c r="N45" s="72">
        <f t="shared" ref="N45:O45" si="57">Q45+U45</f>
        <v>12603.97</v>
      </c>
      <c r="O45" s="43">
        <f t="shared" si="57"/>
        <v>13884.94</v>
      </c>
      <c r="P45" s="73">
        <f t="shared" si="12"/>
        <v>26488.91</v>
      </c>
      <c r="Q45" s="51">
        <f t="shared" si="13"/>
        <v>6301.985</v>
      </c>
      <c r="R45" s="52">
        <f t="shared" si="14"/>
        <v>9719.458</v>
      </c>
      <c r="S45" s="53">
        <f t="shared" si="15"/>
        <v>3887.7832</v>
      </c>
      <c r="T45" s="54">
        <f t="shared" si="16"/>
        <v>12133.6598</v>
      </c>
      <c r="U45" s="72">
        <f t="shared" si="17"/>
        <v>6301.985</v>
      </c>
      <c r="V45" s="43">
        <f t="shared" si="18"/>
        <v>4165.482</v>
      </c>
      <c r="W45" s="73">
        <f t="shared" si="19"/>
        <v>10467.467</v>
      </c>
      <c r="X45" s="74">
        <v>12603.97</v>
      </c>
    </row>
    <row r="46" ht="15.75" customHeight="1">
      <c r="A46" s="56">
        <v>40.0</v>
      </c>
      <c r="B46" s="57" t="s">
        <v>68</v>
      </c>
      <c r="C46" s="58">
        <v>45864.0</v>
      </c>
      <c r="D46" s="41">
        <f t="shared" si="6"/>
        <v>45864</v>
      </c>
      <c r="E46" s="59">
        <v>582.0</v>
      </c>
      <c r="F46" s="43">
        <v>1100.0</v>
      </c>
      <c r="G46" s="61">
        <f t="shared" si="7"/>
        <v>0.5290909091</v>
      </c>
      <c r="H46" s="59">
        <v>24458.19</v>
      </c>
      <c r="I46" s="62">
        <f t="shared" si="8"/>
        <v>42.02438144</v>
      </c>
      <c r="J46" s="59">
        <v>6269.84</v>
      </c>
      <c r="K46" s="62">
        <f t="shared" si="9"/>
        <v>10.77292096</v>
      </c>
      <c r="L46" s="60">
        <f>24000+1000</f>
        <v>25000</v>
      </c>
      <c r="M46" s="63">
        <f t="shared" si="25"/>
        <v>1.022152498</v>
      </c>
      <c r="N46" s="64">
        <f t="shared" ref="N46:O46" si="58">Q46+U46</f>
        <v>-12328.79</v>
      </c>
      <c r="O46" s="60">
        <f t="shared" si="58"/>
        <v>6269.84</v>
      </c>
      <c r="P46" s="65">
        <f t="shared" si="12"/>
        <v>-6058.95</v>
      </c>
      <c r="Q46" s="66">
        <f t="shared" si="13"/>
        <v>-6164.395</v>
      </c>
      <c r="R46" s="67">
        <f t="shared" si="14"/>
        <v>4388.888</v>
      </c>
      <c r="S46" s="68">
        <f t="shared" si="15"/>
        <v>1755.5552</v>
      </c>
      <c r="T46" s="69">
        <f t="shared" si="16"/>
        <v>-3531.0622</v>
      </c>
      <c r="U46" s="64">
        <f t="shared" si="17"/>
        <v>-6164.395</v>
      </c>
      <c r="V46" s="60">
        <f t="shared" si="18"/>
        <v>1880.952</v>
      </c>
      <c r="W46" s="65">
        <f t="shared" si="19"/>
        <v>-4283.443</v>
      </c>
      <c r="X46" s="55">
        <v>-12328.79</v>
      </c>
    </row>
    <row r="47" ht="15.75" customHeight="1">
      <c r="A47" s="38">
        <v>41.0</v>
      </c>
      <c r="B47" s="39" t="s">
        <v>69</v>
      </c>
      <c r="C47" s="40">
        <v>45504.0</v>
      </c>
      <c r="D47" s="41">
        <f t="shared" si="6"/>
        <v>45504</v>
      </c>
      <c r="E47" s="42">
        <v>524.0</v>
      </c>
      <c r="F47" s="43">
        <v>1100.0</v>
      </c>
      <c r="G47" s="44">
        <f t="shared" si="7"/>
        <v>0.4763636364</v>
      </c>
      <c r="H47" s="42">
        <v>21270.95</v>
      </c>
      <c r="I47" s="71">
        <f t="shared" si="8"/>
        <v>40.59341603</v>
      </c>
      <c r="J47" s="42">
        <v>6870.62</v>
      </c>
      <c r="K47" s="71">
        <f t="shared" si="9"/>
        <v>13.11187023</v>
      </c>
      <c r="L47" s="43">
        <f>9000+1500+500+1000</f>
        <v>12000</v>
      </c>
      <c r="M47" s="48">
        <f t="shared" si="25"/>
        <v>0.5641496971</v>
      </c>
      <c r="N47" s="72">
        <f t="shared" ref="N47:O47" si="59">Q47+U47</f>
        <v>-457.94</v>
      </c>
      <c r="O47" s="43">
        <f t="shared" si="59"/>
        <v>6870.62</v>
      </c>
      <c r="P47" s="73">
        <f t="shared" si="12"/>
        <v>6412.68</v>
      </c>
      <c r="Q47" s="51">
        <f t="shared" si="13"/>
        <v>-228.97</v>
      </c>
      <c r="R47" s="52">
        <f t="shared" si="14"/>
        <v>4809.434</v>
      </c>
      <c r="S47" s="53">
        <f t="shared" si="15"/>
        <v>1923.7736</v>
      </c>
      <c r="T47" s="54">
        <f t="shared" si="16"/>
        <v>2656.6904</v>
      </c>
      <c r="U47" s="72">
        <f t="shared" si="17"/>
        <v>-228.97</v>
      </c>
      <c r="V47" s="43">
        <f t="shared" si="18"/>
        <v>2061.186</v>
      </c>
      <c r="W47" s="73">
        <f t="shared" si="19"/>
        <v>1832.216</v>
      </c>
      <c r="X47" s="55">
        <v>-457.94</v>
      </c>
    </row>
    <row r="48" ht="15.75" customHeight="1">
      <c r="A48" s="56">
        <v>42.0</v>
      </c>
      <c r="B48" s="57" t="s">
        <v>70</v>
      </c>
      <c r="C48" s="58">
        <v>45506.0</v>
      </c>
      <c r="D48" s="41">
        <f t="shared" si="6"/>
        <v>45506</v>
      </c>
      <c r="E48" s="59">
        <v>717.0</v>
      </c>
      <c r="F48" s="43">
        <v>1100.0</v>
      </c>
      <c r="G48" s="61">
        <f t="shared" si="7"/>
        <v>0.6518181818</v>
      </c>
      <c r="H48" s="59">
        <v>39233.45</v>
      </c>
      <c r="I48" s="62">
        <f t="shared" si="8"/>
        <v>54.71889819</v>
      </c>
      <c r="J48" s="59">
        <v>12312.17</v>
      </c>
      <c r="K48" s="62">
        <f t="shared" si="9"/>
        <v>17.17178522</v>
      </c>
      <c r="L48" s="60">
        <f>30000+250</f>
        <v>30250</v>
      </c>
      <c r="M48" s="63">
        <f t="shared" si="25"/>
        <v>0.7710257446</v>
      </c>
      <c r="N48" s="64">
        <f t="shared" ref="N48:O48" si="60">Q48+U48</f>
        <v>-1873.18</v>
      </c>
      <c r="O48" s="60">
        <f t="shared" si="60"/>
        <v>12312.17</v>
      </c>
      <c r="P48" s="65">
        <f t="shared" si="12"/>
        <v>10438.99</v>
      </c>
      <c r="Q48" s="66">
        <f t="shared" si="13"/>
        <v>-936.59</v>
      </c>
      <c r="R48" s="67">
        <f t="shared" si="14"/>
        <v>8618.519</v>
      </c>
      <c r="S48" s="68">
        <f t="shared" si="15"/>
        <v>3447.4076</v>
      </c>
      <c r="T48" s="69">
        <f t="shared" si="16"/>
        <v>4234.5214</v>
      </c>
      <c r="U48" s="64">
        <f t="shared" si="17"/>
        <v>-936.59</v>
      </c>
      <c r="V48" s="60">
        <f t="shared" si="18"/>
        <v>3693.651</v>
      </c>
      <c r="W48" s="65">
        <f t="shared" si="19"/>
        <v>2757.061</v>
      </c>
      <c r="X48" s="55">
        <v>-1873.18</v>
      </c>
    </row>
    <row r="49" ht="15.75" customHeight="1">
      <c r="A49" s="38">
        <v>43.0</v>
      </c>
      <c r="B49" s="39" t="s">
        <v>71</v>
      </c>
      <c r="C49" s="40">
        <v>45517.0</v>
      </c>
      <c r="D49" s="41">
        <f t="shared" si="6"/>
        <v>45517</v>
      </c>
      <c r="E49" s="42">
        <v>516.0</v>
      </c>
      <c r="F49" s="43">
        <v>1100.0</v>
      </c>
      <c r="G49" s="44">
        <f t="shared" si="7"/>
        <v>0.4690909091</v>
      </c>
      <c r="H49" s="42">
        <v>21243.01</v>
      </c>
      <c r="I49" s="71">
        <f t="shared" si="8"/>
        <v>41.16862403</v>
      </c>
      <c r="J49" s="42">
        <v>6963.03</v>
      </c>
      <c r="K49" s="71">
        <f t="shared" si="9"/>
        <v>13.49424419</v>
      </c>
      <c r="L49" s="43">
        <f>16000+250+1750</f>
        <v>18000</v>
      </c>
      <c r="M49" s="48">
        <f t="shared" si="25"/>
        <v>0.8473375477</v>
      </c>
      <c r="N49" s="72">
        <f t="shared" ref="N49:O49" si="61">Q49+U49</f>
        <v>-6766.84</v>
      </c>
      <c r="O49" s="43">
        <f t="shared" si="61"/>
        <v>6963.03</v>
      </c>
      <c r="P49" s="73">
        <f t="shared" si="12"/>
        <v>196.19</v>
      </c>
      <c r="Q49" s="51">
        <f t="shared" si="13"/>
        <v>-3383.42</v>
      </c>
      <c r="R49" s="52">
        <f t="shared" si="14"/>
        <v>4874.121</v>
      </c>
      <c r="S49" s="53">
        <f t="shared" si="15"/>
        <v>1949.6484</v>
      </c>
      <c r="T49" s="54">
        <f t="shared" si="16"/>
        <v>-458.9474</v>
      </c>
      <c r="U49" s="72">
        <f t="shared" si="17"/>
        <v>-3383.42</v>
      </c>
      <c r="V49" s="43">
        <f t="shared" si="18"/>
        <v>2088.909</v>
      </c>
      <c r="W49" s="73">
        <f t="shared" si="19"/>
        <v>-1294.511</v>
      </c>
      <c r="X49" s="55">
        <v>-6766.84</v>
      </c>
    </row>
    <row r="50" ht="15.75" customHeight="1">
      <c r="A50" s="56">
        <v>44.0</v>
      </c>
      <c r="B50" s="57" t="s">
        <v>72</v>
      </c>
      <c r="C50" s="58">
        <v>45523.0</v>
      </c>
      <c r="D50" s="76">
        <f t="shared" si="6"/>
        <v>45523</v>
      </c>
      <c r="E50" s="59">
        <v>262.0</v>
      </c>
      <c r="F50" s="43">
        <v>1100.0</v>
      </c>
      <c r="G50" s="61">
        <f t="shared" si="7"/>
        <v>0.2381818182</v>
      </c>
      <c r="H50" s="59">
        <v>10967.37</v>
      </c>
      <c r="I50" s="62">
        <f t="shared" si="8"/>
        <v>41.86019084</v>
      </c>
      <c r="J50" s="59">
        <v>2389.95</v>
      </c>
      <c r="K50" s="62">
        <f t="shared" si="9"/>
        <v>9.121946565</v>
      </c>
      <c r="L50" s="60">
        <f>7000+350</f>
        <v>7350</v>
      </c>
      <c r="M50" s="63">
        <f t="shared" si="25"/>
        <v>0.6701697855</v>
      </c>
      <c r="N50" s="64">
        <f t="shared" ref="N50:O50" si="62">Q50+U50</f>
        <v>-3978.7</v>
      </c>
      <c r="O50" s="60">
        <f t="shared" si="62"/>
        <v>2389.95</v>
      </c>
      <c r="P50" s="65">
        <f t="shared" si="12"/>
        <v>-1588.75</v>
      </c>
      <c r="Q50" s="66">
        <f t="shared" si="13"/>
        <v>-1989.35</v>
      </c>
      <c r="R50" s="67">
        <f t="shared" si="14"/>
        <v>1672.965</v>
      </c>
      <c r="S50" s="68">
        <f t="shared" si="15"/>
        <v>669.186</v>
      </c>
      <c r="T50" s="69">
        <f t="shared" si="16"/>
        <v>-985.571</v>
      </c>
      <c r="U50" s="64">
        <f t="shared" si="17"/>
        <v>-1989.35</v>
      </c>
      <c r="V50" s="60">
        <f t="shared" si="18"/>
        <v>716.985</v>
      </c>
      <c r="W50" s="65">
        <f t="shared" si="19"/>
        <v>-1272.365</v>
      </c>
      <c r="X50" s="55">
        <v>-3978.7</v>
      </c>
    </row>
    <row r="51" ht="15.75" customHeight="1">
      <c r="A51" s="38">
        <v>45.0</v>
      </c>
      <c r="B51" s="39" t="s">
        <v>73</v>
      </c>
      <c r="C51" s="40">
        <v>45548.0</v>
      </c>
      <c r="D51" s="41">
        <f t="shared" si="6"/>
        <v>45548</v>
      </c>
      <c r="E51" s="42">
        <v>1115.0</v>
      </c>
      <c r="F51" s="43">
        <v>1100.0</v>
      </c>
      <c r="G51" s="44">
        <f t="shared" si="7"/>
        <v>1.013636364</v>
      </c>
      <c r="H51" s="42">
        <v>41447.69</v>
      </c>
      <c r="I51" s="71">
        <f t="shared" si="8"/>
        <v>37.17281614</v>
      </c>
      <c r="J51" s="42">
        <v>16648.66</v>
      </c>
      <c r="K51" s="71">
        <f t="shared" si="9"/>
        <v>14.93153363</v>
      </c>
      <c r="L51" s="43">
        <f>12500+1000</f>
        <v>13500</v>
      </c>
      <c r="M51" s="48">
        <f t="shared" si="25"/>
        <v>0.3257117586</v>
      </c>
      <c r="N51" s="72">
        <f t="shared" ref="N51:O51" si="63">Q51+U51</f>
        <v>16247.9</v>
      </c>
      <c r="O51" s="43">
        <f t="shared" si="63"/>
        <v>16648.66</v>
      </c>
      <c r="P51" s="73">
        <f t="shared" si="12"/>
        <v>32896.56</v>
      </c>
      <c r="Q51" s="51">
        <f t="shared" si="13"/>
        <v>8123.95</v>
      </c>
      <c r="R51" s="52">
        <f t="shared" si="14"/>
        <v>11654.062</v>
      </c>
      <c r="S51" s="53">
        <f t="shared" si="15"/>
        <v>4661.6248</v>
      </c>
      <c r="T51" s="54">
        <f t="shared" si="16"/>
        <v>15116.3872</v>
      </c>
      <c r="U51" s="72">
        <f t="shared" si="17"/>
        <v>8123.95</v>
      </c>
      <c r="V51" s="43">
        <f t="shared" si="18"/>
        <v>4994.598</v>
      </c>
      <c r="W51" s="73">
        <f t="shared" si="19"/>
        <v>13118.548</v>
      </c>
      <c r="X51" s="55">
        <v>16247.9</v>
      </c>
    </row>
    <row r="52" ht="15.75" customHeight="1">
      <c r="A52" s="56">
        <v>46.0</v>
      </c>
      <c r="B52" s="57" t="s">
        <v>74</v>
      </c>
      <c r="C52" s="58">
        <v>45549.0</v>
      </c>
      <c r="D52" s="76">
        <f t="shared" si="6"/>
        <v>45549</v>
      </c>
      <c r="E52" s="59">
        <v>478.0</v>
      </c>
      <c r="F52" s="43">
        <v>1100.0</v>
      </c>
      <c r="G52" s="61">
        <f t="shared" si="7"/>
        <v>0.4345454545</v>
      </c>
      <c r="H52" s="59">
        <v>18924.53</v>
      </c>
      <c r="I52" s="62">
        <f t="shared" si="8"/>
        <v>39.59106695</v>
      </c>
      <c r="J52" s="59">
        <v>4220.56</v>
      </c>
      <c r="K52" s="62">
        <f t="shared" si="9"/>
        <v>8.829623431</v>
      </c>
      <c r="L52" s="60">
        <f>11250+1250+500</f>
        <v>13000</v>
      </c>
      <c r="M52" s="63">
        <f t="shared" si="25"/>
        <v>0.6869391208</v>
      </c>
      <c r="N52" s="64">
        <f t="shared" ref="N52:O52" si="64">Q52+U52</f>
        <v>-2137.44</v>
      </c>
      <c r="O52" s="60">
        <f t="shared" si="64"/>
        <v>4220.56</v>
      </c>
      <c r="P52" s="65">
        <f t="shared" si="12"/>
        <v>2083.12</v>
      </c>
      <c r="Q52" s="66">
        <f t="shared" si="13"/>
        <v>-1068.72</v>
      </c>
      <c r="R52" s="67">
        <f t="shared" si="14"/>
        <v>2954.392</v>
      </c>
      <c r="S52" s="68">
        <f t="shared" si="15"/>
        <v>1181.7568</v>
      </c>
      <c r="T52" s="69">
        <f t="shared" si="16"/>
        <v>703.9152</v>
      </c>
      <c r="U52" s="64">
        <f t="shared" si="17"/>
        <v>-1068.72</v>
      </c>
      <c r="V52" s="60">
        <f t="shared" si="18"/>
        <v>1266.168</v>
      </c>
      <c r="W52" s="65">
        <f t="shared" si="19"/>
        <v>197.448</v>
      </c>
      <c r="X52" s="55">
        <v>-2137.44</v>
      </c>
    </row>
    <row r="53" ht="15.75" customHeight="1">
      <c r="A53" s="38">
        <v>47.0</v>
      </c>
      <c r="B53" s="39" t="s">
        <v>75</v>
      </c>
      <c r="C53" s="40">
        <v>45551.0</v>
      </c>
      <c r="D53" s="41">
        <f t="shared" si="6"/>
        <v>45551</v>
      </c>
      <c r="E53" s="42">
        <v>1032.0</v>
      </c>
      <c r="F53" s="43">
        <v>1100.0</v>
      </c>
      <c r="G53" s="44">
        <f t="shared" si="7"/>
        <v>0.9381818182</v>
      </c>
      <c r="H53" s="42">
        <v>40370.21</v>
      </c>
      <c r="I53" s="71">
        <f t="shared" si="8"/>
        <v>39.11842054</v>
      </c>
      <c r="J53" s="42">
        <v>6773.73</v>
      </c>
      <c r="K53" s="71">
        <f t="shared" si="9"/>
        <v>6.56369186</v>
      </c>
      <c r="L53" s="43">
        <f>18000</f>
        <v>18000</v>
      </c>
      <c r="M53" s="48">
        <f t="shared" si="25"/>
        <v>0.4458733309</v>
      </c>
      <c r="N53" s="72">
        <f t="shared" ref="N53:O53" si="65">Q53+U53</f>
        <v>11174</v>
      </c>
      <c r="O53" s="43">
        <f t="shared" si="65"/>
        <v>6773.73</v>
      </c>
      <c r="P53" s="73">
        <f t="shared" si="12"/>
        <v>17947.73</v>
      </c>
      <c r="Q53" s="51">
        <f t="shared" si="13"/>
        <v>5587</v>
      </c>
      <c r="R53" s="52">
        <f t="shared" si="14"/>
        <v>4741.611</v>
      </c>
      <c r="S53" s="53">
        <f t="shared" si="15"/>
        <v>1896.6444</v>
      </c>
      <c r="T53" s="54">
        <f t="shared" si="16"/>
        <v>8431.9666</v>
      </c>
      <c r="U53" s="72">
        <f t="shared" si="17"/>
        <v>5587</v>
      </c>
      <c r="V53" s="43">
        <f t="shared" si="18"/>
        <v>2032.119</v>
      </c>
      <c r="W53" s="73">
        <f t="shared" si="19"/>
        <v>7619.119</v>
      </c>
      <c r="X53" s="55">
        <v>11174.0</v>
      </c>
    </row>
    <row r="54" ht="15.75" customHeight="1">
      <c r="A54" s="56">
        <v>48.0</v>
      </c>
      <c r="B54" s="57" t="s">
        <v>76</v>
      </c>
      <c r="C54" s="58">
        <v>45553.0</v>
      </c>
      <c r="D54" s="76">
        <f t="shared" si="6"/>
        <v>45553</v>
      </c>
      <c r="E54" s="59">
        <v>280.0</v>
      </c>
      <c r="F54" s="43">
        <v>1100.0</v>
      </c>
      <c r="G54" s="61">
        <f t="shared" si="7"/>
        <v>0.2545454545</v>
      </c>
      <c r="H54" s="59">
        <v>9954.9</v>
      </c>
      <c r="I54" s="62">
        <f t="shared" si="8"/>
        <v>35.55321429</v>
      </c>
      <c r="J54" s="59">
        <v>2325.97</v>
      </c>
      <c r="K54" s="62">
        <f t="shared" si="9"/>
        <v>8.307035714</v>
      </c>
      <c r="L54" s="60">
        <f>8000+500</f>
        <v>8500</v>
      </c>
      <c r="M54" s="63">
        <f t="shared" si="25"/>
        <v>0.8538508674</v>
      </c>
      <c r="N54" s="64">
        <f t="shared" ref="N54:O54" si="66">Q54+U54</f>
        <v>-7078.09</v>
      </c>
      <c r="O54" s="60">
        <f t="shared" si="66"/>
        <v>2325.97</v>
      </c>
      <c r="P54" s="65">
        <f t="shared" si="12"/>
        <v>-4752.12</v>
      </c>
      <c r="Q54" s="66">
        <f t="shared" si="13"/>
        <v>-3539.045</v>
      </c>
      <c r="R54" s="67">
        <f t="shared" si="14"/>
        <v>1628.179</v>
      </c>
      <c r="S54" s="68">
        <f t="shared" si="15"/>
        <v>651.2716</v>
      </c>
      <c r="T54" s="69">
        <f t="shared" si="16"/>
        <v>-2562.1376</v>
      </c>
      <c r="U54" s="64">
        <f t="shared" si="17"/>
        <v>-3539.045</v>
      </c>
      <c r="V54" s="60">
        <f t="shared" si="18"/>
        <v>697.791</v>
      </c>
      <c r="W54" s="65">
        <f t="shared" si="19"/>
        <v>-2841.254</v>
      </c>
      <c r="X54" s="55">
        <v>-7078.09</v>
      </c>
    </row>
    <row r="55" ht="15.75" customHeight="1">
      <c r="A55" s="38">
        <v>49.0</v>
      </c>
      <c r="B55" s="39" t="s">
        <v>77</v>
      </c>
      <c r="C55" s="40">
        <v>45556.0</v>
      </c>
      <c r="D55" s="41">
        <f t="shared" si="6"/>
        <v>45556</v>
      </c>
      <c r="E55" s="42">
        <v>309.0</v>
      </c>
      <c r="F55" s="43">
        <v>1100.0</v>
      </c>
      <c r="G55" s="44">
        <f t="shared" si="7"/>
        <v>0.2809090909</v>
      </c>
      <c r="H55" s="42">
        <v>12498.63</v>
      </c>
      <c r="I55" s="71">
        <f t="shared" si="8"/>
        <v>40.44864078</v>
      </c>
      <c r="J55" s="42">
        <v>5849.15</v>
      </c>
      <c r="K55" s="71">
        <f t="shared" si="9"/>
        <v>18.92928803</v>
      </c>
      <c r="L55" s="43">
        <f>11250+700+1250</f>
        <v>13200</v>
      </c>
      <c r="M55" s="48">
        <f t="shared" si="25"/>
        <v>1.05611575</v>
      </c>
      <c r="N55" s="72">
        <f t="shared" ref="N55:O55" si="67">Q55+U55</f>
        <v>-9403.81</v>
      </c>
      <c r="O55" s="43">
        <f t="shared" si="67"/>
        <v>5849.15</v>
      </c>
      <c r="P55" s="73">
        <f t="shared" si="12"/>
        <v>-3554.66</v>
      </c>
      <c r="Q55" s="51">
        <f t="shared" si="13"/>
        <v>-4701.905</v>
      </c>
      <c r="R55" s="52">
        <f t="shared" si="14"/>
        <v>4094.405</v>
      </c>
      <c r="S55" s="53">
        <f t="shared" si="15"/>
        <v>1637.762</v>
      </c>
      <c r="T55" s="54">
        <f t="shared" si="16"/>
        <v>-2245.262</v>
      </c>
      <c r="U55" s="72">
        <f t="shared" si="17"/>
        <v>-4701.905</v>
      </c>
      <c r="V55" s="43">
        <f t="shared" si="18"/>
        <v>1754.745</v>
      </c>
      <c r="W55" s="73">
        <f t="shared" si="19"/>
        <v>-2947.16</v>
      </c>
      <c r="X55" s="55">
        <v>-9403.81</v>
      </c>
    </row>
    <row r="56" ht="15.75" customHeight="1">
      <c r="A56" s="56">
        <v>50.0</v>
      </c>
      <c r="B56" s="57" t="s">
        <v>78</v>
      </c>
      <c r="C56" s="58">
        <v>45560.0</v>
      </c>
      <c r="D56" s="76">
        <f t="shared" si="6"/>
        <v>45560</v>
      </c>
      <c r="E56" s="59">
        <v>1115.0</v>
      </c>
      <c r="F56" s="43">
        <v>1100.0</v>
      </c>
      <c r="G56" s="61">
        <f t="shared" si="7"/>
        <v>1.013636364</v>
      </c>
      <c r="H56" s="59">
        <v>53433.0</v>
      </c>
      <c r="I56" s="62">
        <f t="shared" si="8"/>
        <v>47.92197309</v>
      </c>
      <c r="J56" s="59">
        <v>9719.22</v>
      </c>
      <c r="K56" s="62">
        <f t="shared" si="9"/>
        <v>8.716789238</v>
      </c>
      <c r="L56" s="60">
        <f>16164.37</f>
        <v>16164.37</v>
      </c>
      <c r="M56" s="63">
        <f t="shared" si="25"/>
        <v>0.3025166096</v>
      </c>
      <c r="N56" s="64">
        <f t="shared" ref="N56:O56" si="68">Q56+U56</f>
        <v>20109.54</v>
      </c>
      <c r="O56" s="60">
        <f t="shared" si="68"/>
        <v>9719.22</v>
      </c>
      <c r="P56" s="65">
        <f t="shared" si="12"/>
        <v>29828.76</v>
      </c>
      <c r="Q56" s="66">
        <f t="shared" si="13"/>
        <v>10054.77</v>
      </c>
      <c r="R56" s="67">
        <f t="shared" si="14"/>
        <v>6803.454</v>
      </c>
      <c r="S56" s="68">
        <f t="shared" si="15"/>
        <v>2721.3816</v>
      </c>
      <c r="T56" s="69">
        <f t="shared" si="16"/>
        <v>14136.8424</v>
      </c>
      <c r="U56" s="64">
        <f t="shared" si="17"/>
        <v>10054.77</v>
      </c>
      <c r="V56" s="60">
        <f t="shared" si="18"/>
        <v>2915.766</v>
      </c>
      <c r="W56" s="65">
        <f t="shared" si="19"/>
        <v>12970.536</v>
      </c>
      <c r="X56" s="55">
        <v>20109.54</v>
      </c>
    </row>
    <row r="57" ht="15.75" customHeight="1">
      <c r="A57" s="38">
        <v>51.0</v>
      </c>
      <c r="B57" s="39" t="s">
        <v>79</v>
      </c>
      <c r="C57" s="40">
        <v>45569.0</v>
      </c>
      <c r="D57" s="41">
        <f t="shared" si="6"/>
        <v>45569</v>
      </c>
      <c r="E57" s="42">
        <v>408.0</v>
      </c>
      <c r="F57" s="43">
        <v>1100.0</v>
      </c>
      <c r="G57" s="44">
        <f t="shared" si="7"/>
        <v>0.3709090909</v>
      </c>
      <c r="H57" s="42">
        <v>17567.0</v>
      </c>
      <c r="I57" s="71">
        <f t="shared" si="8"/>
        <v>43.05637255</v>
      </c>
      <c r="J57" s="42">
        <v>3641.53</v>
      </c>
      <c r="K57" s="71">
        <f t="shared" si="9"/>
        <v>8.925318627</v>
      </c>
      <c r="L57" s="42">
        <v>7500.0</v>
      </c>
      <c r="M57" s="48">
        <f t="shared" si="25"/>
        <v>0.4269368703</v>
      </c>
      <c r="N57" s="72">
        <f t="shared" ref="N57:O57" si="69">Q57+U57</f>
        <v>830.31</v>
      </c>
      <c r="O57" s="43">
        <f t="shared" si="69"/>
        <v>3641.53</v>
      </c>
      <c r="P57" s="73">
        <f t="shared" si="12"/>
        <v>4471.84</v>
      </c>
      <c r="Q57" s="51">
        <f t="shared" si="13"/>
        <v>415.155</v>
      </c>
      <c r="R57" s="52">
        <f t="shared" si="14"/>
        <v>2549.071</v>
      </c>
      <c r="S57" s="53">
        <f t="shared" si="15"/>
        <v>1019.6284</v>
      </c>
      <c r="T57" s="54">
        <f t="shared" si="16"/>
        <v>1944.5976</v>
      </c>
      <c r="U57" s="72">
        <f t="shared" si="17"/>
        <v>415.155</v>
      </c>
      <c r="V57" s="43">
        <f t="shared" si="18"/>
        <v>1092.459</v>
      </c>
      <c r="W57" s="73">
        <f t="shared" si="19"/>
        <v>1507.614</v>
      </c>
      <c r="X57" s="55">
        <v>830.31</v>
      </c>
    </row>
    <row r="58" ht="15.75" customHeight="1">
      <c r="A58" s="56">
        <v>52.0</v>
      </c>
      <c r="B58" s="57" t="s">
        <v>80</v>
      </c>
      <c r="C58" s="58">
        <v>45570.0</v>
      </c>
      <c r="D58" s="76">
        <f t="shared" si="6"/>
        <v>45570</v>
      </c>
      <c r="E58" s="59">
        <v>867.0</v>
      </c>
      <c r="F58" s="43">
        <v>1100.0</v>
      </c>
      <c r="G58" s="61">
        <f t="shared" si="7"/>
        <v>0.7881818182</v>
      </c>
      <c r="H58" s="59">
        <v>40555.19</v>
      </c>
      <c r="I58" s="62">
        <f t="shared" si="8"/>
        <v>46.77645905</v>
      </c>
      <c r="J58" s="59">
        <v>7984.48</v>
      </c>
      <c r="K58" s="62">
        <f t="shared" si="9"/>
        <v>9.209319493</v>
      </c>
      <c r="L58" s="60">
        <f>8000+3150+350+1500+500</f>
        <v>13500</v>
      </c>
      <c r="M58" s="63">
        <f t="shared" si="25"/>
        <v>0.3328797128</v>
      </c>
      <c r="N58" s="64">
        <f t="shared" ref="N58:O58" si="70">Q58+U58</f>
        <v>14290.25</v>
      </c>
      <c r="O58" s="60">
        <f t="shared" si="70"/>
        <v>7984.48</v>
      </c>
      <c r="P58" s="65">
        <f t="shared" si="12"/>
        <v>22274.73</v>
      </c>
      <c r="Q58" s="66">
        <f t="shared" si="13"/>
        <v>7145.125</v>
      </c>
      <c r="R58" s="67">
        <f t="shared" si="14"/>
        <v>5589.136</v>
      </c>
      <c r="S58" s="68">
        <f t="shared" si="15"/>
        <v>2235.6544</v>
      </c>
      <c r="T58" s="69">
        <f t="shared" si="16"/>
        <v>10498.6066</v>
      </c>
      <c r="U58" s="64">
        <f t="shared" si="17"/>
        <v>7145.125</v>
      </c>
      <c r="V58" s="60">
        <f t="shared" si="18"/>
        <v>2395.344</v>
      </c>
      <c r="W58" s="65">
        <f t="shared" si="19"/>
        <v>9540.469</v>
      </c>
      <c r="X58" s="55">
        <v>14290.25</v>
      </c>
    </row>
    <row r="59" ht="15.75" customHeight="1">
      <c r="A59" s="38">
        <v>53.0</v>
      </c>
      <c r="B59" s="39" t="s">
        <v>81</v>
      </c>
      <c r="C59" s="40">
        <v>45574.0</v>
      </c>
      <c r="D59" s="41">
        <f t="shared" si="6"/>
        <v>45574</v>
      </c>
      <c r="E59" s="42">
        <v>471.0</v>
      </c>
      <c r="F59" s="43">
        <v>1100.0</v>
      </c>
      <c r="G59" s="44">
        <f t="shared" si="7"/>
        <v>0.4281818182</v>
      </c>
      <c r="H59" s="42">
        <v>19111.27</v>
      </c>
      <c r="I59" s="71">
        <f t="shared" si="8"/>
        <v>40.5759448</v>
      </c>
      <c r="J59" s="42">
        <v>8386.68</v>
      </c>
      <c r="K59" s="71">
        <f t="shared" si="9"/>
        <v>17.80611465</v>
      </c>
      <c r="L59" s="43">
        <f>12000+500</f>
        <v>12500</v>
      </c>
      <c r="M59" s="48">
        <f t="shared" si="25"/>
        <v>0.6540643296</v>
      </c>
      <c r="N59" s="72">
        <f t="shared" ref="N59:O59" si="71">Q59+U59</f>
        <v>-9697.8</v>
      </c>
      <c r="O59" s="43">
        <f t="shared" si="71"/>
        <v>8386.68</v>
      </c>
      <c r="P59" s="73">
        <f t="shared" si="12"/>
        <v>-1311.12</v>
      </c>
      <c r="Q59" s="51">
        <f t="shared" si="13"/>
        <v>-4848.9</v>
      </c>
      <c r="R59" s="52">
        <f t="shared" si="14"/>
        <v>5870.676</v>
      </c>
      <c r="S59" s="53">
        <f t="shared" si="15"/>
        <v>2348.2704</v>
      </c>
      <c r="T59" s="54">
        <f t="shared" si="16"/>
        <v>-1326.4944</v>
      </c>
      <c r="U59" s="72">
        <f t="shared" si="17"/>
        <v>-4848.9</v>
      </c>
      <c r="V59" s="43">
        <f t="shared" si="18"/>
        <v>2516.004</v>
      </c>
      <c r="W59" s="73">
        <f t="shared" si="19"/>
        <v>-2332.896</v>
      </c>
      <c r="X59" s="55">
        <v>-9697.8</v>
      </c>
    </row>
    <row r="60" ht="15.75" customHeight="1">
      <c r="A60" s="56">
        <v>54.0</v>
      </c>
      <c r="B60" s="57" t="s">
        <v>82</v>
      </c>
      <c r="C60" s="58">
        <v>45575.0</v>
      </c>
      <c r="D60" s="76">
        <f t="shared" si="6"/>
        <v>45575</v>
      </c>
      <c r="E60" s="59">
        <v>453.0</v>
      </c>
      <c r="F60" s="43">
        <v>1100.0</v>
      </c>
      <c r="G60" s="61">
        <f t="shared" si="7"/>
        <v>0.4118181818</v>
      </c>
      <c r="H60" s="59">
        <v>24160.0</v>
      </c>
      <c r="I60" s="62">
        <f t="shared" si="8"/>
        <v>53.33333333</v>
      </c>
      <c r="J60" s="59">
        <v>5778.3</v>
      </c>
      <c r="K60" s="62">
        <f t="shared" si="9"/>
        <v>12.75562914</v>
      </c>
      <c r="L60" s="60">
        <f>20000+5000</f>
        <v>25000</v>
      </c>
      <c r="M60" s="63">
        <f t="shared" si="25"/>
        <v>1.034768212</v>
      </c>
      <c r="N60" s="64">
        <f t="shared" ref="N60:O60" si="72">Q60+U60</f>
        <v>-10328.22</v>
      </c>
      <c r="O60" s="60">
        <f t="shared" si="72"/>
        <v>5778.3</v>
      </c>
      <c r="P60" s="65">
        <f t="shared" si="12"/>
        <v>-4549.92</v>
      </c>
      <c r="Q60" s="66">
        <f t="shared" si="13"/>
        <v>-5164.11</v>
      </c>
      <c r="R60" s="67">
        <f t="shared" si="14"/>
        <v>4044.81</v>
      </c>
      <c r="S60" s="68">
        <f t="shared" si="15"/>
        <v>1617.924</v>
      </c>
      <c r="T60" s="69">
        <f t="shared" si="16"/>
        <v>-2737.224</v>
      </c>
      <c r="U60" s="64">
        <f t="shared" si="17"/>
        <v>-5164.11</v>
      </c>
      <c r="V60" s="60">
        <f t="shared" si="18"/>
        <v>1733.49</v>
      </c>
      <c r="W60" s="65">
        <f t="shared" si="19"/>
        <v>-3430.62</v>
      </c>
      <c r="X60" s="55">
        <v>-10328.22</v>
      </c>
    </row>
    <row r="61" ht="15.75" customHeight="1">
      <c r="A61" s="38">
        <f t="shared" ref="A61:A89" si="74">A60+1</f>
        <v>55</v>
      </c>
      <c r="B61" s="39" t="s">
        <v>83</v>
      </c>
      <c r="C61" s="40">
        <v>45576.0</v>
      </c>
      <c r="D61" s="41">
        <f t="shared" si="6"/>
        <v>45576</v>
      </c>
      <c r="E61" s="42">
        <v>812.0</v>
      </c>
      <c r="F61" s="43">
        <v>1100.0</v>
      </c>
      <c r="G61" s="44">
        <f t="shared" si="7"/>
        <v>0.7381818182</v>
      </c>
      <c r="H61" s="42">
        <v>30282.23</v>
      </c>
      <c r="I61" s="71">
        <f t="shared" si="8"/>
        <v>37.2933867</v>
      </c>
      <c r="J61" s="42">
        <v>5661.52</v>
      </c>
      <c r="K61" s="71">
        <f t="shared" si="9"/>
        <v>6.972315271</v>
      </c>
      <c r="L61" s="43">
        <f>15000+1000</f>
        <v>16000</v>
      </c>
      <c r="M61" s="48">
        <f t="shared" si="25"/>
        <v>0.5283626734</v>
      </c>
      <c r="N61" s="72">
        <f t="shared" ref="N61:O61" si="73">Q61+U61</f>
        <v>4114.15</v>
      </c>
      <c r="O61" s="43">
        <f t="shared" si="73"/>
        <v>5661.52</v>
      </c>
      <c r="P61" s="73">
        <f t="shared" si="12"/>
        <v>9775.67</v>
      </c>
      <c r="Q61" s="51">
        <f t="shared" si="13"/>
        <v>2057.075</v>
      </c>
      <c r="R61" s="52">
        <f t="shared" si="14"/>
        <v>3963.064</v>
      </c>
      <c r="S61" s="53">
        <f t="shared" si="15"/>
        <v>1585.2256</v>
      </c>
      <c r="T61" s="54">
        <f t="shared" si="16"/>
        <v>4434.9134</v>
      </c>
      <c r="U61" s="72">
        <f t="shared" si="17"/>
        <v>2057.075</v>
      </c>
      <c r="V61" s="43">
        <f t="shared" si="18"/>
        <v>1698.456</v>
      </c>
      <c r="W61" s="73">
        <f t="shared" si="19"/>
        <v>3755.531</v>
      </c>
      <c r="X61" s="55">
        <v>4114.15</v>
      </c>
    </row>
    <row r="62" ht="15.75" customHeight="1">
      <c r="A62" s="56">
        <f t="shared" si="74"/>
        <v>56</v>
      </c>
      <c r="B62" s="57" t="s">
        <v>84</v>
      </c>
      <c r="C62" s="58">
        <v>45582.0</v>
      </c>
      <c r="D62" s="76">
        <f t="shared" si="6"/>
        <v>45582</v>
      </c>
      <c r="E62" s="59">
        <v>288.0</v>
      </c>
      <c r="F62" s="42">
        <v>750.0</v>
      </c>
      <c r="G62" s="61">
        <f t="shared" si="7"/>
        <v>0.384</v>
      </c>
      <c r="H62" s="59">
        <v>8984.77</v>
      </c>
      <c r="I62" s="62">
        <f t="shared" si="8"/>
        <v>31.19711806</v>
      </c>
      <c r="J62" s="59">
        <v>3769.99</v>
      </c>
      <c r="K62" s="62">
        <f t="shared" si="9"/>
        <v>13.09024306</v>
      </c>
      <c r="L62" s="60">
        <f>3000</f>
        <v>3000</v>
      </c>
      <c r="M62" s="63">
        <f t="shared" si="25"/>
        <v>0.3338983636</v>
      </c>
      <c r="N62" s="64">
        <f t="shared" ref="N62:O62" si="75">Q62+U62</f>
        <v>-131.97</v>
      </c>
      <c r="O62" s="60">
        <f t="shared" si="75"/>
        <v>3769.99</v>
      </c>
      <c r="P62" s="65">
        <f t="shared" si="12"/>
        <v>3638.02</v>
      </c>
      <c r="Q62" s="66">
        <f t="shared" si="13"/>
        <v>-65.985</v>
      </c>
      <c r="R62" s="67">
        <f t="shared" si="14"/>
        <v>2638.993</v>
      </c>
      <c r="S62" s="68">
        <f t="shared" si="15"/>
        <v>1055.5972</v>
      </c>
      <c r="T62" s="69">
        <f t="shared" si="16"/>
        <v>1517.4108</v>
      </c>
      <c r="U62" s="64">
        <f t="shared" si="17"/>
        <v>-65.985</v>
      </c>
      <c r="V62" s="60">
        <f t="shared" si="18"/>
        <v>1130.997</v>
      </c>
      <c r="W62" s="65">
        <f t="shared" si="19"/>
        <v>1065.012</v>
      </c>
      <c r="X62" s="55">
        <v>-131.97</v>
      </c>
    </row>
    <row r="63" ht="15.75" customHeight="1">
      <c r="A63" s="38">
        <f t="shared" si="74"/>
        <v>57</v>
      </c>
      <c r="B63" s="39" t="s">
        <v>85</v>
      </c>
      <c r="C63" s="40">
        <v>45583.0</v>
      </c>
      <c r="D63" s="41">
        <f t="shared" si="6"/>
        <v>45583</v>
      </c>
      <c r="E63" s="42">
        <v>485.0</v>
      </c>
      <c r="F63" s="43">
        <v>1100.0</v>
      </c>
      <c r="G63" s="44">
        <f t="shared" si="7"/>
        <v>0.4409090909</v>
      </c>
      <c r="H63" s="42">
        <v>20868.69</v>
      </c>
      <c r="I63" s="71">
        <f t="shared" si="8"/>
        <v>43.0282268</v>
      </c>
      <c r="J63" s="42">
        <v>8630.75</v>
      </c>
      <c r="K63" s="71">
        <f t="shared" si="9"/>
        <v>17.79536082</v>
      </c>
      <c r="L63" s="43">
        <f>12500</f>
        <v>12500</v>
      </c>
      <c r="M63" s="48">
        <f t="shared" si="25"/>
        <v>0.5989834532</v>
      </c>
      <c r="N63" s="72">
        <f t="shared" ref="N63:O63" si="76">Q63+U63</f>
        <v>2073.82</v>
      </c>
      <c r="O63" s="43">
        <f t="shared" si="76"/>
        <v>8630.75</v>
      </c>
      <c r="P63" s="73">
        <f t="shared" si="12"/>
        <v>10704.57</v>
      </c>
      <c r="Q63" s="51">
        <f t="shared" si="13"/>
        <v>1036.91</v>
      </c>
      <c r="R63" s="52">
        <f t="shared" si="14"/>
        <v>6041.525</v>
      </c>
      <c r="S63" s="53">
        <f t="shared" si="15"/>
        <v>2416.61</v>
      </c>
      <c r="T63" s="54">
        <f t="shared" si="16"/>
        <v>4661.825</v>
      </c>
      <c r="U63" s="72">
        <f t="shared" si="17"/>
        <v>1036.91</v>
      </c>
      <c r="V63" s="43">
        <f t="shared" si="18"/>
        <v>2589.225</v>
      </c>
      <c r="W63" s="73">
        <f t="shared" si="19"/>
        <v>3626.135</v>
      </c>
      <c r="X63" s="55">
        <v>2073.82</v>
      </c>
    </row>
    <row r="64" ht="15.75" customHeight="1">
      <c r="A64" s="56">
        <f t="shared" si="74"/>
        <v>58</v>
      </c>
      <c r="B64" s="57" t="s">
        <v>86</v>
      </c>
      <c r="C64" s="58">
        <v>45584.0</v>
      </c>
      <c r="D64" s="76">
        <f t="shared" si="6"/>
        <v>45584</v>
      </c>
      <c r="E64" s="59">
        <v>832.0</v>
      </c>
      <c r="F64" s="43">
        <v>1100.0</v>
      </c>
      <c r="G64" s="61">
        <f t="shared" si="7"/>
        <v>0.7563636364</v>
      </c>
      <c r="H64" s="59">
        <v>35916.64</v>
      </c>
      <c r="I64" s="62">
        <f t="shared" si="8"/>
        <v>43.16903846</v>
      </c>
      <c r="J64" s="59">
        <v>11725.03</v>
      </c>
      <c r="K64" s="62">
        <f t="shared" si="9"/>
        <v>14.09258413</v>
      </c>
      <c r="L64" s="60">
        <f>15000+500</f>
        <v>15500</v>
      </c>
      <c r="M64" s="63">
        <f t="shared" si="25"/>
        <v>0.4315548448</v>
      </c>
      <c r="N64" s="64">
        <f t="shared" ref="N64:O64" si="77">Q64+U64</f>
        <v>6165.79</v>
      </c>
      <c r="O64" s="60">
        <f t="shared" si="77"/>
        <v>11725.03</v>
      </c>
      <c r="P64" s="65">
        <f t="shared" si="12"/>
        <v>17890.82</v>
      </c>
      <c r="Q64" s="66">
        <f t="shared" si="13"/>
        <v>3082.895</v>
      </c>
      <c r="R64" s="67">
        <f t="shared" si="14"/>
        <v>8207.521</v>
      </c>
      <c r="S64" s="68">
        <f t="shared" si="15"/>
        <v>3283.0084</v>
      </c>
      <c r="T64" s="69">
        <f t="shared" si="16"/>
        <v>8007.4076</v>
      </c>
      <c r="U64" s="64">
        <f t="shared" si="17"/>
        <v>3082.895</v>
      </c>
      <c r="V64" s="60">
        <f t="shared" si="18"/>
        <v>3517.509</v>
      </c>
      <c r="W64" s="65">
        <f t="shared" si="19"/>
        <v>6600.404</v>
      </c>
      <c r="X64" s="55">
        <v>6165.79</v>
      </c>
    </row>
    <row r="65" ht="15.75" customHeight="1">
      <c r="A65" s="38">
        <f t="shared" si="74"/>
        <v>59</v>
      </c>
      <c r="B65" s="39" t="s">
        <v>87</v>
      </c>
      <c r="C65" s="40">
        <v>45589.0</v>
      </c>
      <c r="D65" s="41">
        <f t="shared" si="6"/>
        <v>45589</v>
      </c>
      <c r="E65" s="42">
        <v>317.0</v>
      </c>
      <c r="F65" s="43">
        <v>1100.0</v>
      </c>
      <c r="G65" s="44">
        <f t="shared" si="7"/>
        <v>0.2881818182</v>
      </c>
      <c r="H65" s="42">
        <v>13878.96</v>
      </c>
      <c r="I65" s="71">
        <f t="shared" si="8"/>
        <v>43.7822082</v>
      </c>
      <c r="J65" s="42">
        <v>929.29</v>
      </c>
      <c r="K65" s="71">
        <f t="shared" si="9"/>
        <v>2.931514196</v>
      </c>
      <c r="L65" s="43">
        <f>14500</f>
        <v>14500</v>
      </c>
      <c r="M65" s="48">
        <f t="shared" si="25"/>
        <v>1.044746869</v>
      </c>
      <c r="N65" s="72">
        <f t="shared" ref="N65:O65" si="78">Q65+U65</f>
        <v>-11323.9</v>
      </c>
      <c r="O65" s="43">
        <f t="shared" si="78"/>
        <v>929.29</v>
      </c>
      <c r="P65" s="73">
        <f t="shared" si="12"/>
        <v>-10394.61</v>
      </c>
      <c r="Q65" s="51">
        <f t="shared" si="13"/>
        <v>-5661.95</v>
      </c>
      <c r="R65" s="52">
        <f t="shared" si="14"/>
        <v>650.503</v>
      </c>
      <c r="S65" s="53">
        <f t="shared" si="15"/>
        <v>260.2012</v>
      </c>
      <c r="T65" s="54">
        <f t="shared" si="16"/>
        <v>-5271.6482</v>
      </c>
      <c r="U65" s="72">
        <f t="shared" si="17"/>
        <v>-5661.95</v>
      </c>
      <c r="V65" s="43">
        <f t="shared" si="18"/>
        <v>278.787</v>
      </c>
      <c r="W65" s="73">
        <f t="shared" si="19"/>
        <v>-5383.163</v>
      </c>
      <c r="X65" s="55">
        <v>-11323.9</v>
      </c>
    </row>
    <row r="66" ht="15.75" customHeight="1">
      <c r="A66" s="56">
        <f t="shared" si="74"/>
        <v>60</v>
      </c>
      <c r="B66" s="57" t="s">
        <v>88</v>
      </c>
      <c r="C66" s="58">
        <v>45591.0</v>
      </c>
      <c r="D66" s="76">
        <f t="shared" si="6"/>
        <v>45591</v>
      </c>
      <c r="E66" s="59">
        <v>359.0</v>
      </c>
      <c r="F66" s="43">
        <v>1100.0</v>
      </c>
      <c r="G66" s="61">
        <f t="shared" si="7"/>
        <v>0.3263636364</v>
      </c>
      <c r="H66" s="59">
        <v>15900.6</v>
      </c>
      <c r="I66" s="62">
        <f t="shared" si="8"/>
        <v>44.2913649</v>
      </c>
      <c r="J66" s="59">
        <v>2331.76</v>
      </c>
      <c r="K66" s="62">
        <f t="shared" si="9"/>
        <v>6.495153203</v>
      </c>
      <c r="L66" s="60">
        <f>2500</f>
        <v>2500</v>
      </c>
      <c r="M66" s="63">
        <f t="shared" si="25"/>
        <v>0.1572267713</v>
      </c>
      <c r="N66" s="64">
        <f t="shared" ref="N66:O66" si="79">Q66+U66</f>
        <v>4165.54</v>
      </c>
      <c r="O66" s="60">
        <f t="shared" si="79"/>
        <v>2331.76</v>
      </c>
      <c r="P66" s="65">
        <f t="shared" si="12"/>
        <v>6497.3</v>
      </c>
      <c r="Q66" s="66">
        <f t="shared" si="13"/>
        <v>2082.77</v>
      </c>
      <c r="R66" s="67">
        <f t="shared" si="14"/>
        <v>1632.232</v>
      </c>
      <c r="S66" s="68">
        <f t="shared" si="15"/>
        <v>652.8928</v>
      </c>
      <c r="T66" s="69">
        <f t="shared" si="16"/>
        <v>3062.1092</v>
      </c>
      <c r="U66" s="64">
        <f t="shared" si="17"/>
        <v>2082.77</v>
      </c>
      <c r="V66" s="60">
        <f t="shared" si="18"/>
        <v>699.528</v>
      </c>
      <c r="W66" s="65">
        <f t="shared" si="19"/>
        <v>2782.298</v>
      </c>
      <c r="X66" s="55">
        <v>4165.54</v>
      </c>
    </row>
    <row r="67" ht="15.75" customHeight="1">
      <c r="A67" s="38">
        <f t="shared" si="74"/>
        <v>61</v>
      </c>
      <c r="B67" s="39" t="s">
        <v>89</v>
      </c>
      <c r="C67" s="40">
        <v>45595.0</v>
      </c>
      <c r="D67" s="41">
        <f t="shared" si="6"/>
        <v>45595</v>
      </c>
      <c r="E67" s="42">
        <v>275.0</v>
      </c>
      <c r="F67" s="43">
        <v>1100.0</v>
      </c>
      <c r="G67" s="44">
        <f t="shared" si="7"/>
        <v>0.25</v>
      </c>
      <c r="H67" s="42">
        <v>32508.5</v>
      </c>
      <c r="I67" s="71">
        <f t="shared" si="8"/>
        <v>118.2127273</v>
      </c>
      <c r="J67" s="42">
        <v>8689.1</v>
      </c>
      <c r="K67" s="71">
        <f t="shared" si="9"/>
        <v>31.59672727</v>
      </c>
      <c r="L67" s="43">
        <f>10829</f>
        <v>10829</v>
      </c>
      <c r="M67" s="48">
        <f t="shared" si="25"/>
        <v>0.3331128782</v>
      </c>
      <c r="N67" s="72">
        <f t="shared" ref="N67:O67" si="80">Q67+U67</f>
        <v>10597.11</v>
      </c>
      <c r="O67" s="43">
        <f t="shared" si="80"/>
        <v>8689.1</v>
      </c>
      <c r="P67" s="73">
        <f t="shared" si="12"/>
        <v>19286.21</v>
      </c>
      <c r="Q67" s="51">
        <f t="shared" si="13"/>
        <v>5298.555</v>
      </c>
      <c r="R67" s="52">
        <f t="shared" si="14"/>
        <v>6082.37</v>
      </c>
      <c r="S67" s="53">
        <f t="shared" si="15"/>
        <v>2432.948</v>
      </c>
      <c r="T67" s="54">
        <f t="shared" si="16"/>
        <v>8947.977</v>
      </c>
      <c r="U67" s="72">
        <f t="shared" si="17"/>
        <v>5298.555</v>
      </c>
      <c r="V67" s="43">
        <f t="shared" si="18"/>
        <v>2606.73</v>
      </c>
      <c r="W67" s="73">
        <f t="shared" si="19"/>
        <v>7905.285</v>
      </c>
      <c r="X67" s="55">
        <v>10597.11</v>
      </c>
    </row>
    <row r="68" ht="15.75" customHeight="1">
      <c r="A68" s="56">
        <f t="shared" si="74"/>
        <v>62</v>
      </c>
      <c r="B68" s="57" t="s">
        <v>90</v>
      </c>
      <c r="C68" s="58">
        <v>45595.0</v>
      </c>
      <c r="D68" s="76">
        <f t="shared" si="6"/>
        <v>45595</v>
      </c>
      <c r="E68" s="59">
        <v>336.0</v>
      </c>
      <c r="F68" s="42">
        <v>750.0</v>
      </c>
      <c r="G68" s="61">
        <f t="shared" si="7"/>
        <v>0.448</v>
      </c>
      <c r="H68" s="59">
        <v>11636.6</v>
      </c>
      <c r="I68" s="62">
        <f t="shared" si="8"/>
        <v>34.6327381</v>
      </c>
      <c r="J68" s="59">
        <v>4478.89</v>
      </c>
      <c r="K68" s="62">
        <f t="shared" si="9"/>
        <v>13.33002976</v>
      </c>
      <c r="L68" s="60">
        <f>7500+500</f>
        <v>8000</v>
      </c>
      <c r="M68" s="63">
        <f t="shared" si="25"/>
        <v>0.6874860354</v>
      </c>
      <c r="N68" s="64">
        <f t="shared" ref="N68:O68" si="81">Q68+U68</f>
        <v>-2274.85</v>
      </c>
      <c r="O68" s="60">
        <f t="shared" si="81"/>
        <v>4478.89</v>
      </c>
      <c r="P68" s="65">
        <f t="shared" si="12"/>
        <v>2204.04</v>
      </c>
      <c r="Q68" s="66">
        <f t="shared" si="13"/>
        <v>-1137.425</v>
      </c>
      <c r="R68" s="67">
        <f t="shared" si="14"/>
        <v>3135.223</v>
      </c>
      <c r="S68" s="68">
        <f t="shared" si="15"/>
        <v>1254.0892</v>
      </c>
      <c r="T68" s="69">
        <f t="shared" si="16"/>
        <v>743.7088</v>
      </c>
      <c r="U68" s="64">
        <f t="shared" si="17"/>
        <v>-1137.425</v>
      </c>
      <c r="V68" s="60">
        <f t="shared" si="18"/>
        <v>1343.667</v>
      </c>
      <c r="W68" s="65">
        <f t="shared" si="19"/>
        <v>206.242</v>
      </c>
      <c r="X68" s="55">
        <v>-2274.85</v>
      </c>
    </row>
    <row r="69" ht="15.75" customHeight="1">
      <c r="A69" s="38">
        <f t="shared" si="74"/>
        <v>63</v>
      </c>
      <c r="B69" s="39" t="s">
        <v>91</v>
      </c>
      <c r="C69" s="40">
        <v>45598.0</v>
      </c>
      <c r="D69" s="41">
        <f t="shared" si="6"/>
        <v>45598</v>
      </c>
      <c r="E69" s="42">
        <v>845.0</v>
      </c>
      <c r="F69" s="43">
        <v>1100.0</v>
      </c>
      <c r="G69" s="44">
        <f t="shared" si="7"/>
        <v>0.7681818182</v>
      </c>
      <c r="H69" s="42">
        <v>33552.88</v>
      </c>
      <c r="I69" s="71">
        <f t="shared" si="8"/>
        <v>39.7075503</v>
      </c>
      <c r="J69" s="42">
        <v>14934.94</v>
      </c>
      <c r="K69" s="71">
        <f t="shared" si="9"/>
        <v>17.67448521</v>
      </c>
      <c r="L69" s="43">
        <f>13039+1000</f>
        <v>14039</v>
      </c>
      <c r="M69" s="48">
        <f t="shared" si="25"/>
        <v>0.418414157</v>
      </c>
      <c r="N69" s="72">
        <f t="shared" ref="N69:O69" si="82">Q69+U69</f>
        <v>9039.65</v>
      </c>
      <c r="O69" s="43">
        <f t="shared" si="82"/>
        <v>14934.94</v>
      </c>
      <c r="P69" s="73">
        <f t="shared" si="12"/>
        <v>23974.59</v>
      </c>
      <c r="Q69" s="51">
        <f t="shared" si="13"/>
        <v>4519.825</v>
      </c>
      <c r="R69" s="52">
        <f t="shared" si="14"/>
        <v>10454.458</v>
      </c>
      <c r="S69" s="53">
        <f t="shared" si="15"/>
        <v>4181.7832</v>
      </c>
      <c r="T69" s="54">
        <f t="shared" si="16"/>
        <v>10792.4998</v>
      </c>
      <c r="U69" s="72">
        <f t="shared" si="17"/>
        <v>4519.825</v>
      </c>
      <c r="V69" s="43">
        <f t="shared" si="18"/>
        <v>4480.482</v>
      </c>
      <c r="W69" s="73">
        <f t="shared" si="19"/>
        <v>9000.307</v>
      </c>
      <c r="X69" s="55">
        <v>9039.65</v>
      </c>
    </row>
    <row r="70" ht="15.75" customHeight="1">
      <c r="A70" s="56">
        <f t="shared" si="74"/>
        <v>64</v>
      </c>
      <c r="B70" s="57" t="s">
        <v>92</v>
      </c>
      <c r="C70" s="58">
        <v>45602.0</v>
      </c>
      <c r="D70" s="76">
        <f t="shared" si="6"/>
        <v>45602</v>
      </c>
      <c r="E70" s="59">
        <v>543.0</v>
      </c>
      <c r="F70" s="43">
        <v>1100.0</v>
      </c>
      <c r="G70" s="61">
        <f t="shared" si="7"/>
        <v>0.4936363636</v>
      </c>
      <c r="H70" s="59">
        <v>23513.23</v>
      </c>
      <c r="I70" s="62">
        <f t="shared" si="8"/>
        <v>43.30244936</v>
      </c>
      <c r="J70" s="59">
        <v>8076.57</v>
      </c>
      <c r="K70" s="62">
        <f t="shared" si="9"/>
        <v>14.8739779</v>
      </c>
      <c r="L70" s="60">
        <f>14500+500+750</f>
        <v>15750</v>
      </c>
      <c r="M70" s="63">
        <f t="shared" si="25"/>
        <v>0.6698356627</v>
      </c>
      <c r="N70" s="64">
        <f t="shared" ref="N70:O70" si="83">Q70+U70</f>
        <v>-1562.26</v>
      </c>
      <c r="O70" s="60">
        <f t="shared" si="83"/>
        <v>8076.57</v>
      </c>
      <c r="P70" s="65">
        <f t="shared" si="12"/>
        <v>6514.31</v>
      </c>
      <c r="Q70" s="66">
        <f t="shared" si="13"/>
        <v>-781.13</v>
      </c>
      <c r="R70" s="67">
        <f t="shared" si="14"/>
        <v>5653.599</v>
      </c>
      <c r="S70" s="68">
        <f t="shared" si="15"/>
        <v>2261.4396</v>
      </c>
      <c r="T70" s="69">
        <f t="shared" si="16"/>
        <v>2611.0294</v>
      </c>
      <c r="U70" s="64">
        <f t="shared" si="17"/>
        <v>-781.13</v>
      </c>
      <c r="V70" s="60">
        <f t="shared" si="18"/>
        <v>2422.971</v>
      </c>
      <c r="W70" s="65">
        <f t="shared" si="19"/>
        <v>1641.841</v>
      </c>
      <c r="X70" s="55">
        <v>-1562.26</v>
      </c>
    </row>
    <row r="71" ht="15.75" customHeight="1">
      <c r="A71" s="38">
        <f t="shared" si="74"/>
        <v>65</v>
      </c>
      <c r="B71" s="39" t="s">
        <v>93</v>
      </c>
      <c r="C71" s="40">
        <v>45603.0</v>
      </c>
      <c r="D71" s="41">
        <f t="shared" si="6"/>
        <v>45603</v>
      </c>
      <c r="E71" s="42">
        <v>668.0</v>
      </c>
      <c r="F71" s="43">
        <v>1100.0</v>
      </c>
      <c r="G71" s="44">
        <f t="shared" si="7"/>
        <v>0.6072727273</v>
      </c>
      <c r="H71" s="42">
        <v>30376.09</v>
      </c>
      <c r="I71" s="71">
        <f t="shared" si="8"/>
        <v>45.47318862</v>
      </c>
      <c r="J71" s="42">
        <v>11585.52</v>
      </c>
      <c r="K71" s="71">
        <f t="shared" si="9"/>
        <v>17.34359281</v>
      </c>
      <c r="L71" s="43">
        <f>22500+1000</f>
        <v>23500</v>
      </c>
      <c r="M71" s="48">
        <f t="shared" si="25"/>
        <v>0.7736347897</v>
      </c>
      <c r="N71" s="72">
        <f t="shared" ref="N71:O71" si="84">Q71+U71</f>
        <v>-5518.01</v>
      </c>
      <c r="O71" s="43">
        <f t="shared" si="84"/>
        <v>11585.52</v>
      </c>
      <c r="P71" s="73">
        <f t="shared" si="12"/>
        <v>6067.51</v>
      </c>
      <c r="Q71" s="51">
        <f t="shared" si="13"/>
        <v>-2759.005</v>
      </c>
      <c r="R71" s="52">
        <f t="shared" si="14"/>
        <v>8109.864</v>
      </c>
      <c r="S71" s="53">
        <f t="shared" si="15"/>
        <v>3243.9456</v>
      </c>
      <c r="T71" s="54">
        <f t="shared" si="16"/>
        <v>2106.9134</v>
      </c>
      <c r="U71" s="72">
        <f t="shared" si="17"/>
        <v>-2759.005</v>
      </c>
      <c r="V71" s="43">
        <f t="shared" si="18"/>
        <v>3475.656</v>
      </c>
      <c r="W71" s="73">
        <f t="shared" si="19"/>
        <v>716.651</v>
      </c>
      <c r="X71" s="55">
        <v>-5518.01</v>
      </c>
    </row>
    <row r="72" ht="15.75" customHeight="1">
      <c r="A72" s="56">
        <f t="shared" si="74"/>
        <v>66</v>
      </c>
      <c r="B72" s="57" t="s">
        <v>94</v>
      </c>
      <c r="C72" s="58">
        <v>45605.0</v>
      </c>
      <c r="D72" s="76">
        <f t="shared" si="6"/>
        <v>45605</v>
      </c>
      <c r="E72" s="59">
        <v>638.0</v>
      </c>
      <c r="F72" s="43">
        <v>1100.0</v>
      </c>
      <c r="G72" s="61">
        <f t="shared" si="7"/>
        <v>0.58</v>
      </c>
      <c r="H72" s="59">
        <v>22002.07</v>
      </c>
      <c r="I72" s="62">
        <f t="shared" si="8"/>
        <v>34.48600313</v>
      </c>
      <c r="J72" s="59">
        <v>7538.15</v>
      </c>
      <c r="K72" s="62">
        <f t="shared" si="9"/>
        <v>11.81528213</v>
      </c>
      <c r="L72" s="60">
        <f>5805+645+750+300</f>
        <v>7500</v>
      </c>
      <c r="M72" s="63">
        <f t="shared" si="25"/>
        <v>0.3408770175</v>
      </c>
      <c r="N72" s="64">
        <f t="shared" ref="N72:O72" si="85">Q72+U72</f>
        <v>4730.98</v>
      </c>
      <c r="O72" s="60">
        <f t="shared" si="85"/>
        <v>7538.15</v>
      </c>
      <c r="P72" s="65">
        <f t="shared" si="12"/>
        <v>12269.13</v>
      </c>
      <c r="Q72" s="66">
        <f t="shared" si="13"/>
        <v>2365.49</v>
      </c>
      <c r="R72" s="67">
        <f t="shared" si="14"/>
        <v>5276.705</v>
      </c>
      <c r="S72" s="68">
        <f t="shared" si="15"/>
        <v>2110.682</v>
      </c>
      <c r="T72" s="69">
        <f t="shared" si="16"/>
        <v>5531.513</v>
      </c>
      <c r="U72" s="64">
        <f t="shared" si="17"/>
        <v>2365.49</v>
      </c>
      <c r="V72" s="60">
        <f t="shared" si="18"/>
        <v>2261.445</v>
      </c>
      <c r="W72" s="65">
        <f t="shared" si="19"/>
        <v>4626.935</v>
      </c>
      <c r="X72" s="55">
        <v>4730.98</v>
      </c>
    </row>
    <row r="73" ht="15.75" customHeight="1">
      <c r="A73" s="38">
        <f t="shared" si="74"/>
        <v>67</v>
      </c>
      <c r="B73" s="39" t="s">
        <v>95</v>
      </c>
      <c r="C73" s="40">
        <v>45606.0</v>
      </c>
      <c r="D73" s="41">
        <f t="shared" si="6"/>
        <v>45606</v>
      </c>
      <c r="E73" s="42">
        <v>398.0</v>
      </c>
      <c r="F73" s="43">
        <v>1100.0</v>
      </c>
      <c r="G73" s="44">
        <f t="shared" si="7"/>
        <v>0.3618181818</v>
      </c>
      <c r="H73" s="42">
        <v>16093.58</v>
      </c>
      <c r="I73" s="71">
        <f t="shared" si="8"/>
        <v>40.43613065</v>
      </c>
      <c r="J73" s="42">
        <v>3928.02</v>
      </c>
      <c r="K73" s="71">
        <f t="shared" si="9"/>
        <v>9.869396985</v>
      </c>
      <c r="L73" s="43">
        <f>10000+500</f>
        <v>10500</v>
      </c>
      <c r="M73" s="48">
        <f t="shared" si="25"/>
        <v>0.6524340762</v>
      </c>
      <c r="N73" s="72">
        <f t="shared" ref="N73:O73" si="86">Q73+U73</f>
        <v>-3453.71</v>
      </c>
      <c r="O73" s="43">
        <f t="shared" si="86"/>
        <v>3928.02</v>
      </c>
      <c r="P73" s="73">
        <f t="shared" si="12"/>
        <v>474.31</v>
      </c>
      <c r="Q73" s="51">
        <f t="shared" si="13"/>
        <v>-1726.855</v>
      </c>
      <c r="R73" s="52">
        <f t="shared" si="14"/>
        <v>2749.614</v>
      </c>
      <c r="S73" s="53">
        <f t="shared" si="15"/>
        <v>1099.8456</v>
      </c>
      <c r="T73" s="54">
        <f t="shared" si="16"/>
        <v>-77.0866</v>
      </c>
      <c r="U73" s="72">
        <f t="shared" si="17"/>
        <v>-1726.855</v>
      </c>
      <c r="V73" s="43">
        <f t="shared" si="18"/>
        <v>1178.406</v>
      </c>
      <c r="W73" s="73">
        <f t="shared" si="19"/>
        <v>-548.449</v>
      </c>
      <c r="X73" s="55">
        <v>-3453.71</v>
      </c>
    </row>
    <row r="74" ht="15.75" customHeight="1">
      <c r="A74" s="56">
        <f t="shared" si="74"/>
        <v>68</v>
      </c>
      <c r="B74" s="57" t="s">
        <v>96</v>
      </c>
      <c r="C74" s="58">
        <v>45610.0</v>
      </c>
      <c r="D74" s="76">
        <f t="shared" si="6"/>
        <v>45610</v>
      </c>
      <c r="E74" s="59">
        <v>255.0</v>
      </c>
      <c r="F74" s="43">
        <v>1100.0</v>
      </c>
      <c r="G74" s="61">
        <f t="shared" si="7"/>
        <v>0.2318181818</v>
      </c>
      <c r="H74" s="59">
        <v>8150.91</v>
      </c>
      <c r="I74" s="62">
        <f t="shared" si="8"/>
        <v>31.96435294</v>
      </c>
      <c r="J74" s="59">
        <v>3159.32</v>
      </c>
      <c r="K74" s="62">
        <f t="shared" si="9"/>
        <v>12.3894902</v>
      </c>
      <c r="L74" s="60">
        <f>9000+500</f>
        <v>9500</v>
      </c>
      <c r="M74" s="63">
        <f t="shared" si="25"/>
        <v>1.165514035</v>
      </c>
      <c r="N74" s="64">
        <f t="shared" ref="N74:O74" si="87">Q74+U74</f>
        <v>-9921.6</v>
      </c>
      <c r="O74" s="60">
        <f t="shared" si="87"/>
        <v>3159.32</v>
      </c>
      <c r="P74" s="65">
        <f t="shared" si="12"/>
        <v>-6762.28</v>
      </c>
      <c r="Q74" s="66">
        <f t="shared" si="13"/>
        <v>-4960.8</v>
      </c>
      <c r="R74" s="67">
        <f t="shared" si="14"/>
        <v>2211.524</v>
      </c>
      <c r="S74" s="68">
        <f t="shared" si="15"/>
        <v>884.6096</v>
      </c>
      <c r="T74" s="69">
        <f t="shared" si="16"/>
        <v>-3633.8856</v>
      </c>
      <c r="U74" s="64">
        <f t="shared" si="17"/>
        <v>-4960.8</v>
      </c>
      <c r="V74" s="60">
        <f t="shared" si="18"/>
        <v>947.796</v>
      </c>
      <c r="W74" s="65">
        <f t="shared" si="19"/>
        <v>-4013.004</v>
      </c>
      <c r="X74" s="55">
        <v>-9921.6</v>
      </c>
    </row>
    <row r="75" ht="15.75" customHeight="1">
      <c r="A75" s="38">
        <f t="shared" si="74"/>
        <v>69</v>
      </c>
      <c r="B75" s="39" t="s">
        <v>97</v>
      </c>
      <c r="C75" s="40">
        <v>45611.0</v>
      </c>
      <c r="D75" s="41">
        <f t="shared" si="6"/>
        <v>45611</v>
      </c>
      <c r="E75" s="42">
        <v>1115.0</v>
      </c>
      <c r="F75" s="43">
        <v>1100.0</v>
      </c>
      <c r="G75" s="44">
        <f t="shared" si="7"/>
        <v>1.013636364</v>
      </c>
      <c r="H75" s="42">
        <v>42495.49</v>
      </c>
      <c r="I75" s="71">
        <f t="shared" si="8"/>
        <v>38.11254709</v>
      </c>
      <c r="J75" s="42">
        <v>3786.89</v>
      </c>
      <c r="K75" s="71">
        <f t="shared" si="9"/>
        <v>3.396313901</v>
      </c>
      <c r="L75" s="43">
        <f>15000</f>
        <v>15000</v>
      </c>
      <c r="M75" s="48">
        <f t="shared" si="25"/>
        <v>0.3529786337</v>
      </c>
      <c r="N75" s="72">
        <f t="shared" ref="N75:O75" si="88">Q75+U75</f>
        <v>15535.67</v>
      </c>
      <c r="O75" s="43">
        <f t="shared" si="88"/>
        <v>3786.89</v>
      </c>
      <c r="P75" s="73">
        <f t="shared" si="12"/>
        <v>19322.56</v>
      </c>
      <c r="Q75" s="51">
        <f t="shared" si="13"/>
        <v>7767.835</v>
      </c>
      <c r="R75" s="52">
        <f t="shared" si="14"/>
        <v>2650.823</v>
      </c>
      <c r="S75" s="53">
        <f t="shared" si="15"/>
        <v>1060.3292</v>
      </c>
      <c r="T75" s="54">
        <f t="shared" si="16"/>
        <v>9358.3288</v>
      </c>
      <c r="U75" s="72">
        <f t="shared" si="17"/>
        <v>7767.835</v>
      </c>
      <c r="V75" s="43">
        <f t="shared" si="18"/>
        <v>1136.067</v>
      </c>
      <c r="W75" s="73">
        <f t="shared" si="19"/>
        <v>8903.902</v>
      </c>
      <c r="X75" s="55">
        <v>15535.67</v>
      </c>
    </row>
    <row r="76" ht="15.75" customHeight="1">
      <c r="A76" s="56">
        <f t="shared" si="74"/>
        <v>70</v>
      </c>
      <c r="B76" s="57" t="s">
        <v>98</v>
      </c>
      <c r="C76" s="58">
        <v>45612.0</v>
      </c>
      <c r="D76" s="76">
        <f t="shared" si="6"/>
        <v>45612</v>
      </c>
      <c r="E76" s="59">
        <v>400.0</v>
      </c>
      <c r="F76" s="43">
        <v>1100.0</v>
      </c>
      <c r="G76" s="61">
        <f t="shared" si="7"/>
        <v>0.3636363636</v>
      </c>
      <c r="H76" s="59">
        <v>31693.35</v>
      </c>
      <c r="I76" s="62">
        <f t="shared" si="8"/>
        <v>79.233375</v>
      </c>
      <c r="J76" s="59">
        <v>8229.44</v>
      </c>
      <c r="K76" s="62">
        <f t="shared" si="9"/>
        <v>20.5736</v>
      </c>
      <c r="L76" s="60">
        <f>22950</f>
        <v>22950</v>
      </c>
      <c r="M76" s="63">
        <f t="shared" si="25"/>
        <v>0.7241266701</v>
      </c>
      <c r="N76" s="64">
        <f t="shared" ref="N76:O76" si="89">Q76+U76</f>
        <v>7639.19</v>
      </c>
      <c r="O76" s="60">
        <f t="shared" si="89"/>
        <v>8229.44</v>
      </c>
      <c r="P76" s="65">
        <f t="shared" si="12"/>
        <v>15868.63</v>
      </c>
      <c r="Q76" s="66">
        <f t="shared" si="13"/>
        <v>3819.595</v>
      </c>
      <c r="R76" s="67">
        <f t="shared" si="14"/>
        <v>5760.608</v>
      </c>
      <c r="S76" s="68">
        <f t="shared" si="15"/>
        <v>2304.2432</v>
      </c>
      <c r="T76" s="69">
        <f t="shared" si="16"/>
        <v>7275.9598</v>
      </c>
      <c r="U76" s="64">
        <f t="shared" si="17"/>
        <v>3819.595</v>
      </c>
      <c r="V76" s="60">
        <f t="shared" si="18"/>
        <v>2468.832</v>
      </c>
      <c r="W76" s="65">
        <f t="shared" si="19"/>
        <v>6288.427</v>
      </c>
      <c r="X76" s="55">
        <v>7639.19</v>
      </c>
    </row>
    <row r="77" ht="15.75" customHeight="1">
      <c r="A77" s="38">
        <f t="shared" si="74"/>
        <v>71</v>
      </c>
      <c r="B77" s="39" t="s">
        <v>99</v>
      </c>
      <c r="C77" s="40">
        <v>45618.0</v>
      </c>
      <c r="D77" s="41">
        <f t="shared" si="6"/>
        <v>45618</v>
      </c>
      <c r="E77" s="42">
        <v>951.0</v>
      </c>
      <c r="F77" s="43">
        <v>1100.0</v>
      </c>
      <c r="G77" s="44">
        <f t="shared" si="7"/>
        <v>0.8645454545</v>
      </c>
      <c r="H77" s="42">
        <v>54986.63</v>
      </c>
      <c r="I77" s="71">
        <f t="shared" si="8"/>
        <v>57.81980021</v>
      </c>
      <c r="J77" s="42">
        <v>16612.47</v>
      </c>
      <c r="K77" s="71">
        <f t="shared" si="9"/>
        <v>17.46842271</v>
      </c>
      <c r="L77" s="43">
        <f>20000+4950+550+3150+350</f>
        <v>29000</v>
      </c>
      <c r="M77" s="48">
        <f t="shared" si="25"/>
        <v>0.5274009336</v>
      </c>
      <c r="N77" s="72">
        <f t="shared" ref="N77:O77" si="90">Q77+U77</f>
        <v>8774.6</v>
      </c>
      <c r="O77" s="43">
        <f t="shared" si="90"/>
        <v>16612.47</v>
      </c>
      <c r="P77" s="73">
        <f t="shared" si="12"/>
        <v>25387.07</v>
      </c>
      <c r="Q77" s="51">
        <f t="shared" si="13"/>
        <v>4387.3</v>
      </c>
      <c r="R77" s="52">
        <f t="shared" si="14"/>
        <v>11628.729</v>
      </c>
      <c r="S77" s="53">
        <f t="shared" si="15"/>
        <v>4651.4916</v>
      </c>
      <c r="T77" s="54">
        <f t="shared" si="16"/>
        <v>11364.5374</v>
      </c>
      <c r="U77" s="72">
        <f t="shared" si="17"/>
        <v>4387.3</v>
      </c>
      <c r="V77" s="43">
        <f t="shared" si="18"/>
        <v>4983.741</v>
      </c>
      <c r="W77" s="73">
        <f t="shared" si="19"/>
        <v>9371.041</v>
      </c>
      <c r="X77" s="55">
        <v>8774.6</v>
      </c>
    </row>
    <row r="78" ht="15.75" customHeight="1">
      <c r="A78" s="56">
        <f t="shared" si="74"/>
        <v>72</v>
      </c>
      <c r="B78" s="57" t="s">
        <v>100</v>
      </c>
      <c r="C78" s="58">
        <v>45619.0</v>
      </c>
      <c r="D78" s="76">
        <f t="shared" si="6"/>
        <v>45619</v>
      </c>
      <c r="E78" s="59">
        <v>486.0</v>
      </c>
      <c r="F78" s="43">
        <v>1100.0</v>
      </c>
      <c r="G78" s="61">
        <f t="shared" si="7"/>
        <v>0.4418181818</v>
      </c>
      <c r="H78" s="59">
        <v>23301.76</v>
      </c>
      <c r="I78" s="62">
        <f t="shared" si="8"/>
        <v>47.94600823</v>
      </c>
      <c r="J78" s="59">
        <v>2779.5</v>
      </c>
      <c r="K78" s="62">
        <f t="shared" si="9"/>
        <v>5.719135802</v>
      </c>
      <c r="L78" s="60">
        <f>15000+500</f>
        <v>15500</v>
      </c>
      <c r="M78" s="63">
        <f t="shared" si="25"/>
        <v>0.6651858057</v>
      </c>
      <c r="N78" s="64">
        <f t="shared" ref="N78:O78" si="91">Q78+U78</f>
        <v>-8060.23</v>
      </c>
      <c r="O78" s="60">
        <f t="shared" si="91"/>
        <v>2779.5</v>
      </c>
      <c r="P78" s="65">
        <f t="shared" si="12"/>
        <v>-5280.73</v>
      </c>
      <c r="Q78" s="66">
        <f t="shared" si="13"/>
        <v>-4030.115</v>
      </c>
      <c r="R78" s="67">
        <f t="shared" si="14"/>
        <v>1945.65</v>
      </c>
      <c r="S78" s="68">
        <f t="shared" si="15"/>
        <v>778.26</v>
      </c>
      <c r="T78" s="69">
        <f t="shared" si="16"/>
        <v>-2862.725</v>
      </c>
      <c r="U78" s="64">
        <f t="shared" si="17"/>
        <v>-4030.115</v>
      </c>
      <c r="V78" s="60">
        <f t="shared" si="18"/>
        <v>833.85</v>
      </c>
      <c r="W78" s="65">
        <f t="shared" si="19"/>
        <v>-3196.265</v>
      </c>
      <c r="X78" s="55">
        <v>-8060.23</v>
      </c>
    </row>
    <row r="79" ht="15.75" customHeight="1">
      <c r="A79" s="38">
        <f t="shared" si="74"/>
        <v>73</v>
      </c>
      <c r="B79" s="39" t="s">
        <v>101</v>
      </c>
      <c r="C79" s="40">
        <v>45620.0</v>
      </c>
      <c r="D79" s="41">
        <f t="shared" si="6"/>
        <v>45620</v>
      </c>
      <c r="E79" s="42">
        <v>453.0</v>
      </c>
      <c r="F79" s="42">
        <v>750.0</v>
      </c>
      <c r="G79" s="44">
        <f t="shared" si="7"/>
        <v>0.604</v>
      </c>
      <c r="H79" s="42">
        <v>18136.34</v>
      </c>
      <c r="I79" s="71">
        <f t="shared" si="8"/>
        <v>40.03607064</v>
      </c>
      <c r="J79" s="42">
        <v>4908.08</v>
      </c>
      <c r="K79" s="71">
        <f t="shared" si="9"/>
        <v>10.83461369</v>
      </c>
      <c r="L79" s="43">
        <f>6000+3150+350+1500+500</f>
        <v>11500</v>
      </c>
      <c r="M79" s="48">
        <f t="shared" si="25"/>
        <v>0.6340860394</v>
      </c>
      <c r="N79" s="72">
        <f t="shared" ref="N79:O79" si="92">Q79+U79</f>
        <v>-1839.6</v>
      </c>
      <c r="O79" s="43">
        <f t="shared" si="92"/>
        <v>4908.08</v>
      </c>
      <c r="P79" s="73">
        <f t="shared" si="12"/>
        <v>3068.48</v>
      </c>
      <c r="Q79" s="51">
        <f t="shared" si="13"/>
        <v>-919.8</v>
      </c>
      <c r="R79" s="52">
        <f t="shared" si="14"/>
        <v>3435.656</v>
      </c>
      <c r="S79" s="53">
        <f t="shared" si="15"/>
        <v>1374.2624</v>
      </c>
      <c r="T79" s="54">
        <f t="shared" si="16"/>
        <v>1141.5936</v>
      </c>
      <c r="U79" s="72">
        <f t="shared" si="17"/>
        <v>-919.8</v>
      </c>
      <c r="V79" s="43">
        <f t="shared" si="18"/>
        <v>1472.424</v>
      </c>
      <c r="W79" s="73">
        <f t="shared" si="19"/>
        <v>552.624</v>
      </c>
      <c r="X79" s="55">
        <v>-1839.6</v>
      </c>
    </row>
    <row r="80" ht="15.75" customHeight="1">
      <c r="A80" s="56">
        <f t="shared" si="74"/>
        <v>74</v>
      </c>
      <c r="B80" s="57" t="s">
        <v>102</v>
      </c>
      <c r="C80" s="58">
        <v>45625.0</v>
      </c>
      <c r="D80" s="76">
        <f t="shared" si="6"/>
        <v>45625</v>
      </c>
      <c r="E80" s="59">
        <v>535.0</v>
      </c>
      <c r="F80" s="43">
        <v>1100.0</v>
      </c>
      <c r="G80" s="61">
        <f t="shared" si="7"/>
        <v>0.4863636364</v>
      </c>
      <c r="H80" s="59">
        <v>20569.74</v>
      </c>
      <c r="I80" s="62">
        <f t="shared" si="8"/>
        <v>38.44811215</v>
      </c>
      <c r="J80" s="59">
        <v>5947.05</v>
      </c>
      <c r="K80" s="62">
        <f t="shared" si="9"/>
        <v>11.11598131</v>
      </c>
      <c r="L80" s="60">
        <f>13500+100+750</f>
        <v>14350</v>
      </c>
      <c r="M80" s="63">
        <f t="shared" si="25"/>
        <v>0.697626708</v>
      </c>
      <c r="N80" s="64">
        <f t="shared" ref="N80:O80" si="93">Q80+U80</f>
        <v>-5160.79</v>
      </c>
      <c r="O80" s="60">
        <f t="shared" si="93"/>
        <v>5947.05</v>
      </c>
      <c r="P80" s="65">
        <f t="shared" si="12"/>
        <v>786.26</v>
      </c>
      <c r="Q80" s="66">
        <f t="shared" si="13"/>
        <v>-2580.395</v>
      </c>
      <c r="R80" s="67">
        <f t="shared" si="14"/>
        <v>4162.935</v>
      </c>
      <c r="S80" s="68">
        <f t="shared" si="15"/>
        <v>1665.174</v>
      </c>
      <c r="T80" s="69">
        <f t="shared" si="16"/>
        <v>-82.634</v>
      </c>
      <c r="U80" s="64">
        <f t="shared" si="17"/>
        <v>-2580.395</v>
      </c>
      <c r="V80" s="60">
        <f t="shared" si="18"/>
        <v>1784.115</v>
      </c>
      <c r="W80" s="65">
        <f t="shared" si="19"/>
        <v>-796.28</v>
      </c>
      <c r="X80" s="55">
        <v>-5160.79</v>
      </c>
    </row>
    <row r="81" ht="15.75" customHeight="1">
      <c r="A81" s="38">
        <f t="shared" si="74"/>
        <v>75</v>
      </c>
      <c r="B81" s="39" t="s">
        <v>103</v>
      </c>
      <c r="C81" s="40">
        <v>45644.0</v>
      </c>
      <c r="D81" s="41">
        <f t="shared" si="6"/>
        <v>45644</v>
      </c>
      <c r="E81" s="42">
        <v>1115.0</v>
      </c>
      <c r="F81" s="43">
        <v>1100.0</v>
      </c>
      <c r="G81" s="44">
        <f t="shared" si="7"/>
        <v>1.013636364</v>
      </c>
      <c r="H81" s="42">
        <v>54318.96</v>
      </c>
      <c r="I81" s="71">
        <f t="shared" si="8"/>
        <v>48.71655605</v>
      </c>
      <c r="J81" s="42">
        <v>13011.37</v>
      </c>
      <c r="K81" s="71">
        <f t="shared" si="9"/>
        <v>11.66939013</v>
      </c>
      <c r="L81" s="43">
        <f>30000+450</f>
        <v>30450</v>
      </c>
      <c r="M81" s="48">
        <f t="shared" si="25"/>
        <v>0.560577743</v>
      </c>
      <c r="N81" s="72">
        <f t="shared" ref="N81:O81" si="94">Q81+U81</f>
        <v>11439.24</v>
      </c>
      <c r="O81" s="43">
        <f t="shared" si="94"/>
        <v>13011.37</v>
      </c>
      <c r="P81" s="73">
        <f t="shared" si="12"/>
        <v>24450.61</v>
      </c>
      <c r="Q81" s="51">
        <f t="shared" si="13"/>
        <v>5719.62</v>
      </c>
      <c r="R81" s="52">
        <f t="shared" si="14"/>
        <v>9107.959</v>
      </c>
      <c r="S81" s="53">
        <f t="shared" si="15"/>
        <v>3643.1836</v>
      </c>
      <c r="T81" s="54">
        <f t="shared" si="16"/>
        <v>11184.3954</v>
      </c>
      <c r="U81" s="72">
        <f t="shared" si="17"/>
        <v>5719.62</v>
      </c>
      <c r="V81" s="43">
        <f t="shared" si="18"/>
        <v>3903.411</v>
      </c>
      <c r="W81" s="73">
        <f t="shared" si="19"/>
        <v>9623.031</v>
      </c>
      <c r="X81" s="55">
        <v>11439.24</v>
      </c>
    </row>
    <row r="82" ht="15.75" customHeight="1">
      <c r="A82" s="56">
        <f t="shared" si="74"/>
        <v>76</v>
      </c>
      <c r="B82" s="57" t="s">
        <v>104</v>
      </c>
      <c r="C82" s="58">
        <v>45645.0</v>
      </c>
      <c r="D82" s="76">
        <f t="shared" si="6"/>
        <v>45645</v>
      </c>
      <c r="E82" s="59">
        <v>1.0</v>
      </c>
      <c r="F82" s="43">
        <v>1100.0</v>
      </c>
      <c r="G82" s="61">
        <f t="shared" si="7"/>
        <v>0.0009090909091</v>
      </c>
      <c r="H82" s="59">
        <v>5479.0</v>
      </c>
      <c r="I82" s="62">
        <f t="shared" si="8"/>
        <v>5479</v>
      </c>
      <c r="J82" s="59">
        <v>4177.38</v>
      </c>
      <c r="K82" s="62">
        <f t="shared" si="9"/>
        <v>4177.38</v>
      </c>
      <c r="L82" s="59">
        <v>0.0</v>
      </c>
      <c r="M82" s="63">
        <f t="shared" si="25"/>
        <v>0</v>
      </c>
      <c r="N82" s="64">
        <f t="shared" ref="N82:O82" si="95">Q82+U82</f>
        <v>753.5</v>
      </c>
      <c r="O82" s="60">
        <f t="shared" si="95"/>
        <v>4177.38</v>
      </c>
      <c r="P82" s="65">
        <f t="shared" si="12"/>
        <v>4930.88</v>
      </c>
      <c r="Q82" s="66">
        <f t="shared" si="13"/>
        <v>376.75</v>
      </c>
      <c r="R82" s="67">
        <f t="shared" si="14"/>
        <v>2924.166</v>
      </c>
      <c r="S82" s="68">
        <f t="shared" si="15"/>
        <v>1169.6664</v>
      </c>
      <c r="T82" s="69">
        <f t="shared" si="16"/>
        <v>2131.2496</v>
      </c>
      <c r="U82" s="64">
        <f t="shared" si="17"/>
        <v>376.75</v>
      </c>
      <c r="V82" s="60">
        <f t="shared" si="18"/>
        <v>1253.214</v>
      </c>
      <c r="W82" s="65">
        <f t="shared" si="19"/>
        <v>1629.964</v>
      </c>
      <c r="X82" s="55">
        <v>753.5</v>
      </c>
    </row>
    <row r="83" ht="15.75" customHeight="1">
      <c r="A83" s="38">
        <f t="shared" si="74"/>
        <v>77</v>
      </c>
      <c r="B83" s="39" t="s">
        <v>105</v>
      </c>
      <c r="C83" s="40">
        <v>45646.0</v>
      </c>
      <c r="D83" s="41">
        <f t="shared" si="6"/>
        <v>45646</v>
      </c>
      <c r="E83" s="42">
        <v>1115.0</v>
      </c>
      <c r="F83" s="43">
        <v>1100.0</v>
      </c>
      <c r="G83" s="44">
        <f t="shared" si="7"/>
        <v>1.013636364</v>
      </c>
      <c r="H83" s="42">
        <v>42528.07</v>
      </c>
      <c r="I83" s="71">
        <f t="shared" si="8"/>
        <v>38.14176682</v>
      </c>
      <c r="J83" s="42">
        <v>25853.19</v>
      </c>
      <c r="K83" s="71">
        <f t="shared" si="9"/>
        <v>23.18671749</v>
      </c>
      <c r="L83" s="43">
        <f>8500</f>
        <v>8500</v>
      </c>
      <c r="M83" s="48">
        <f t="shared" si="25"/>
        <v>0.1998679931</v>
      </c>
      <c r="N83" s="72">
        <f t="shared" ref="N83:O83" si="96">Q83+U83</f>
        <v>12732.39</v>
      </c>
      <c r="O83" s="43">
        <f t="shared" si="96"/>
        <v>25853.19</v>
      </c>
      <c r="P83" s="73">
        <f t="shared" si="12"/>
        <v>38585.58</v>
      </c>
      <c r="Q83" s="51">
        <f t="shared" si="13"/>
        <v>6366.195</v>
      </c>
      <c r="R83" s="52">
        <f t="shared" si="14"/>
        <v>18097.233</v>
      </c>
      <c r="S83" s="53">
        <f t="shared" si="15"/>
        <v>7238.8932</v>
      </c>
      <c r="T83" s="54">
        <f t="shared" si="16"/>
        <v>17224.5348</v>
      </c>
      <c r="U83" s="72">
        <f t="shared" si="17"/>
        <v>6366.195</v>
      </c>
      <c r="V83" s="43">
        <f t="shared" si="18"/>
        <v>7755.957</v>
      </c>
      <c r="W83" s="73">
        <f t="shared" si="19"/>
        <v>14122.152</v>
      </c>
      <c r="X83" s="55">
        <v>12732.39</v>
      </c>
    </row>
    <row r="84" ht="15.75" customHeight="1">
      <c r="A84" s="56">
        <f t="shared" si="74"/>
        <v>78</v>
      </c>
      <c r="B84" s="39" t="s">
        <v>106</v>
      </c>
      <c r="C84" s="40">
        <v>45657.0</v>
      </c>
      <c r="D84" s="41">
        <f t="shared" si="6"/>
        <v>45657</v>
      </c>
      <c r="E84" s="42">
        <v>745.0</v>
      </c>
      <c r="F84" s="43">
        <v>1100.0</v>
      </c>
      <c r="G84" s="44">
        <f t="shared" si="7"/>
        <v>0.6772727273</v>
      </c>
      <c r="H84" s="42">
        <v>29558.59</v>
      </c>
      <c r="I84" s="71">
        <f t="shared" si="8"/>
        <v>39.67595973</v>
      </c>
      <c r="J84" s="42">
        <v>18607.93</v>
      </c>
      <c r="K84" s="71">
        <f t="shared" si="9"/>
        <v>24.97708725</v>
      </c>
      <c r="L84" s="42">
        <v>9841.81</v>
      </c>
      <c r="M84" s="48">
        <f t="shared" si="25"/>
        <v>0.3329593868</v>
      </c>
      <c r="N84" s="72">
        <f t="shared" ref="N84:O84" si="97">Q84+U84</f>
        <v>6746.65</v>
      </c>
      <c r="O84" s="43">
        <f t="shared" si="97"/>
        <v>18607.93</v>
      </c>
      <c r="P84" s="73">
        <f t="shared" si="12"/>
        <v>25354.58</v>
      </c>
      <c r="Q84" s="51">
        <f t="shared" si="13"/>
        <v>3373.325</v>
      </c>
      <c r="R84" s="52">
        <f t="shared" si="14"/>
        <v>13025.551</v>
      </c>
      <c r="S84" s="53">
        <f t="shared" si="15"/>
        <v>5210.2204</v>
      </c>
      <c r="T84" s="54">
        <f t="shared" si="16"/>
        <v>11188.6556</v>
      </c>
      <c r="U84" s="72">
        <f t="shared" si="17"/>
        <v>3373.325</v>
      </c>
      <c r="V84" s="43">
        <f t="shared" si="18"/>
        <v>5582.379</v>
      </c>
      <c r="W84" s="73">
        <f t="shared" si="19"/>
        <v>8955.704</v>
      </c>
      <c r="X84" s="55">
        <v>6746.65</v>
      </c>
    </row>
    <row r="85" ht="15.75" customHeight="1">
      <c r="A85" s="56">
        <f t="shared" si="74"/>
        <v>79</v>
      </c>
      <c r="B85" s="77"/>
      <c r="C85" s="78"/>
      <c r="D85" s="41" t="str">
        <f t="shared" si="6"/>
        <v/>
      </c>
      <c r="E85" s="43"/>
      <c r="F85" s="43">
        <v>1100.0</v>
      </c>
      <c r="G85" s="44">
        <f t="shared" si="7"/>
        <v>0</v>
      </c>
      <c r="H85" s="43"/>
      <c r="I85" s="71" t="str">
        <f t="shared" si="8"/>
        <v/>
      </c>
      <c r="J85" s="43"/>
      <c r="K85" s="71" t="str">
        <f t="shared" si="9"/>
        <v/>
      </c>
      <c r="L85" s="43"/>
      <c r="M85" s="48" t="str">
        <f t="shared" si="25"/>
        <v/>
      </c>
      <c r="N85" s="72">
        <f t="shared" ref="N85:O85" si="98">Q85+U85</f>
        <v>0</v>
      </c>
      <c r="O85" s="43">
        <f t="shared" si="98"/>
        <v>0</v>
      </c>
      <c r="P85" s="73">
        <f t="shared" si="12"/>
        <v>0</v>
      </c>
      <c r="Q85" s="51">
        <f t="shared" si="13"/>
        <v>0</v>
      </c>
      <c r="R85" s="52">
        <f t="shared" si="14"/>
        <v>0</v>
      </c>
      <c r="S85" s="53">
        <f t="shared" si="15"/>
        <v>0</v>
      </c>
      <c r="T85" s="54">
        <f t="shared" si="16"/>
        <v>0</v>
      </c>
      <c r="U85" s="72">
        <f t="shared" si="17"/>
        <v>0</v>
      </c>
      <c r="V85" s="43">
        <f t="shared" si="18"/>
        <v>0</v>
      </c>
      <c r="W85" s="73">
        <f t="shared" si="19"/>
        <v>0</v>
      </c>
      <c r="X85" s="79"/>
    </row>
    <row r="86" ht="15.75" customHeight="1">
      <c r="A86" s="56">
        <f t="shared" si="74"/>
        <v>80</v>
      </c>
      <c r="B86" s="77"/>
      <c r="C86" s="78"/>
      <c r="D86" s="41" t="str">
        <f t="shared" si="6"/>
        <v/>
      </c>
      <c r="E86" s="43"/>
      <c r="F86" s="43">
        <v>1100.0</v>
      </c>
      <c r="G86" s="44">
        <f t="shared" si="7"/>
        <v>0</v>
      </c>
      <c r="H86" s="43"/>
      <c r="I86" s="71" t="str">
        <f t="shared" si="8"/>
        <v/>
      </c>
      <c r="J86" s="43"/>
      <c r="K86" s="71" t="str">
        <f t="shared" si="9"/>
        <v/>
      </c>
      <c r="L86" s="43"/>
      <c r="M86" s="48" t="str">
        <f t="shared" si="25"/>
        <v/>
      </c>
      <c r="N86" s="72">
        <f t="shared" ref="N86:O86" si="99">Q86+U86</f>
        <v>0</v>
      </c>
      <c r="O86" s="43">
        <f t="shared" si="99"/>
        <v>0</v>
      </c>
      <c r="P86" s="73">
        <f t="shared" si="12"/>
        <v>0</v>
      </c>
      <c r="Q86" s="51">
        <f t="shared" si="13"/>
        <v>0</v>
      </c>
      <c r="R86" s="52">
        <f t="shared" si="14"/>
        <v>0</v>
      </c>
      <c r="S86" s="53">
        <f t="shared" si="15"/>
        <v>0</v>
      </c>
      <c r="T86" s="54">
        <f t="shared" si="16"/>
        <v>0</v>
      </c>
      <c r="U86" s="72">
        <f t="shared" si="17"/>
        <v>0</v>
      </c>
      <c r="V86" s="43">
        <f t="shared" si="18"/>
        <v>0</v>
      </c>
      <c r="W86" s="73">
        <f t="shared" si="19"/>
        <v>0</v>
      </c>
      <c r="X86" s="79"/>
    </row>
    <row r="87" ht="15.75" customHeight="1">
      <c r="A87" s="56">
        <f t="shared" si="74"/>
        <v>81</v>
      </c>
      <c r="B87" s="77"/>
      <c r="C87" s="78"/>
      <c r="D87" s="41" t="str">
        <f t="shared" si="6"/>
        <v/>
      </c>
      <c r="E87" s="43"/>
      <c r="F87" s="43">
        <v>1100.0</v>
      </c>
      <c r="G87" s="44">
        <f t="shared" si="7"/>
        <v>0</v>
      </c>
      <c r="H87" s="43"/>
      <c r="I87" s="71" t="str">
        <f t="shared" si="8"/>
        <v/>
      </c>
      <c r="J87" s="43"/>
      <c r="K87" s="71" t="str">
        <f t="shared" si="9"/>
        <v/>
      </c>
      <c r="L87" s="43"/>
      <c r="M87" s="48" t="str">
        <f t="shared" si="25"/>
        <v/>
      </c>
      <c r="N87" s="72">
        <f t="shared" ref="N87:O87" si="100">Q87+U87</f>
        <v>0</v>
      </c>
      <c r="O87" s="43">
        <f t="shared" si="100"/>
        <v>0</v>
      </c>
      <c r="P87" s="73">
        <f t="shared" si="12"/>
        <v>0</v>
      </c>
      <c r="Q87" s="51">
        <f t="shared" si="13"/>
        <v>0</v>
      </c>
      <c r="R87" s="52">
        <f t="shared" si="14"/>
        <v>0</v>
      </c>
      <c r="S87" s="53">
        <f t="shared" si="15"/>
        <v>0</v>
      </c>
      <c r="T87" s="54">
        <f t="shared" si="16"/>
        <v>0</v>
      </c>
      <c r="U87" s="72">
        <f t="shared" si="17"/>
        <v>0</v>
      </c>
      <c r="V87" s="43">
        <f t="shared" si="18"/>
        <v>0</v>
      </c>
      <c r="W87" s="73">
        <f t="shared" si="19"/>
        <v>0</v>
      </c>
      <c r="X87" s="79"/>
    </row>
    <row r="88" ht="15.75" customHeight="1">
      <c r="A88" s="56">
        <f t="shared" si="74"/>
        <v>82</v>
      </c>
      <c r="B88" s="77"/>
      <c r="C88" s="78"/>
      <c r="D88" s="41" t="str">
        <f t="shared" si="6"/>
        <v/>
      </c>
      <c r="E88" s="43"/>
      <c r="F88" s="43">
        <v>1100.0</v>
      </c>
      <c r="G88" s="44">
        <f t="shared" si="7"/>
        <v>0</v>
      </c>
      <c r="H88" s="43"/>
      <c r="I88" s="71" t="str">
        <f t="shared" si="8"/>
        <v/>
      </c>
      <c r="J88" s="43"/>
      <c r="K88" s="71" t="str">
        <f t="shared" si="9"/>
        <v/>
      </c>
      <c r="L88" s="43"/>
      <c r="M88" s="48" t="str">
        <f t="shared" si="25"/>
        <v/>
      </c>
      <c r="N88" s="72">
        <f t="shared" ref="N88:O88" si="101">Q88+U88</f>
        <v>0</v>
      </c>
      <c r="O88" s="43">
        <f t="shared" si="101"/>
        <v>0</v>
      </c>
      <c r="P88" s="73">
        <f t="shared" si="12"/>
        <v>0</v>
      </c>
      <c r="Q88" s="51">
        <f t="shared" si="13"/>
        <v>0</v>
      </c>
      <c r="R88" s="52">
        <f t="shared" si="14"/>
        <v>0</v>
      </c>
      <c r="S88" s="53">
        <f t="shared" si="15"/>
        <v>0</v>
      </c>
      <c r="T88" s="54">
        <f t="shared" si="16"/>
        <v>0</v>
      </c>
      <c r="U88" s="72">
        <f t="shared" si="17"/>
        <v>0</v>
      </c>
      <c r="V88" s="43">
        <f t="shared" si="18"/>
        <v>0</v>
      </c>
      <c r="W88" s="73">
        <f t="shared" si="19"/>
        <v>0</v>
      </c>
      <c r="X88" s="79"/>
    </row>
    <row r="89" ht="15.75" customHeight="1">
      <c r="A89" s="56">
        <f t="shared" si="74"/>
        <v>83</v>
      </c>
      <c r="B89" s="80"/>
      <c r="C89" s="81"/>
      <c r="D89" s="82" t="str">
        <f t="shared" si="6"/>
        <v/>
      </c>
      <c r="E89" s="83"/>
      <c r="F89" s="83">
        <v>1100.0</v>
      </c>
      <c r="G89" s="84">
        <f t="shared" si="7"/>
        <v>0</v>
      </c>
      <c r="H89" s="83"/>
      <c r="I89" s="85" t="str">
        <f t="shared" si="8"/>
        <v/>
      </c>
      <c r="J89" s="83"/>
      <c r="K89" s="85" t="str">
        <f t="shared" si="9"/>
        <v/>
      </c>
      <c r="L89" s="83"/>
      <c r="M89" s="86" t="str">
        <f t="shared" si="25"/>
        <v/>
      </c>
      <c r="N89" s="87">
        <f t="shared" ref="N89:O89" si="102">Q89+U89</f>
        <v>0</v>
      </c>
      <c r="O89" s="83">
        <f t="shared" si="102"/>
        <v>0</v>
      </c>
      <c r="P89" s="88">
        <f t="shared" si="12"/>
        <v>0</v>
      </c>
      <c r="Q89" s="89">
        <f t="shared" si="13"/>
        <v>0</v>
      </c>
      <c r="R89" s="90">
        <f t="shared" si="14"/>
        <v>0</v>
      </c>
      <c r="S89" s="91">
        <f t="shared" si="15"/>
        <v>0</v>
      </c>
      <c r="T89" s="92">
        <f t="shared" si="16"/>
        <v>0</v>
      </c>
      <c r="U89" s="87">
        <f t="shared" si="17"/>
        <v>0</v>
      </c>
      <c r="V89" s="83">
        <f t="shared" si="18"/>
        <v>0</v>
      </c>
      <c r="W89" s="88">
        <f t="shared" si="19"/>
        <v>0</v>
      </c>
      <c r="X89" s="93"/>
    </row>
    <row r="90" ht="15.75" customHeight="1">
      <c r="S90" s="94"/>
      <c r="X90" s="6"/>
    </row>
    <row r="91" ht="15.75" customHeight="1">
      <c r="S91" s="94"/>
      <c r="X91" s="6"/>
    </row>
    <row r="92" ht="15.75" customHeight="1">
      <c r="S92" s="94"/>
      <c r="X92" s="6"/>
    </row>
    <row r="93" ht="15.75" customHeight="1">
      <c r="S93" s="94"/>
      <c r="X93" s="6"/>
    </row>
    <row r="94" ht="15.75" customHeight="1">
      <c r="S94" s="94"/>
      <c r="X94" s="6"/>
    </row>
    <row r="95" ht="15.75" customHeight="1">
      <c r="S95" s="94"/>
      <c r="X95" s="6"/>
    </row>
    <row r="96" ht="15.75" customHeight="1">
      <c r="S96" s="94"/>
      <c r="X96" s="6"/>
    </row>
    <row r="97" ht="15.75" customHeight="1">
      <c r="S97" s="94"/>
      <c r="X97" s="6"/>
    </row>
    <row r="98" ht="15.75" customHeight="1">
      <c r="S98" s="94"/>
      <c r="X98" s="6"/>
    </row>
    <row r="99" ht="15.75" customHeight="1">
      <c r="S99" s="94"/>
      <c r="X99" s="6"/>
    </row>
    <row r="100" ht="15.75" customHeight="1">
      <c r="S100" s="94"/>
      <c r="X100" s="6"/>
    </row>
    <row r="101" ht="15.75" customHeight="1">
      <c r="S101" s="94"/>
      <c r="X101" s="6"/>
    </row>
    <row r="102" ht="15.75" customHeight="1">
      <c r="S102" s="94"/>
      <c r="X102" s="6"/>
    </row>
    <row r="103" ht="15.75" customHeight="1">
      <c r="S103" s="94"/>
      <c r="X103" s="6"/>
    </row>
    <row r="104" ht="15.75" customHeight="1">
      <c r="S104" s="94"/>
      <c r="X104" s="6"/>
    </row>
    <row r="105" ht="15.75" customHeight="1">
      <c r="S105" s="94"/>
      <c r="X105" s="6"/>
    </row>
    <row r="106" ht="15.75" customHeight="1">
      <c r="S106" s="94"/>
      <c r="X106" s="6"/>
    </row>
    <row r="107" ht="15.75" customHeight="1">
      <c r="S107" s="94"/>
      <c r="X107" s="6"/>
    </row>
    <row r="108" ht="15.75" customHeight="1">
      <c r="S108" s="94"/>
      <c r="X108" s="6"/>
    </row>
    <row r="109" ht="15.75" customHeight="1">
      <c r="S109" s="94"/>
      <c r="X109" s="6"/>
    </row>
    <row r="110" ht="15.75" customHeight="1">
      <c r="S110" s="94"/>
      <c r="X110" s="6"/>
    </row>
    <row r="111" ht="15.75" customHeight="1">
      <c r="S111" s="94"/>
      <c r="X111" s="6"/>
    </row>
    <row r="112" ht="15.75" customHeight="1">
      <c r="S112" s="94"/>
      <c r="X112" s="6"/>
    </row>
    <row r="113" ht="15.75" customHeight="1">
      <c r="S113" s="94"/>
      <c r="X113" s="6"/>
    </row>
    <row r="114" ht="15.75" customHeight="1">
      <c r="S114" s="94"/>
      <c r="X114" s="6"/>
    </row>
    <row r="115" ht="15.75" customHeight="1">
      <c r="S115" s="94"/>
      <c r="X115" s="6"/>
    </row>
    <row r="116" ht="15.75" customHeight="1">
      <c r="S116" s="94"/>
      <c r="X116" s="6"/>
    </row>
    <row r="117" ht="15.75" customHeight="1">
      <c r="S117" s="94"/>
      <c r="X117" s="6"/>
    </row>
    <row r="118" ht="15.75" customHeight="1">
      <c r="S118" s="94"/>
      <c r="X118" s="6"/>
    </row>
    <row r="119" ht="15.75" customHeight="1">
      <c r="S119" s="94"/>
      <c r="X119" s="6"/>
    </row>
    <row r="120" ht="15.75" customHeight="1">
      <c r="S120" s="94"/>
      <c r="X120" s="6"/>
    </row>
    <row r="121" ht="15.75" customHeight="1">
      <c r="S121" s="94"/>
      <c r="X121" s="6"/>
    </row>
    <row r="122" ht="15.75" customHeight="1">
      <c r="S122" s="94"/>
      <c r="X122" s="6"/>
    </row>
    <row r="123" ht="15.75" customHeight="1">
      <c r="S123" s="94"/>
      <c r="X123" s="6"/>
    </row>
    <row r="124" ht="15.75" customHeight="1">
      <c r="S124" s="94"/>
      <c r="X124" s="6"/>
    </row>
    <row r="125" ht="15.75" customHeight="1">
      <c r="S125" s="94"/>
      <c r="X125" s="6"/>
    </row>
    <row r="126" ht="15.75" customHeight="1">
      <c r="S126" s="94"/>
      <c r="X126" s="6"/>
    </row>
    <row r="127" ht="15.75" customHeight="1">
      <c r="S127" s="94"/>
      <c r="X127" s="6"/>
    </row>
    <row r="128" ht="15.75" customHeight="1">
      <c r="S128" s="94"/>
      <c r="X128" s="6"/>
    </row>
    <row r="129" ht="15.75" customHeight="1">
      <c r="S129" s="94"/>
      <c r="X129" s="6"/>
    </row>
    <row r="130" ht="15.75" customHeight="1">
      <c r="S130" s="94"/>
      <c r="X130" s="6"/>
    </row>
    <row r="131" ht="15.75" customHeight="1">
      <c r="S131" s="94"/>
      <c r="X131" s="6"/>
    </row>
    <row r="132" ht="15.75" customHeight="1">
      <c r="S132" s="94"/>
      <c r="X132" s="6"/>
    </row>
    <row r="133" ht="15.75" customHeight="1">
      <c r="S133" s="94"/>
      <c r="X133" s="6"/>
    </row>
    <row r="134" ht="15.75" customHeight="1">
      <c r="S134" s="94"/>
      <c r="X134" s="6"/>
    </row>
    <row r="135" ht="15.75" customHeight="1">
      <c r="S135" s="94"/>
      <c r="X135" s="6"/>
    </row>
    <row r="136" ht="15.75" customHeight="1">
      <c r="S136" s="94"/>
      <c r="X136" s="6"/>
    </row>
    <row r="137" ht="15.75" customHeight="1">
      <c r="S137" s="94"/>
      <c r="X137" s="6"/>
    </row>
    <row r="138" ht="15.75" customHeight="1">
      <c r="S138" s="94"/>
      <c r="X138" s="6"/>
    </row>
    <row r="139" ht="15.75" customHeight="1">
      <c r="S139" s="94"/>
      <c r="X139" s="6"/>
    </row>
    <row r="140" ht="15.75" customHeight="1">
      <c r="S140" s="94"/>
      <c r="X140" s="6"/>
    </row>
    <row r="141" ht="15.75" customHeight="1">
      <c r="S141" s="94"/>
      <c r="X141" s="6"/>
    </row>
    <row r="142" ht="15.75" customHeight="1">
      <c r="S142" s="94"/>
      <c r="X142" s="6"/>
    </row>
    <row r="143" ht="15.75" customHeight="1">
      <c r="S143" s="94"/>
      <c r="X143" s="6"/>
    </row>
    <row r="144" ht="15.75" customHeight="1">
      <c r="S144" s="94"/>
      <c r="X144" s="6"/>
    </row>
    <row r="145" ht="15.75" customHeight="1">
      <c r="S145" s="94"/>
      <c r="X145" s="6"/>
    </row>
    <row r="146" ht="15.75" customHeight="1">
      <c r="S146" s="94"/>
      <c r="X146" s="6"/>
    </row>
    <row r="147" ht="15.75" customHeight="1">
      <c r="S147" s="94"/>
      <c r="X147" s="6"/>
    </row>
    <row r="148" ht="15.75" customHeight="1">
      <c r="S148" s="94"/>
      <c r="X148" s="6"/>
    </row>
    <row r="149" ht="15.75" customHeight="1">
      <c r="S149" s="94"/>
      <c r="X149" s="6"/>
    </row>
    <row r="150" ht="15.75" customHeight="1">
      <c r="S150" s="94"/>
      <c r="X150" s="6"/>
    </row>
    <row r="151" ht="15.75" customHeight="1">
      <c r="S151" s="94"/>
      <c r="X151" s="6"/>
    </row>
    <row r="152" ht="15.75" customHeight="1">
      <c r="S152" s="94"/>
      <c r="X152" s="6"/>
    </row>
    <row r="153" ht="15.75" customHeight="1">
      <c r="S153" s="94"/>
      <c r="X153" s="6"/>
    </row>
    <row r="154" ht="15.75" customHeight="1">
      <c r="S154" s="94"/>
      <c r="X154" s="6"/>
    </row>
    <row r="155" ht="15.75" customHeight="1">
      <c r="S155" s="94"/>
      <c r="X155" s="6"/>
    </row>
    <row r="156" ht="15.75" customHeight="1">
      <c r="S156" s="94"/>
      <c r="X156" s="6"/>
    </row>
    <row r="157" ht="15.75" customHeight="1">
      <c r="S157" s="94"/>
      <c r="X157" s="6"/>
    </row>
    <row r="158" ht="15.75" customHeight="1">
      <c r="S158" s="94"/>
      <c r="X158" s="6"/>
    </row>
    <row r="159" ht="15.75" customHeight="1">
      <c r="S159" s="94"/>
      <c r="X159" s="6"/>
    </row>
    <row r="160" ht="15.75" customHeight="1">
      <c r="S160" s="94"/>
      <c r="X160" s="6"/>
    </row>
    <row r="161" ht="15.75" customHeight="1">
      <c r="S161" s="94"/>
      <c r="X161" s="6"/>
    </row>
    <row r="162" ht="15.75" customHeight="1">
      <c r="S162" s="94"/>
      <c r="X162" s="6"/>
    </row>
    <row r="163" ht="15.75" customHeight="1">
      <c r="S163" s="94"/>
      <c r="X163" s="6"/>
    </row>
    <row r="164" ht="15.75" customHeight="1">
      <c r="S164" s="94"/>
      <c r="X164" s="6"/>
    </row>
    <row r="165" ht="15.75" customHeight="1">
      <c r="S165" s="94"/>
      <c r="X165" s="6"/>
    </row>
    <row r="166" ht="15.75" customHeight="1">
      <c r="S166" s="94"/>
      <c r="X166" s="6"/>
    </row>
    <row r="167" ht="15.75" customHeight="1">
      <c r="S167" s="94"/>
      <c r="X167" s="6"/>
    </row>
    <row r="168" ht="15.75" customHeight="1">
      <c r="S168" s="94"/>
      <c r="X168" s="6"/>
    </row>
    <row r="169" ht="15.75" customHeight="1">
      <c r="S169" s="94"/>
      <c r="X169" s="6"/>
    </row>
    <row r="170" ht="15.75" customHeight="1">
      <c r="S170" s="94"/>
      <c r="X170" s="6"/>
    </row>
    <row r="171" ht="15.75" customHeight="1">
      <c r="S171" s="94"/>
      <c r="X171" s="6"/>
    </row>
    <row r="172" ht="15.75" customHeight="1">
      <c r="S172" s="94"/>
      <c r="X172" s="6"/>
    </row>
    <row r="173" ht="15.75" customHeight="1">
      <c r="S173" s="94"/>
      <c r="X173" s="6"/>
    </row>
    <row r="174" ht="15.75" customHeight="1">
      <c r="S174" s="94"/>
      <c r="X174" s="6"/>
    </row>
    <row r="175" ht="15.75" customHeight="1">
      <c r="S175" s="94"/>
      <c r="X175" s="6"/>
    </row>
    <row r="176" ht="15.75" customHeight="1">
      <c r="S176" s="94"/>
      <c r="X176" s="6"/>
    </row>
    <row r="177" ht="15.75" customHeight="1">
      <c r="S177" s="94"/>
      <c r="X177" s="6"/>
    </row>
    <row r="178" ht="15.75" customHeight="1">
      <c r="S178" s="94"/>
      <c r="X178" s="6"/>
    </row>
    <row r="179" ht="15.75" customHeight="1">
      <c r="S179" s="94"/>
      <c r="X179" s="6"/>
    </row>
    <row r="180" ht="15.75" customHeight="1">
      <c r="S180" s="94"/>
      <c r="X180" s="6"/>
    </row>
    <row r="181" ht="15.75" customHeight="1">
      <c r="S181" s="94"/>
      <c r="X181" s="6"/>
    </row>
    <row r="182" ht="15.75" customHeight="1">
      <c r="S182" s="94"/>
      <c r="X182" s="6"/>
    </row>
    <row r="183" ht="15.75" customHeight="1">
      <c r="S183" s="94"/>
      <c r="X183" s="6"/>
    </row>
    <row r="184" ht="15.75" customHeight="1">
      <c r="S184" s="94"/>
      <c r="X184" s="6"/>
    </row>
    <row r="185" ht="15.75" customHeight="1">
      <c r="S185" s="94"/>
      <c r="X185" s="6"/>
    </row>
    <row r="186" ht="15.75" customHeight="1">
      <c r="S186" s="94"/>
      <c r="X186" s="6"/>
    </row>
    <row r="187" ht="15.75" customHeight="1">
      <c r="S187" s="94"/>
      <c r="X187" s="6"/>
    </row>
    <row r="188" ht="15.75" customHeight="1">
      <c r="S188" s="94"/>
      <c r="X188" s="6"/>
    </row>
    <row r="189" ht="15.75" customHeight="1">
      <c r="S189" s="94"/>
      <c r="X189" s="6"/>
    </row>
    <row r="190" ht="15.75" customHeight="1">
      <c r="S190" s="94"/>
      <c r="X190" s="6"/>
    </row>
    <row r="191" ht="15.75" customHeight="1">
      <c r="S191" s="94"/>
      <c r="X191" s="6"/>
    </row>
    <row r="192" ht="15.75" customHeight="1">
      <c r="S192" s="94"/>
      <c r="X192" s="6"/>
    </row>
    <row r="193" ht="15.75" customHeight="1">
      <c r="S193" s="94"/>
      <c r="X193" s="6"/>
    </row>
    <row r="194" ht="15.75" customHeight="1">
      <c r="S194" s="94"/>
      <c r="X194" s="6"/>
    </row>
    <row r="195" ht="15.75" customHeight="1">
      <c r="S195" s="94"/>
      <c r="X195" s="6"/>
    </row>
    <row r="196" ht="15.75" customHeight="1">
      <c r="S196" s="94"/>
      <c r="X196" s="6"/>
    </row>
    <row r="197" ht="15.75" customHeight="1">
      <c r="S197" s="94"/>
      <c r="X197" s="6"/>
    </row>
    <row r="198" ht="15.75" customHeight="1">
      <c r="S198" s="94"/>
      <c r="X198" s="6"/>
    </row>
    <row r="199" ht="15.75" customHeight="1">
      <c r="S199" s="94"/>
      <c r="X199" s="6"/>
    </row>
    <row r="200" ht="15.75" customHeight="1">
      <c r="S200" s="94"/>
      <c r="X200" s="6"/>
    </row>
    <row r="201" ht="15.75" customHeight="1">
      <c r="S201" s="94"/>
      <c r="X201" s="6"/>
    </row>
    <row r="202" ht="15.75" customHeight="1">
      <c r="S202" s="94"/>
      <c r="X202" s="6"/>
    </row>
    <row r="203" ht="15.75" customHeight="1">
      <c r="S203" s="94"/>
      <c r="X203" s="6"/>
    </row>
    <row r="204" ht="15.75" customHeight="1">
      <c r="S204" s="94"/>
      <c r="X204" s="6"/>
    </row>
    <row r="205" ht="15.75" customHeight="1">
      <c r="S205" s="94"/>
      <c r="X205" s="6"/>
    </row>
    <row r="206" ht="15.75" customHeight="1">
      <c r="S206" s="94"/>
      <c r="X206" s="6"/>
    </row>
    <row r="207" ht="15.75" customHeight="1">
      <c r="S207" s="94"/>
      <c r="X207" s="6"/>
    </row>
    <row r="208" ht="15.75" customHeight="1">
      <c r="S208" s="94"/>
      <c r="X208" s="6"/>
    </row>
    <row r="209" ht="15.75" customHeight="1">
      <c r="S209" s="94"/>
      <c r="X209" s="6"/>
    </row>
    <row r="210" ht="15.75" customHeight="1">
      <c r="S210" s="94"/>
      <c r="X210" s="6"/>
    </row>
    <row r="211" ht="15.75" customHeight="1">
      <c r="S211" s="94"/>
      <c r="X211" s="6"/>
    </row>
    <row r="212" ht="15.75" customHeight="1">
      <c r="S212" s="94"/>
      <c r="X212" s="6"/>
    </row>
    <row r="213" ht="15.75" customHeight="1">
      <c r="S213" s="94"/>
      <c r="X213" s="6"/>
    </row>
    <row r="214" ht="15.75" customHeight="1">
      <c r="S214" s="94"/>
      <c r="X214" s="6"/>
    </row>
    <row r="215" ht="15.75" customHeight="1">
      <c r="S215" s="94"/>
      <c r="X215" s="6"/>
    </row>
    <row r="216" ht="15.75" customHeight="1">
      <c r="S216" s="94"/>
      <c r="X216" s="6"/>
    </row>
    <row r="217" ht="15.75" customHeight="1">
      <c r="S217" s="94"/>
      <c r="X217" s="6"/>
    </row>
    <row r="218" ht="15.75" customHeight="1">
      <c r="S218" s="94"/>
      <c r="X218" s="6"/>
    </row>
    <row r="219" ht="15.75" customHeight="1">
      <c r="S219" s="94"/>
      <c r="X219" s="6"/>
    </row>
    <row r="220" ht="15.75" customHeight="1">
      <c r="S220" s="94"/>
      <c r="X220" s="6"/>
    </row>
    <row r="221" ht="15.75" customHeight="1">
      <c r="S221" s="94"/>
      <c r="X221" s="6"/>
    </row>
    <row r="222" ht="15.75" customHeight="1">
      <c r="S222" s="94"/>
      <c r="X222" s="6"/>
    </row>
    <row r="223" ht="15.75" customHeight="1">
      <c r="S223" s="94"/>
      <c r="X223" s="6"/>
    </row>
    <row r="224" ht="15.75" customHeight="1">
      <c r="S224" s="94"/>
      <c r="X224" s="6"/>
    </row>
    <row r="225" ht="15.75" customHeight="1">
      <c r="S225" s="94"/>
      <c r="X225" s="6"/>
    </row>
    <row r="226" ht="15.75" customHeight="1">
      <c r="S226" s="94"/>
      <c r="X226" s="6"/>
    </row>
    <row r="227" ht="15.75" customHeight="1">
      <c r="S227" s="94"/>
      <c r="X227" s="6"/>
    </row>
    <row r="228" ht="15.75" customHeight="1">
      <c r="S228" s="94"/>
      <c r="X228" s="6"/>
    </row>
    <row r="229" ht="15.75" customHeight="1">
      <c r="S229" s="94"/>
      <c r="X229" s="6"/>
    </row>
    <row r="230" ht="15.75" customHeight="1">
      <c r="S230" s="94"/>
      <c r="X230" s="6"/>
    </row>
    <row r="231" ht="15.75" customHeight="1">
      <c r="S231" s="94"/>
      <c r="X231" s="6"/>
    </row>
    <row r="232" ht="15.75" customHeight="1">
      <c r="S232" s="94"/>
      <c r="X232" s="6"/>
    </row>
    <row r="233" ht="15.75" customHeight="1">
      <c r="S233" s="94"/>
      <c r="X233" s="6"/>
    </row>
    <row r="234" ht="15.75" customHeight="1">
      <c r="S234" s="94"/>
      <c r="X234" s="6"/>
    </row>
    <row r="235" ht="15.75" customHeight="1">
      <c r="S235" s="94"/>
      <c r="X235" s="6"/>
    </row>
    <row r="236" ht="15.75" customHeight="1">
      <c r="S236" s="94"/>
      <c r="X236" s="6"/>
    </row>
    <row r="237" ht="15.75" customHeight="1">
      <c r="S237" s="94"/>
      <c r="X237" s="6"/>
    </row>
    <row r="238" ht="15.75" customHeight="1">
      <c r="S238" s="94"/>
      <c r="X238" s="6"/>
    </row>
    <row r="239" ht="15.75" customHeight="1">
      <c r="S239" s="94"/>
      <c r="X239" s="6"/>
    </row>
    <row r="240" ht="15.75" customHeight="1">
      <c r="S240" s="94"/>
      <c r="X240" s="6"/>
    </row>
    <row r="241" ht="15.75" customHeight="1">
      <c r="S241" s="94"/>
      <c r="X241" s="6"/>
    </row>
    <row r="242" ht="15.75" customHeight="1">
      <c r="S242" s="94"/>
      <c r="X242" s="6"/>
    </row>
    <row r="243" ht="15.75" customHeight="1">
      <c r="S243" s="94"/>
      <c r="X243" s="6"/>
    </row>
    <row r="244" ht="15.75" customHeight="1">
      <c r="S244" s="94"/>
      <c r="X244" s="6"/>
    </row>
    <row r="245" ht="15.75" customHeight="1">
      <c r="S245" s="94"/>
      <c r="X245" s="6"/>
    </row>
    <row r="246" ht="15.75" customHeight="1">
      <c r="S246" s="94"/>
      <c r="X246" s="6"/>
    </row>
    <row r="247" ht="15.75" customHeight="1">
      <c r="S247" s="94"/>
      <c r="X247" s="6"/>
    </row>
    <row r="248" ht="15.75" customHeight="1">
      <c r="S248" s="94"/>
      <c r="X248" s="6"/>
    </row>
    <row r="249" ht="15.75" customHeight="1">
      <c r="S249" s="94"/>
      <c r="X249" s="6"/>
    </row>
    <row r="250" ht="15.75" customHeight="1">
      <c r="S250" s="94"/>
      <c r="X250" s="6"/>
    </row>
    <row r="251" ht="15.75" customHeight="1">
      <c r="S251" s="94"/>
      <c r="X251" s="6"/>
    </row>
    <row r="252" ht="15.75" customHeight="1">
      <c r="S252" s="94"/>
      <c r="X252" s="6"/>
    </row>
    <row r="253" ht="15.75" customHeight="1">
      <c r="S253" s="94"/>
      <c r="X253" s="6"/>
    </row>
    <row r="254" ht="15.75" customHeight="1">
      <c r="S254" s="94"/>
      <c r="X254" s="6"/>
    </row>
    <row r="255" ht="15.75" customHeight="1">
      <c r="S255" s="94"/>
      <c r="X255" s="6"/>
    </row>
    <row r="256" ht="15.75" customHeight="1">
      <c r="S256" s="94"/>
      <c r="X256" s="6"/>
    </row>
    <row r="257" ht="15.75" customHeight="1">
      <c r="S257" s="94"/>
      <c r="X257" s="6"/>
    </row>
    <row r="258" ht="15.75" customHeight="1">
      <c r="S258" s="94"/>
      <c r="X258" s="6"/>
    </row>
    <row r="259" ht="15.75" customHeight="1">
      <c r="S259" s="94"/>
      <c r="X259" s="6"/>
    </row>
    <row r="260" ht="15.75" customHeight="1">
      <c r="S260" s="94"/>
      <c r="X260" s="6"/>
    </row>
    <row r="261" ht="15.75" customHeight="1">
      <c r="S261" s="94"/>
      <c r="X261" s="6"/>
    </row>
    <row r="262" ht="15.75" customHeight="1">
      <c r="S262" s="94"/>
      <c r="X262" s="6"/>
    </row>
    <row r="263" ht="15.75" customHeight="1">
      <c r="S263" s="94"/>
      <c r="X263" s="6"/>
    </row>
    <row r="264" ht="15.75" customHeight="1">
      <c r="S264" s="94"/>
      <c r="X264" s="6"/>
    </row>
    <row r="265" ht="15.75" customHeight="1">
      <c r="S265" s="94"/>
      <c r="X265" s="6"/>
    </row>
    <row r="266" ht="15.75" customHeight="1">
      <c r="S266" s="94"/>
      <c r="X266" s="6"/>
    </row>
    <row r="267" ht="15.75" customHeight="1">
      <c r="S267" s="94"/>
      <c r="X267" s="6"/>
    </row>
    <row r="268" ht="15.75" customHeight="1">
      <c r="S268" s="94"/>
      <c r="X268" s="6"/>
    </row>
    <row r="269" ht="15.75" customHeight="1">
      <c r="S269" s="94"/>
      <c r="X269" s="6"/>
    </row>
    <row r="270" ht="15.75" customHeight="1">
      <c r="S270" s="94"/>
      <c r="X270" s="6"/>
    </row>
    <row r="271" ht="15.75" customHeight="1">
      <c r="S271" s="94"/>
      <c r="X271" s="6"/>
    </row>
    <row r="272" ht="15.75" customHeight="1">
      <c r="S272" s="94"/>
      <c r="X272" s="6"/>
    </row>
    <row r="273" ht="15.75" customHeight="1">
      <c r="S273" s="94"/>
      <c r="X273" s="6"/>
    </row>
    <row r="274" ht="15.75" customHeight="1">
      <c r="S274" s="94"/>
      <c r="X274" s="6"/>
    </row>
    <row r="275" ht="15.75" customHeight="1">
      <c r="S275" s="94"/>
      <c r="X275" s="6"/>
    </row>
    <row r="276" ht="15.75" customHeight="1">
      <c r="S276" s="94"/>
      <c r="X276" s="6"/>
    </row>
    <row r="277" ht="15.75" customHeight="1">
      <c r="S277" s="94"/>
      <c r="X277" s="6"/>
    </row>
    <row r="278" ht="15.75" customHeight="1">
      <c r="S278" s="94"/>
      <c r="X278" s="6"/>
    </row>
    <row r="279" ht="15.75" customHeight="1">
      <c r="S279" s="94"/>
      <c r="X279" s="6"/>
    </row>
    <row r="280" ht="15.75" customHeight="1">
      <c r="S280" s="94"/>
      <c r="X280" s="6"/>
    </row>
    <row r="281" ht="15.75" customHeight="1">
      <c r="S281" s="94"/>
      <c r="X281" s="6"/>
    </row>
    <row r="282" ht="15.75" customHeight="1">
      <c r="S282" s="94"/>
      <c r="X282" s="6"/>
    </row>
    <row r="283" ht="15.75" customHeight="1">
      <c r="S283" s="94"/>
      <c r="X283" s="6"/>
    </row>
    <row r="284" ht="15.75" customHeight="1">
      <c r="S284" s="94"/>
      <c r="X284" s="6"/>
    </row>
    <row r="285" ht="15.75" customHeight="1">
      <c r="S285" s="94"/>
      <c r="X285" s="6"/>
    </row>
    <row r="286" ht="15.75" customHeight="1">
      <c r="S286" s="94"/>
      <c r="X286" s="6"/>
    </row>
    <row r="287" ht="15.75" customHeight="1">
      <c r="S287" s="94"/>
      <c r="X287" s="6"/>
    </row>
    <row r="288" ht="15.75" customHeight="1">
      <c r="S288" s="94"/>
      <c r="X288" s="6"/>
    </row>
    <row r="289" ht="15.75" customHeight="1">
      <c r="S289" s="94"/>
      <c r="X289" s="6"/>
    </row>
    <row r="290" ht="15.75" customHeight="1">
      <c r="S290" s="94"/>
      <c r="X290" s="6"/>
    </row>
    <row r="291" ht="15.75" customHeight="1">
      <c r="S291" s="94"/>
      <c r="X291" s="6"/>
    </row>
    <row r="292" ht="15.75" customHeight="1">
      <c r="S292" s="94"/>
      <c r="X292" s="6"/>
    </row>
    <row r="293" ht="15.75" customHeight="1">
      <c r="S293" s="94"/>
      <c r="X293" s="6"/>
    </row>
    <row r="294" ht="15.75" customHeight="1">
      <c r="S294" s="94"/>
      <c r="X294" s="6"/>
    </row>
    <row r="295" ht="15.75" customHeight="1">
      <c r="S295" s="94"/>
      <c r="X295" s="6"/>
    </row>
    <row r="296" ht="15.75" customHeight="1">
      <c r="S296" s="94"/>
      <c r="X296" s="6"/>
    </row>
    <row r="297" ht="15.75" customHeight="1">
      <c r="S297" s="94"/>
      <c r="X297" s="6"/>
    </row>
    <row r="298" ht="15.75" customHeight="1">
      <c r="S298" s="94"/>
      <c r="X298" s="6"/>
    </row>
    <row r="299" ht="15.75" customHeight="1">
      <c r="S299" s="94"/>
      <c r="X299" s="6"/>
    </row>
    <row r="300" ht="15.75" customHeight="1">
      <c r="S300" s="94"/>
      <c r="X300" s="6"/>
    </row>
    <row r="301" ht="15.75" customHeight="1">
      <c r="S301" s="94"/>
      <c r="X301" s="6"/>
    </row>
    <row r="302" ht="15.75" customHeight="1">
      <c r="S302" s="94"/>
      <c r="X302" s="6"/>
    </row>
    <row r="303" ht="15.75" customHeight="1">
      <c r="S303" s="94"/>
      <c r="X303" s="6"/>
    </row>
    <row r="304" ht="15.75" customHeight="1">
      <c r="S304" s="94"/>
      <c r="X304" s="6"/>
    </row>
    <row r="305" ht="15.75" customHeight="1">
      <c r="S305" s="94"/>
      <c r="X305" s="6"/>
    </row>
    <row r="306" ht="15.75" customHeight="1">
      <c r="S306" s="94"/>
      <c r="X306" s="6"/>
    </row>
    <row r="307" ht="15.75" customHeight="1">
      <c r="S307" s="94"/>
      <c r="X307" s="6"/>
    </row>
    <row r="308" ht="15.75" customHeight="1">
      <c r="S308" s="94"/>
      <c r="X308" s="6"/>
    </row>
    <row r="309" ht="15.75" customHeight="1">
      <c r="S309" s="94"/>
      <c r="X309" s="6"/>
    </row>
    <row r="310" ht="15.75" customHeight="1">
      <c r="S310" s="94"/>
      <c r="X310" s="6"/>
    </row>
    <row r="311" ht="15.75" customHeight="1">
      <c r="S311" s="94"/>
      <c r="X311" s="6"/>
    </row>
    <row r="312" ht="15.75" customHeight="1">
      <c r="S312" s="94"/>
      <c r="X312" s="6"/>
    </row>
    <row r="313" ht="15.75" customHeight="1">
      <c r="S313" s="94"/>
      <c r="X313" s="6"/>
    </row>
    <row r="314" ht="15.75" customHeight="1">
      <c r="S314" s="94"/>
      <c r="X314" s="6"/>
    </row>
    <row r="315" ht="15.75" customHeight="1">
      <c r="S315" s="94"/>
      <c r="X315" s="6"/>
    </row>
    <row r="316" ht="15.75" customHeight="1">
      <c r="S316" s="94"/>
      <c r="X316" s="6"/>
    </row>
    <row r="317" ht="15.75" customHeight="1">
      <c r="S317" s="94"/>
      <c r="X317" s="6"/>
    </row>
    <row r="318" ht="15.75" customHeight="1">
      <c r="S318" s="94"/>
      <c r="X318" s="6"/>
    </row>
    <row r="319" ht="15.75" customHeight="1">
      <c r="S319" s="94"/>
      <c r="X319" s="6"/>
    </row>
    <row r="320" ht="15.75" customHeight="1">
      <c r="S320" s="94"/>
      <c r="X320" s="6"/>
    </row>
    <row r="321" ht="15.75" customHeight="1">
      <c r="S321" s="94"/>
      <c r="X321" s="6"/>
    </row>
    <row r="322" ht="15.75" customHeight="1">
      <c r="S322" s="94"/>
      <c r="X322" s="6"/>
    </row>
    <row r="323" ht="15.75" customHeight="1">
      <c r="S323" s="94"/>
      <c r="X323" s="6"/>
    </row>
    <row r="324" ht="15.75" customHeight="1">
      <c r="S324" s="94"/>
      <c r="X324" s="6"/>
    </row>
    <row r="325" ht="15.75" customHeight="1">
      <c r="S325" s="94"/>
      <c r="X325" s="6"/>
    </row>
    <row r="326" ht="15.75" customHeight="1">
      <c r="S326" s="94"/>
      <c r="X326" s="6"/>
    </row>
    <row r="327" ht="15.75" customHeight="1">
      <c r="S327" s="94"/>
      <c r="X327" s="6"/>
    </row>
    <row r="328" ht="15.75" customHeight="1">
      <c r="S328" s="94"/>
      <c r="X328" s="6"/>
    </row>
    <row r="329" ht="15.75" customHeight="1">
      <c r="S329" s="94"/>
      <c r="X329" s="6"/>
    </row>
    <row r="330" ht="15.75" customHeight="1">
      <c r="S330" s="94"/>
      <c r="X330" s="6"/>
    </row>
    <row r="331" ht="15.75" customHeight="1">
      <c r="S331" s="94"/>
      <c r="X331" s="6"/>
    </row>
    <row r="332" ht="15.75" customHeight="1">
      <c r="S332" s="94"/>
      <c r="X332" s="6"/>
    </row>
    <row r="333" ht="15.75" customHeight="1">
      <c r="S333" s="94"/>
      <c r="X333" s="6"/>
    </row>
    <row r="334" ht="15.75" customHeight="1">
      <c r="S334" s="94"/>
      <c r="X334" s="6"/>
    </row>
    <row r="335" ht="15.75" customHeight="1">
      <c r="S335" s="94"/>
      <c r="X335" s="6"/>
    </row>
    <row r="336" ht="15.75" customHeight="1">
      <c r="S336" s="94"/>
      <c r="X336" s="6"/>
    </row>
    <row r="337" ht="15.75" customHeight="1">
      <c r="S337" s="94"/>
      <c r="X337" s="6"/>
    </row>
    <row r="338" ht="15.75" customHeight="1">
      <c r="S338" s="94"/>
      <c r="X338" s="6"/>
    </row>
    <row r="339" ht="15.75" customHeight="1">
      <c r="S339" s="94"/>
      <c r="X339" s="6"/>
    </row>
    <row r="340" ht="15.75" customHeight="1">
      <c r="S340" s="94"/>
      <c r="X340" s="6"/>
    </row>
    <row r="341" ht="15.75" customHeight="1">
      <c r="S341" s="94"/>
      <c r="X341" s="6"/>
    </row>
    <row r="342" ht="15.75" customHeight="1">
      <c r="S342" s="94"/>
      <c r="X342" s="6"/>
    </row>
    <row r="343" ht="15.75" customHeight="1">
      <c r="S343" s="94"/>
      <c r="X343" s="6"/>
    </row>
    <row r="344" ht="15.75" customHeight="1">
      <c r="S344" s="94"/>
      <c r="X344" s="6"/>
    </row>
    <row r="345" ht="15.75" customHeight="1">
      <c r="S345" s="94"/>
      <c r="X345" s="6"/>
    </row>
    <row r="346" ht="15.75" customHeight="1">
      <c r="S346" s="94"/>
      <c r="X346" s="6"/>
    </row>
    <row r="347" ht="15.75" customHeight="1">
      <c r="S347" s="94"/>
      <c r="X347" s="6"/>
    </row>
    <row r="348" ht="15.75" customHeight="1">
      <c r="S348" s="94"/>
      <c r="X348" s="6"/>
    </row>
    <row r="349" ht="15.75" customHeight="1">
      <c r="S349" s="94"/>
      <c r="X349" s="6"/>
    </row>
    <row r="350" ht="15.75" customHeight="1">
      <c r="S350" s="94"/>
      <c r="X350" s="6"/>
    </row>
    <row r="351" ht="15.75" customHeight="1">
      <c r="S351" s="94"/>
      <c r="X351" s="6"/>
    </row>
    <row r="352" ht="15.75" customHeight="1">
      <c r="S352" s="94"/>
      <c r="X352" s="6"/>
    </row>
    <row r="353" ht="15.75" customHeight="1">
      <c r="S353" s="94"/>
      <c r="X353" s="6"/>
    </row>
    <row r="354" ht="15.75" customHeight="1">
      <c r="S354" s="94"/>
      <c r="X354" s="6"/>
    </row>
    <row r="355" ht="15.75" customHeight="1">
      <c r="S355" s="94"/>
      <c r="X355" s="6"/>
    </row>
    <row r="356" ht="15.75" customHeight="1">
      <c r="S356" s="94"/>
      <c r="X356" s="6"/>
    </row>
    <row r="357" ht="15.75" customHeight="1">
      <c r="S357" s="94"/>
      <c r="X357" s="6"/>
    </row>
    <row r="358" ht="15.75" customHeight="1">
      <c r="S358" s="94"/>
      <c r="X358" s="6"/>
    </row>
    <row r="359" ht="15.75" customHeight="1">
      <c r="S359" s="94"/>
      <c r="X359" s="6"/>
    </row>
    <row r="360" ht="15.75" customHeight="1">
      <c r="S360" s="94"/>
      <c r="X360" s="6"/>
    </row>
    <row r="361" ht="15.75" customHeight="1">
      <c r="S361" s="94"/>
      <c r="X361" s="6"/>
    </row>
    <row r="362" ht="15.75" customHeight="1">
      <c r="S362" s="94"/>
      <c r="X362" s="6"/>
    </row>
    <row r="363" ht="15.75" customHeight="1">
      <c r="S363" s="94"/>
      <c r="X363" s="6"/>
    </row>
    <row r="364" ht="15.75" customHeight="1">
      <c r="S364" s="94"/>
      <c r="X364" s="6"/>
    </row>
    <row r="365" ht="15.75" customHeight="1">
      <c r="S365" s="94"/>
      <c r="X365" s="6"/>
    </row>
    <row r="366" ht="15.75" customHeight="1">
      <c r="S366" s="94"/>
      <c r="X366" s="6"/>
    </row>
    <row r="367" ht="15.75" customHeight="1">
      <c r="S367" s="94"/>
      <c r="X367" s="6"/>
    </row>
    <row r="368" ht="15.75" customHeight="1">
      <c r="S368" s="94"/>
      <c r="X368" s="6"/>
    </row>
    <row r="369" ht="15.75" customHeight="1">
      <c r="S369" s="94"/>
      <c r="X369" s="6"/>
    </row>
    <row r="370" ht="15.75" customHeight="1">
      <c r="S370" s="94"/>
      <c r="X370" s="6"/>
    </row>
    <row r="371" ht="15.75" customHeight="1">
      <c r="S371" s="94"/>
      <c r="X371" s="6"/>
    </row>
    <row r="372" ht="15.75" customHeight="1">
      <c r="S372" s="94"/>
      <c r="X372" s="6"/>
    </row>
    <row r="373" ht="15.75" customHeight="1">
      <c r="S373" s="94"/>
      <c r="X373" s="6"/>
    </row>
    <row r="374" ht="15.75" customHeight="1">
      <c r="S374" s="94"/>
      <c r="X374" s="6"/>
    </row>
    <row r="375" ht="15.75" customHeight="1">
      <c r="S375" s="94"/>
      <c r="X375" s="6"/>
    </row>
    <row r="376" ht="15.75" customHeight="1">
      <c r="S376" s="94"/>
      <c r="X376" s="6"/>
    </row>
    <row r="377" ht="15.75" customHeight="1">
      <c r="S377" s="94"/>
      <c r="X377" s="6"/>
    </row>
    <row r="378" ht="15.75" customHeight="1">
      <c r="S378" s="94"/>
      <c r="X378" s="6"/>
    </row>
    <row r="379" ht="15.75" customHeight="1">
      <c r="S379" s="94"/>
      <c r="X379" s="6"/>
    </row>
    <row r="380" ht="15.75" customHeight="1">
      <c r="S380" s="94"/>
      <c r="X380" s="6"/>
    </row>
    <row r="381" ht="15.75" customHeight="1">
      <c r="S381" s="94"/>
      <c r="X381" s="6"/>
    </row>
    <row r="382" ht="15.75" customHeight="1">
      <c r="S382" s="94"/>
      <c r="X382" s="6"/>
    </row>
    <row r="383" ht="15.75" customHeight="1">
      <c r="S383" s="94"/>
      <c r="X383" s="6"/>
    </row>
    <row r="384" ht="15.75" customHeight="1">
      <c r="S384" s="94"/>
      <c r="X384" s="6"/>
    </row>
    <row r="385" ht="15.75" customHeight="1">
      <c r="S385" s="94"/>
      <c r="X385" s="6"/>
    </row>
    <row r="386" ht="15.75" customHeight="1">
      <c r="S386" s="94"/>
      <c r="X386" s="6"/>
    </row>
    <row r="387" ht="15.75" customHeight="1">
      <c r="S387" s="94"/>
      <c r="X387" s="6"/>
    </row>
    <row r="388" ht="15.75" customHeight="1">
      <c r="S388" s="94"/>
      <c r="X388" s="6"/>
    </row>
    <row r="389" ht="15.75" customHeight="1">
      <c r="S389" s="94"/>
      <c r="X389" s="6"/>
    </row>
    <row r="390" ht="15.75" customHeight="1">
      <c r="S390" s="94"/>
      <c r="X390" s="6"/>
    </row>
    <row r="391" ht="15.75" customHeight="1">
      <c r="S391" s="94"/>
      <c r="X391" s="6"/>
    </row>
    <row r="392" ht="15.75" customHeight="1">
      <c r="S392" s="94"/>
      <c r="X392" s="6"/>
    </row>
    <row r="393" ht="15.75" customHeight="1">
      <c r="S393" s="94"/>
      <c r="X393" s="6"/>
    </row>
    <row r="394" ht="15.75" customHeight="1">
      <c r="S394" s="94"/>
      <c r="X394" s="6"/>
    </row>
    <row r="395" ht="15.75" customHeight="1">
      <c r="S395" s="94"/>
      <c r="X395" s="6"/>
    </row>
    <row r="396" ht="15.75" customHeight="1">
      <c r="S396" s="94"/>
      <c r="X396" s="6"/>
    </row>
    <row r="397" ht="15.75" customHeight="1">
      <c r="S397" s="94"/>
      <c r="X397" s="6"/>
    </row>
    <row r="398" ht="15.75" customHeight="1">
      <c r="S398" s="94"/>
      <c r="X398" s="6"/>
    </row>
    <row r="399" ht="15.75" customHeight="1">
      <c r="S399" s="94"/>
      <c r="X399" s="6"/>
    </row>
    <row r="400" ht="15.75" customHeight="1">
      <c r="S400" s="94"/>
      <c r="X400" s="6"/>
    </row>
    <row r="401" ht="15.75" customHeight="1">
      <c r="S401" s="94"/>
      <c r="X401" s="6"/>
    </row>
    <row r="402" ht="15.75" customHeight="1">
      <c r="S402" s="94"/>
      <c r="X402" s="6"/>
    </row>
    <row r="403" ht="15.75" customHeight="1">
      <c r="S403" s="94"/>
      <c r="X403" s="6"/>
    </row>
    <row r="404" ht="15.75" customHeight="1">
      <c r="S404" s="94"/>
      <c r="X404" s="6"/>
    </row>
    <row r="405" ht="15.75" customHeight="1">
      <c r="S405" s="94"/>
      <c r="X405" s="6"/>
    </row>
    <row r="406" ht="15.75" customHeight="1">
      <c r="S406" s="94"/>
      <c r="X406" s="6"/>
    </row>
    <row r="407" ht="15.75" customHeight="1">
      <c r="S407" s="94"/>
      <c r="X407" s="6"/>
    </row>
    <row r="408" ht="15.75" customHeight="1">
      <c r="S408" s="94"/>
      <c r="X408" s="6"/>
    </row>
    <row r="409" ht="15.75" customHeight="1">
      <c r="S409" s="94"/>
      <c r="X409" s="6"/>
    </row>
    <row r="410" ht="15.75" customHeight="1">
      <c r="S410" s="94"/>
      <c r="X410" s="6"/>
    </row>
    <row r="411" ht="15.75" customHeight="1">
      <c r="S411" s="94"/>
      <c r="X411" s="6"/>
    </row>
    <row r="412" ht="15.75" customHeight="1">
      <c r="S412" s="94"/>
      <c r="X412" s="6"/>
    </row>
    <row r="413" ht="15.75" customHeight="1">
      <c r="S413" s="94"/>
      <c r="X413" s="6"/>
    </row>
    <row r="414" ht="15.75" customHeight="1">
      <c r="S414" s="94"/>
      <c r="X414" s="6"/>
    </row>
    <row r="415" ht="15.75" customHeight="1">
      <c r="S415" s="94"/>
      <c r="X415" s="6"/>
    </row>
    <row r="416" ht="15.75" customHeight="1">
      <c r="S416" s="94"/>
      <c r="X416" s="6"/>
    </row>
    <row r="417" ht="15.75" customHeight="1">
      <c r="S417" s="94"/>
      <c r="X417" s="6"/>
    </row>
    <row r="418" ht="15.75" customHeight="1">
      <c r="S418" s="94"/>
      <c r="X418" s="6"/>
    </row>
    <row r="419" ht="15.75" customHeight="1">
      <c r="S419" s="94"/>
      <c r="X419" s="6"/>
    </row>
    <row r="420" ht="15.75" customHeight="1">
      <c r="S420" s="94"/>
      <c r="X420" s="6"/>
    </row>
    <row r="421" ht="15.75" customHeight="1">
      <c r="S421" s="94"/>
      <c r="X421" s="6"/>
    </row>
    <row r="422" ht="15.75" customHeight="1">
      <c r="S422" s="94"/>
      <c r="X422" s="6"/>
    </row>
    <row r="423" ht="15.75" customHeight="1">
      <c r="S423" s="94"/>
      <c r="X423" s="6"/>
    </row>
    <row r="424" ht="15.75" customHeight="1">
      <c r="S424" s="94"/>
      <c r="X424" s="6"/>
    </row>
    <row r="425" ht="15.75" customHeight="1">
      <c r="S425" s="94"/>
      <c r="X425" s="6"/>
    </row>
    <row r="426" ht="15.75" customHeight="1">
      <c r="S426" s="94"/>
      <c r="X426" s="6"/>
    </row>
    <row r="427" ht="15.75" customHeight="1">
      <c r="S427" s="94"/>
      <c r="X427" s="6"/>
    </row>
    <row r="428" ht="15.75" customHeight="1">
      <c r="S428" s="94"/>
      <c r="X428" s="6"/>
    </row>
    <row r="429" ht="15.75" customHeight="1">
      <c r="S429" s="94"/>
      <c r="X429" s="6"/>
    </row>
    <row r="430" ht="15.75" customHeight="1">
      <c r="S430" s="94"/>
      <c r="X430" s="6"/>
    </row>
    <row r="431" ht="15.75" customHeight="1">
      <c r="S431" s="94"/>
      <c r="X431" s="6"/>
    </row>
    <row r="432" ht="15.75" customHeight="1">
      <c r="S432" s="94"/>
      <c r="X432" s="6"/>
    </row>
    <row r="433" ht="15.75" customHeight="1">
      <c r="S433" s="94"/>
      <c r="X433" s="6"/>
    </row>
    <row r="434" ht="15.75" customHeight="1">
      <c r="S434" s="94"/>
      <c r="X434" s="6"/>
    </row>
    <row r="435" ht="15.75" customHeight="1">
      <c r="S435" s="94"/>
      <c r="X435" s="6"/>
    </row>
    <row r="436" ht="15.75" customHeight="1">
      <c r="S436" s="94"/>
      <c r="X436" s="6"/>
    </row>
    <row r="437" ht="15.75" customHeight="1">
      <c r="S437" s="94"/>
      <c r="X437" s="6"/>
    </row>
    <row r="438" ht="15.75" customHeight="1">
      <c r="S438" s="94"/>
      <c r="X438" s="6"/>
    </row>
    <row r="439" ht="15.75" customHeight="1">
      <c r="S439" s="94"/>
      <c r="X439" s="6"/>
    </row>
    <row r="440" ht="15.75" customHeight="1">
      <c r="S440" s="94"/>
      <c r="X440" s="6"/>
    </row>
    <row r="441" ht="15.75" customHeight="1">
      <c r="S441" s="94"/>
      <c r="X441" s="6"/>
    </row>
    <row r="442" ht="15.75" customHeight="1">
      <c r="S442" s="94"/>
      <c r="X442" s="6"/>
    </row>
    <row r="443" ht="15.75" customHeight="1">
      <c r="S443" s="94"/>
      <c r="X443" s="6"/>
    </row>
    <row r="444" ht="15.75" customHeight="1">
      <c r="S444" s="94"/>
      <c r="X444" s="6"/>
    </row>
    <row r="445" ht="15.75" customHeight="1">
      <c r="S445" s="94"/>
      <c r="X445" s="6"/>
    </row>
    <row r="446" ht="15.75" customHeight="1">
      <c r="S446" s="94"/>
      <c r="X446" s="6"/>
    </row>
    <row r="447" ht="15.75" customHeight="1">
      <c r="S447" s="94"/>
      <c r="X447" s="6"/>
    </row>
    <row r="448" ht="15.75" customHeight="1">
      <c r="S448" s="94"/>
      <c r="X448" s="6"/>
    </row>
    <row r="449" ht="15.75" customHeight="1">
      <c r="S449" s="94"/>
      <c r="X449" s="6"/>
    </row>
    <row r="450" ht="15.75" customHeight="1">
      <c r="S450" s="94"/>
      <c r="X450" s="6"/>
    </row>
    <row r="451" ht="15.75" customHeight="1">
      <c r="S451" s="94"/>
      <c r="X451" s="6"/>
    </row>
    <row r="452" ht="15.75" customHeight="1">
      <c r="S452" s="94"/>
      <c r="X452" s="6"/>
    </row>
    <row r="453" ht="15.75" customHeight="1">
      <c r="S453" s="94"/>
      <c r="X453" s="6"/>
    </row>
    <row r="454" ht="15.75" customHeight="1">
      <c r="S454" s="94"/>
      <c r="X454" s="6"/>
    </row>
    <row r="455" ht="15.75" customHeight="1">
      <c r="S455" s="94"/>
      <c r="X455" s="6"/>
    </row>
    <row r="456" ht="15.75" customHeight="1">
      <c r="S456" s="94"/>
      <c r="X456" s="6"/>
    </row>
    <row r="457" ht="15.75" customHeight="1">
      <c r="S457" s="94"/>
      <c r="X457" s="6"/>
    </row>
    <row r="458" ht="15.75" customHeight="1">
      <c r="S458" s="94"/>
      <c r="X458" s="6"/>
    </row>
    <row r="459" ht="15.75" customHeight="1">
      <c r="S459" s="94"/>
      <c r="X459" s="6"/>
    </row>
    <row r="460" ht="15.75" customHeight="1">
      <c r="S460" s="94"/>
      <c r="X460" s="6"/>
    </row>
    <row r="461" ht="15.75" customHeight="1">
      <c r="S461" s="94"/>
      <c r="X461" s="6"/>
    </row>
    <row r="462" ht="15.75" customHeight="1">
      <c r="S462" s="94"/>
      <c r="X462" s="6"/>
    </row>
    <row r="463" ht="15.75" customHeight="1">
      <c r="S463" s="94"/>
      <c r="X463" s="6"/>
    </row>
    <row r="464" ht="15.75" customHeight="1">
      <c r="S464" s="94"/>
      <c r="X464" s="6"/>
    </row>
    <row r="465" ht="15.75" customHeight="1">
      <c r="S465" s="94"/>
      <c r="X465" s="6"/>
    </row>
    <row r="466" ht="15.75" customHeight="1">
      <c r="S466" s="94"/>
      <c r="X466" s="6"/>
    </row>
    <row r="467" ht="15.75" customHeight="1">
      <c r="S467" s="94"/>
      <c r="X467" s="6"/>
    </row>
    <row r="468" ht="15.75" customHeight="1">
      <c r="S468" s="94"/>
      <c r="X468" s="6"/>
    </row>
    <row r="469" ht="15.75" customHeight="1">
      <c r="S469" s="94"/>
      <c r="X469" s="6"/>
    </row>
    <row r="470" ht="15.75" customHeight="1">
      <c r="S470" s="94"/>
      <c r="X470" s="6"/>
    </row>
    <row r="471" ht="15.75" customHeight="1">
      <c r="S471" s="94"/>
      <c r="X471" s="6"/>
    </row>
    <row r="472" ht="15.75" customHeight="1">
      <c r="S472" s="94"/>
      <c r="X472" s="6"/>
    </row>
    <row r="473" ht="15.75" customHeight="1">
      <c r="S473" s="94"/>
      <c r="X473" s="6"/>
    </row>
    <row r="474" ht="15.75" customHeight="1">
      <c r="S474" s="94"/>
      <c r="X474" s="6"/>
    </row>
    <row r="475" ht="15.75" customHeight="1">
      <c r="S475" s="94"/>
      <c r="X475" s="6"/>
    </row>
    <row r="476" ht="15.75" customHeight="1">
      <c r="S476" s="94"/>
      <c r="X476" s="6"/>
    </row>
    <row r="477" ht="15.75" customHeight="1">
      <c r="S477" s="94"/>
      <c r="X477" s="6"/>
    </row>
    <row r="478" ht="15.75" customHeight="1">
      <c r="S478" s="94"/>
      <c r="X478" s="6"/>
    </row>
    <row r="479" ht="15.75" customHeight="1">
      <c r="S479" s="94"/>
      <c r="X479" s="6"/>
    </row>
    <row r="480" ht="15.75" customHeight="1">
      <c r="S480" s="94"/>
      <c r="X480" s="6"/>
    </row>
    <row r="481" ht="15.75" customHeight="1">
      <c r="S481" s="94"/>
      <c r="X481" s="6"/>
    </row>
    <row r="482" ht="15.75" customHeight="1">
      <c r="S482" s="94"/>
      <c r="X482" s="6"/>
    </row>
    <row r="483" ht="15.75" customHeight="1">
      <c r="S483" s="94"/>
      <c r="X483" s="6"/>
    </row>
    <row r="484" ht="15.75" customHeight="1">
      <c r="S484" s="94"/>
      <c r="X484" s="6"/>
    </row>
    <row r="485" ht="15.75" customHeight="1">
      <c r="S485" s="94"/>
      <c r="X485" s="6"/>
    </row>
    <row r="486" ht="15.75" customHeight="1">
      <c r="S486" s="94"/>
      <c r="X486" s="6"/>
    </row>
    <row r="487" ht="15.75" customHeight="1">
      <c r="S487" s="94"/>
      <c r="X487" s="6"/>
    </row>
    <row r="488" ht="15.75" customHeight="1">
      <c r="S488" s="94"/>
      <c r="X488" s="6"/>
    </row>
    <row r="489" ht="15.75" customHeight="1">
      <c r="S489" s="94"/>
      <c r="X489" s="6"/>
    </row>
    <row r="490" ht="15.75" customHeight="1">
      <c r="S490" s="94"/>
      <c r="X490" s="6"/>
    </row>
    <row r="491" ht="15.75" customHeight="1">
      <c r="S491" s="94"/>
      <c r="X491" s="6"/>
    </row>
    <row r="492" ht="15.75" customHeight="1">
      <c r="S492" s="94"/>
      <c r="X492" s="6"/>
    </row>
    <row r="493" ht="15.75" customHeight="1">
      <c r="S493" s="94"/>
      <c r="X493" s="6"/>
    </row>
    <row r="494" ht="15.75" customHeight="1">
      <c r="S494" s="94"/>
      <c r="X494" s="6"/>
    </row>
    <row r="495" ht="15.75" customHeight="1">
      <c r="S495" s="94"/>
      <c r="X495" s="6"/>
    </row>
    <row r="496" ht="15.75" customHeight="1">
      <c r="S496" s="94"/>
      <c r="X496" s="6"/>
    </row>
    <row r="497" ht="15.75" customHeight="1">
      <c r="S497" s="94"/>
      <c r="X497" s="6"/>
    </row>
    <row r="498" ht="15.75" customHeight="1">
      <c r="S498" s="94"/>
      <c r="X498" s="6"/>
    </row>
    <row r="499" ht="15.75" customHeight="1">
      <c r="S499" s="94"/>
      <c r="X499" s="6"/>
    </row>
    <row r="500" ht="15.75" customHeight="1">
      <c r="S500" s="94"/>
      <c r="X500" s="6"/>
    </row>
    <row r="501" ht="15.75" customHeight="1">
      <c r="S501" s="94"/>
      <c r="X501" s="6"/>
    </row>
    <row r="502" ht="15.75" customHeight="1">
      <c r="S502" s="94"/>
      <c r="X502" s="6"/>
    </row>
    <row r="503" ht="15.75" customHeight="1">
      <c r="S503" s="94"/>
      <c r="X503" s="6"/>
    </row>
    <row r="504" ht="15.75" customHeight="1">
      <c r="S504" s="94"/>
      <c r="X504" s="6"/>
    </row>
    <row r="505" ht="15.75" customHeight="1">
      <c r="S505" s="94"/>
      <c r="X505" s="6"/>
    </row>
    <row r="506" ht="15.75" customHeight="1">
      <c r="S506" s="94"/>
      <c r="X506" s="6"/>
    </row>
    <row r="507" ht="15.75" customHeight="1">
      <c r="S507" s="94"/>
      <c r="X507" s="6"/>
    </row>
    <row r="508" ht="15.75" customHeight="1">
      <c r="S508" s="94"/>
      <c r="X508" s="6"/>
    </row>
    <row r="509" ht="15.75" customHeight="1">
      <c r="S509" s="94"/>
      <c r="X509" s="6"/>
    </row>
    <row r="510" ht="15.75" customHeight="1">
      <c r="S510" s="94"/>
      <c r="X510" s="6"/>
    </row>
    <row r="511" ht="15.75" customHeight="1">
      <c r="S511" s="94"/>
      <c r="X511" s="6"/>
    </row>
    <row r="512" ht="15.75" customHeight="1">
      <c r="S512" s="94"/>
      <c r="X512" s="6"/>
    </row>
    <row r="513" ht="15.75" customHeight="1">
      <c r="S513" s="94"/>
      <c r="X513" s="6"/>
    </row>
    <row r="514" ht="15.75" customHeight="1">
      <c r="S514" s="94"/>
      <c r="X514" s="6"/>
    </row>
    <row r="515" ht="15.75" customHeight="1">
      <c r="S515" s="94"/>
      <c r="X515" s="6"/>
    </row>
    <row r="516" ht="15.75" customHeight="1">
      <c r="S516" s="94"/>
      <c r="X516" s="6"/>
    </row>
    <row r="517" ht="15.75" customHeight="1">
      <c r="S517" s="94"/>
      <c r="X517" s="6"/>
    </row>
    <row r="518" ht="15.75" customHeight="1">
      <c r="S518" s="94"/>
      <c r="X518" s="6"/>
    </row>
    <row r="519" ht="15.75" customHeight="1">
      <c r="S519" s="94"/>
      <c r="X519" s="6"/>
    </row>
    <row r="520" ht="15.75" customHeight="1">
      <c r="S520" s="94"/>
      <c r="X520" s="6"/>
    </row>
    <row r="521" ht="15.75" customHeight="1">
      <c r="S521" s="94"/>
      <c r="X521" s="6"/>
    </row>
    <row r="522" ht="15.75" customHeight="1">
      <c r="S522" s="94"/>
      <c r="X522" s="6"/>
    </row>
    <row r="523" ht="15.75" customHeight="1">
      <c r="S523" s="94"/>
      <c r="X523" s="6"/>
    </row>
    <row r="524" ht="15.75" customHeight="1">
      <c r="S524" s="94"/>
      <c r="X524" s="6"/>
    </row>
    <row r="525" ht="15.75" customHeight="1">
      <c r="S525" s="94"/>
      <c r="X525" s="6"/>
    </row>
    <row r="526" ht="15.75" customHeight="1">
      <c r="S526" s="94"/>
      <c r="X526" s="6"/>
    </row>
    <row r="527" ht="15.75" customHeight="1">
      <c r="S527" s="94"/>
      <c r="X527" s="6"/>
    </row>
    <row r="528" ht="15.75" customHeight="1">
      <c r="S528" s="94"/>
      <c r="X528" s="6"/>
    </row>
    <row r="529" ht="15.75" customHeight="1">
      <c r="S529" s="94"/>
      <c r="X529" s="6"/>
    </row>
    <row r="530" ht="15.75" customHeight="1">
      <c r="S530" s="94"/>
      <c r="X530" s="6"/>
    </row>
    <row r="531" ht="15.75" customHeight="1">
      <c r="S531" s="94"/>
      <c r="X531" s="6"/>
    </row>
    <row r="532" ht="15.75" customHeight="1">
      <c r="S532" s="94"/>
      <c r="X532" s="6"/>
    </row>
    <row r="533" ht="15.75" customHeight="1">
      <c r="S533" s="94"/>
      <c r="X533" s="6"/>
    </row>
    <row r="534" ht="15.75" customHeight="1">
      <c r="S534" s="94"/>
      <c r="X534" s="6"/>
    </row>
    <row r="535" ht="15.75" customHeight="1">
      <c r="S535" s="94"/>
      <c r="X535" s="6"/>
    </row>
    <row r="536" ht="15.75" customHeight="1">
      <c r="S536" s="94"/>
      <c r="X536" s="6"/>
    </row>
    <row r="537" ht="15.75" customHeight="1">
      <c r="S537" s="94"/>
      <c r="X537" s="6"/>
    </row>
    <row r="538" ht="15.75" customHeight="1">
      <c r="S538" s="94"/>
      <c r="X538" s="6"/>
    </row>
    <row r="539" ht="15.75" customHeight="1">
      <c r="S539" s="94"/>
      <c r="X539" s="6"/>
    </row>
    <row r="540" ht="15.75" customHeight="1">
      <c r="S540" s="94"/>
      <c r="X540" s="6"/>
    </row>
    <row r="541" ht="15.75" customHeight="1">
      <c r="S541" s="94"/>
      <c r="X541" s="6"/>
    </row>
    <row r="542" ht="15.75" customHeight="1">
      <c r="S542" s="94"/>
      <c r="X542" s="6"/>
    </row>
    <row r="543" ht="15.75" customHeight="1">
      <c r="S543" s="94"/>
      <c r="X543" s="6"/>
    </row>
    <row r="544" ht="15.75" customHeight="1">
      <c r="S544" s="94"/>
      <c r="X544" s="6"/>
    </row>
    <row r="545" ht="15.75" customHeight="1">
      <c r="S545" s="94"/>
      <c r="X545" s="6"/>
    </row>
    <row r="546" ht="15.75" customHeight="1">
      <c r="S546" s="94"/>
      <c r="X546" s="6"/>
    </row>
    <row r="547" ht="15.75" customHeight="1">
      <c r="S547" s="94"/>
      <c r="X547" s="6"/>
    </row>
    <row r="548" ht="15.75" customHeight="1">
      <c r="S548" s="94"/>
      <c r="X548" s="6"/>
    </row>
    <row r="549" ht="15.75" customHeight="1">
      <c r="S549" s="94"/>
      <c r="X549" s="6"/>
    </row>
    <row r="550" ht="15.75" customHeight="1">
      <c r="S550" s="94"/>
      <c r="X550" s="6"/>
    </row>
    <row r="551" ht="15.75" customHeight="1">
      <c r="S551" s="94"/>
      <c r="X551" s="6"/>
    </row>
    <row r="552" ht="15.75" customHeight="1">
      <c r="S552" s="94"/>
      <c r="X552" s="6"/>
    </row>
    <row r="553" ht="15.75" customHeight="1">
      <c r="S553" s="94"/>
      <c r="X553" s="6"/>
    </row>
    <row r="554" ht="15.75" customHeight="1">
      <c r="S554" s="94"/>
      <c r="X554" s="6"/>
    </row>
    <row r="555" ht="15.75" customHeight="1">
      <c r="S555" s="94"/>
      <c r="X555" s="6"/>
    </row>
    <row r="556" ht="15.75" customHeight="1">
      <c r="S556" s="94"/>
      <c r="X556" s="6"/>
    </row>
    <row r="557" ht="15.75" customHeight="1">
      <c r="S557" s="94"/>
      <c r="X557" s="6"/>
    </row>
    <row r="558" ht="15.75" customHeight="1">
      <c r="S558" s="94"/>
      <c r="X558" s="6"/>
    </row>
    <row r="559" ht="15.75" customHeight="1">
      <c r="S559" s="94"/>
      <c r="X559" s="6"/>
    </row>
    <row r="560" ht="15.75" customHeight="1">
      <c r="S560" s="94"/>
      <c r="X560" s="6"/>
    </row>
    <row r="561" ht="15.75" customHeight="1">
      <c r="S561" s="94"/>
      <c r="X561" s="6"/>
    </row>
    <row r="562" ht="15.75" customHeight="1">
      <c r="S562" s="94"/>
      <c r="X562" s="6"/>
    </row>
    <row r="563" ht="15.75" customHeight="1">
      <c r="S563" s="94"/>
      <c r="X563" s="6"/>
    </row>
    <row r="564" ht="15.75" customHeight="1">
      <c r="S564" s="94"/>
      <c r="X564" s="6"/>
    </row>
    <row r="565" ht="15.75" customHeight="1">
      <c r="S565" s="94"/>
      <c r="X565" s="6"/>
    </row>
    <row r="566" ht="15.75" customHeight="1">
      <c r="S566" s="94"/>
      <c r="X566" s="6"/>
    </row>
    <row r="567" ht="15.75" customHeight="1">
      <c r="S567" s="94"/>
      <c r="X567" s="6"/>
    </row>
    <row r="568" ht="15.75" customHeight="1">
      <c r="S568" s="94"/>
      <c r="X568" s="6"/>
    </row>
    <row r="569" ht="15.75" customHeight="1">
      <c r="S569" s="94"/>
      <c r="X569" s="6"/>
    </row>
    <row r="570" ht="15.75" customHeight="1">
      <c r="S570" s="94"/>
      <c r="X570" s="6"/>
    </row>
    <row r="571" ht="15.75" customHeight="1">
      <c r="S571" s="94"/>
      <c r="X571" s="6"/>
    </row>
    <row r="572" ht="15.75" customHeight="1">
      <c r="S572" s="94"/>
      <c r="X572" s="6"/>
    </row>
    <row r="573" ht="15.75" customHeight="1">
      <c r="S573" s="94"/>
      <c r="X573" s="6"/>
    </row>
    <row r="574" ht="15.75" customHeight="1">
      <c r="S574" s="94"/>
      <c r="X574" s="6"/>
    </row>
    <row r="575" ht="15.75" customHeight="1">
      <c r="S575" s="94"/>
      <c r="X575" s="6"/>
    </row>
    <row r="576" ht="15.75" customHeight="1">
      <c r="S576" s="94"/>
      <c r="X576" s="6"/>
    </row>
    <row r="577" ht="15.75" customHeight="1">
      <c r="S577" s="94"/>
      <c r="X577" s="6"/>
    </row>
    <row r="578" ht="15.75" customHeight="1">
      <c r="S578" s="94"/>
      <c r="X578" s="6"/>
    </row>
    <row r="579" ht="15.75" customHeight="1">
      <c r="S579" s="94"/>
      <c r="X579" s="6"/>
    </row>
    <row r="580" ht="15.75" customHeight="1">
      <c r="S580" s="94"/>
      <c r="X580" s="6"/>
    </row>
    <row r="581" ht="15.75" customHeight="1">
      <c r="S581" s="94"/>
      <c r="X581" s="6"/>
    </row>
    <row r="582" ht="15.75" customHeight="1">
      <c r="S582" s="94"/>
      <c r="X582" s="6"/>
    </row>
    <row r="583" ht="15.75" customHeight="1">
      <c r="S583" s="94"/>
      <c r="X583" s="6"/>
    </row>
    <row r="584" ht="15.75" customHeight="1">
      <c r="S584" s="94"/>
      <c r="X584" s="6"/>
    </row>
    <row r="585" ht="15.75" customHeight="1">
      <c r="S585" s="94"/>
      <c r="X585" s="6"/>
    </row>
    <row r="586" ht="15.75" customHeight="1">
      <c r="S586" s="94"/>
      <c r="X586" s="6"/>
    </row>
    <row r="587" ht="15.75" customHeight="1">
      <c r="S587" s="94"/>
      <c r="X587" s="6"/>
    </row>
    <row r="588" ht="15.75" customHeight="1">
      <c r="S588" s="94"/>
      <c r="X588" s="6"/>
    </row>
    <row r="589" ht="15.75" customHeight="1">
      <c r="S589" s="94"/>
      <c r="X589" s="6"/>
    </row>
    <row r="590" ht="15.75" customHeight="1">
      <c r="S590" s="94"/>
      <c r="X590" s="6"/>
    </row>
    <row r="591" ht="15.75" customHeight="1">
      <c r="S591" s="94"/>
      <c r="X591" s="6"/>
    </row>
    <row r="592" ht="15.75" customHeight="1">
      <c r="S592" s="94"/>
      <c r="X592" s="6"/>
    </row>
    <row r="593" ht="15.75" customHeight="1">
      <c r="S593" s="94"/>
      <c r="X593" s="6"/>
    </row>
    <row r="594" ht="15.75" customHeight="1">
      <c r="S594" s="94"/>
      <c r="X594" s="6"/>
    </row>
    <row r="595" ht="15.75" customHeight="1">
      <c r="S595" s="94"/>
      <c r="X595" s="6"/>
    </row>
    <row r="596" ht="15.75" customHeight="1">
      <c r="S596" s="94"/>
      <c r="X596" s="6"/>
    </row>
    <row r="597" ht="15.75" customHeight="1">
      <c r="S597" s="94"/>
      <c r="X597" s="6"/>
    </row>
    <row r="598" ht="15.75" customHeight="1">
      <c r="S598" s="94"/>
      <c r="X598" s="6"/>
    </row>
    <row r="599" ht="15.75" customHeight="1">
      <c r="S599" s="94"/>
      <c r="X599" s="6"/>
    </row>
    <row r="600" ht="15.75" customHeight="1">
      <c r="S600" s="94"/>
      <c r="X600" s="6"/>
    </row>
    <row r="601" ht="15.75" customHeight="1">
      <c r="S601" s="94"/>
      <c r="X601" s="6"/>
    </row>
    <row r="602" ht="15.75" customHeight="1">
      <c r="S602" s="94"/>
      <c r="X602" s="6"/>
    </row>
    <row r="603" ht="15.75" customHeight="1">
      <c r="S603" s="94"/>
      <c r="X603" s="6"/>
    </row>
    <row r="604" ht="15.75" customHeight="1">
      <c r="S604" s="94"/>
      <c r="X604" s="6"/>
    </row>
    <row r="605" ht="15.75" customHeight="1">
      <c r="S605" s="94"/>
      <c r="X605" s="6"/>
    </row>
    <row r="606" ht="15.75" customHeight="1">
      <c r="S606" s="94"/>
      <c r="X606" s="6"/>
    </row>
    <row r="607" ht="15.75" customHeight="1">
      <c r="S607" s="94"/>
      <c r="X607" s="6"/>
    </row>
    <row r="608" ht="15.75" customHeight="1">
      <c r="S608" s="94"/>
      <c r="X608" s="6"/>
    </row>
    <row r="609" ht="15.75" customHeight="1">
      <c r="S609" s="94"/>
      <c r="X609" s="6"/>
    </row>
    <row r="610" ht="15.75" customHeight="1">
      <c r="S610" s="94"/>
      <c r="X610" s="6"/>
    </row>
    <row r="611" ht="15.75" customHeight="1">
      <c r="S611" s="94"/>
      <c r="X611" s="6"/>
    </row>
    <row r="612" ht="15.75" customHeight="1">
      <c r="S612" s="94"/>
      <c r="X612" s="6"/>
    </row>
    <row r="613" ht="15.75" customHeight="1">
      <c r="S613" s="94"/>
      <c r="X613" s="6"/>
    </row>
    <row r="614" ht="15.75" customHeight="1">
      <c r="S614" s="94"/>
      <c r="X614" s="6"/>
    </row>
    <row r="615" ht="15.75" customHeight="1">
      <c r="S615" s="94"/>
      <c r="X615" s="6"/>
    </row>
    <row r="616" ht="15.75" customHeight="1">
      <c r="S616" s="94"/>
      <c r="X616" s="6"/>
    </row>
    <row r="617" ht="15.75" customHeight="1">
      <c r="S617" s="94"/>
      <c r="X617" s="6"/>
    </row>
    <row r="618" ht="15.75" customHeight="1">
      <c r="S618" s="94"/>
      <c r="X618" s="6"/>
    </row>
    <row r="619" ht="15.75" customHeight="1">
      <c r="S619" s="94"/>
      <c r="X619" s="6"/>
    </row>
    <row r="620" ht="15.75" customHeight="1">
      <c r="S620" s="94"/>
      <c r="X620" s="6"/>
    </row>
    <row r="621" ht="15.75" customHeight="1">
      <c r="S621" s="94"/>
      <c r="X621" s="6"/>
    </row>
    <row r="622" ht="15.75" customHeight="1">
      <c r="S622" s="94"/>
      <c r="X622" s="6"/>
    </row>
    <row r="623" ht="15.75" customHeight="1">
      <c r="S623" s="94"/>
      <c r="X623" s="6"/>
    </row>
    <row r="624" ht="15.75" customHeight="1">
      <c r="S624" s="94"/>
      <c r="X624" s="6"/>
    </row>
    <row r="625" ht="15.75" customHeight="1">
      <c r="S625" s="94"/>
      <c r="X625" s="6"/>
    </row>
    <row r="626" ht="15.75" customHeight="1">
      <c r="S626" s="94"/>
      <c r="X626" s="6"/>
    </row>
    <row r="627" ht="15.75" customHeight="1">
      <c r="S627" s="94"/>
      <c r="X627" s="6"/>
    </row>
    <row r="628" ht="15.75" customHeight="1">
      <c r="S628" s="94"/>
      <c r="X628" s="6"/>
    </row>
    <row r="629" ht="15.75" customHeight="1">
      <c r="S629" s="94"/>
      <c r="X629" s="6"/>
    </row>
    <row r="630" ht="15.75" customHeight="1">
      <c r="S630" s="94"/>
      <c r="X630" s="6"/>
    </row>
    <row r="631" ht="15.75" customHeight="1">
      <c r="S631" s="94"/>
      <c r="X631" s="6"/>
    </row>
    <row r="632" ht="15.75" customHeight="1">
      <c r="S632" s="94"/>
      <c r="X632" s="6"/>
    </row>
    <row r="633" ht="15.75" customHeight="1">
      <c r="S633" s="94"/>
      <c r="X633" s="6"/>
    </row>
    <row r="634" ht="15.75" customHeight="1">
      <c r="S634" s="94"/>
      <c r="X634" s="6"/>
    </row>
    <row r="635" ht="15.75" customHeight="1">
      <c r="S635" s="94"/>
      <c r="X635" s="6"/>
    </row>
    <row r="636" ht="15.75" customHeight="1">
      <c r="S636" s="94"/>
      <c r="X636" s="6"/>
    </row>
    <row r="637" ht="15.75" customHeight="1">
      <c r="S637" s="94"/>
      <c r="X637" s="6"/>
    </row>
    <row r="638" ht="15.75" customHeight="1">
      <c r="S638" s="94"/>
      <c r="X638" s="6"/>
    </row>
    <row r="639" ht="15.75" customHeight="1">
      <c r="S639" s="94"/>
      <c r="X639" s="6"/>
    </row>
    <row r="640" ht="15.75" customHeight="1">
      <c r="S640" s="94"/>
      <c r="X640" s="6"/>
    </row>
    <row r="641" ht="15.75" customHeight="1">
      <c r="S641" s="94"/>
      <c r="X641" s="6"/>
    </row>
    <row r="642" ht="15.75" customHeight="1">
      <c r="S642" s="94"/>
      <c r="X642" s="6"/>
    </row>
    <row r="643" ht="15.75" customHeight="1">
      <c r="S643" s="94"/>
      <c r="X643" s="6"/>
    </row>
    <row r="644" ht="15.75" customHeight="1">
      <c r="S644" s="94"/>
      <c r="X644" s="6"/>
    </row>
    <row r="645" ht="15.75" customHeight="1">
      <c r="S645" s="94"/>
      <c r="X645" s="6"/>
    </row>
    <row r="646" ht="15.75" customHeight="1">
      <c r="S646" s="94"/>
      <c r="X646" s="6"/>
    </row>
    <row r="647" ht="15.75" customHeight="1">
      <c r="S647" s="94"/>
      <c r="X647" s="6"/>
    </row>
    <row r="648" ht="15.75" customHeight="1">
      <c r="S648" s="94"/>
      <c r="X648" s="6"/>
    </row>
    <row r="649" ht="15.75" customHeight="1">
      <c r="S649" s="94"/>
      <c r="X649" s="6"/>
    </row>
    <row r="650" ht="15.75" customHeight="1">
      <c r="S650" s="94"/>
      <c r="X650" s="6"/>
    </row>
    <row r="651" ht="15.75" customHeight="1">
      <c r="S651" s="94"/>
      <c r="X651" s="6"/>
    </row>
    <row r="652" ht="15.75" customHeight="1">
      <c r="S652" s="94"/>
      <c r="X652" s="6"/>
    </row>
    <row r="653" ht="15.75" customHeight="1">
      <c r="S653" s="94"/>
      <c r="X653" s="6"/>
    </row>
    <row r="654" ht="15.75" customHeight="1">
      <c r="S654" s="94"/>
      <c r="X654" s="6"/>
    </row>
    <row r="655" ht="15.75" customHeight="1">
      <c r="S655" s="94"/>
      <c r="X655" s="6"/>
    </row>
    <row r="656" ht="15.75" customHeight="1">
      <c r="S656" s="94"/>
      <c r="X656" s="6"/>
    </row>
    <row r="657" ht="15.75" customHeight="1">
      <c r="S657" s="94"/>
      <c r="X657" s="6"/>
    </row>
    <row r="658" ht="15.75" customHeight="1">
      <c r="S658" s="94"/>
      <c r="X658" s="6"/>
    </row>
    <row r="659" ht="15.75" customHeight="1">
      <c r="S659" s="94"/>
      <c r="X659" s="6"/>
    </row>
    <row r="660" ht="15.75" customHeight="1">
      <c r="S660" s="94"/>
      <c r="X660" s="6"/>
    </row>
    <row r="661" ht="15.75" customHeight="1">
      <c r="S661" s="94"/>
      <c r="X661" s="6"/>
    </row>
    <row r="662" ht="15.75" customHeight="1">
      <c r="S662" s="94"/>
      <c r="X662" s="6"/>
    </row>
    <row r="663" ht="15.75" customHeight="1">
      <c r="S663" s="94"/>
      <c r="X663" s="6"/>
    </row>
    <row r="664" ht="15.75" customHeight="1">
      <c r="S664" s="94"/>
      <c r="X664" s="6"/>
    </row>
    <row r="665" ht="15.75" customHeight="1">
      <c r="S665" s="94"/>
      <c r="X665" s="6"/>
    </row>
    <row r="666" ht="15.75" customHeight="1">
      <c r="S666" s="94"/>
      <c r="X666" s="6"/>
    </row>
    <row r="667" ht="15.75" customHeight="1">
      <c r="S667" s="94"/>
      <c r="X667" s="6"/>
    </row>
    <row r="668" ht="15.75" customHeight="1">
      <c r="S668" s="94"/>
      <c r="X668" s="6"/>
    </row>
    <row r="669" ht="15.75" customHeight="1">
      <c r="S669" s="94"/>
      <c r="X669" s="6"/>
    </row>
    <row r="670" ht="15.75" customHeight="1">
      <c r="S670" s="94"/>
      <c r="X670" s="6"/>
    </row>
    <row r="671" ht="15.75" customHeight="1">
      <c r="S671" s="94"/>
      <c r="X671" s="6"/>
    </row>
    <row r="672" ht="15.75" customHeight="1">
      <c r="S672" s="94"/>
      <c r="X672" s="6"/>
    </row>
    <row r="673" ht="15.75" customHeight="1">
      <c r="S673" s="94"/>
      <c r="X673" s="6"/>
    </row>
    <row r="674" ht="15.75" customHeight="1">
      <c r="S674" s="94"/>
      <c r="X674" s="6"/>
    </row>
    <row r="675" ht="15.75" customHeight="1">
      <c r="S675" s="94"/>
      <c r="X675" s="6"/>
    </row>
    <row r="676" ht="15.75" customHeight="1">
      <c r="S676" s="94"/>
      <c r="X676" s="6"/>
    </row>
    <row r="677" ht="15.75" customHeight="1">
      <c r="S677" s="94"/>
      <c r="X677" s="6"/>
    </row>
    <row r="678" ht="15.75" customHeight="1">
      <c r="S678" s="94"/>
      <c r="X678" s="6"/>
    </row>
    <row r="679" ht="15.75" customHeight="1">
      <c r="S679" s="94"/>
      <c r="X679" s="6"/>
    </row>
    <row r="680" ht="15.75" customHeight="1">
      <c r="S680" s="94"/>
      <c r="X680" s="6"/>
    </row>
    <row r="681" ht="15.75" customHeight="1">
      <c r="S681" s="94"/>
      <c r="X681" s="6"/>
    </row>
    <row r="682" ht="15.75" customHeight="1">
      <c r="S682" s="94"/>
      <c r="X682" s="6"/>
    </row>
    <row r="683" ht="15.75" customHeight="1">
      <c r="S683" s="94"/>
      <c r="X683" s="6"/>
    </row>
    <row r="684" ht="15.75" customHeight="1">
      <c r="S684" s="94"/>
      <c r="X684" s="6"/>
    </row>
    <row r="685" ht="15.75" customHeight="1">
      <c r="S685" s="94"/>
      <c r="X685" s="6"/>
    </row>
    <row r="686" ht="15.75" customHeight="1">
      <c r="S686" s="94"/>
      <c r="X686" s="6"/>
    </row>
    <row r="687" ht="15.75" customHeight="1">
      <c r="S687" s="94"/>
      <c r="X687" s="6"/>
    </row>
    <row r="688" ht="15.75" customHeight="1">
      <c r="S688" s="94"/>
      <c r="X688" s="6"/>
    </row>
    <row r="689" ht="15.75" customHeight="1">
      <c r="S689" s="94"/>
      <c r="X689" s="6"/>
    </row>
    <row r="690" ht="15.75" customHeight="1">
      <c r="S690" s="94"/>
      <c r="X690" s="6"/>
    </row>
    <row r="691" ht="15.75" customHeight="1">
      <c r="S691" s="94"/>
      <c r="X691" s="6"/>
    </row>
    <row r="692" ht="15.75" customHeight="1">
      <c r="S692" s="94"/>
      <c r="X692" s="6"/>
    </row>
    <row r="693" ht="15.75" customHeight="1">
      <c r="S693" s="94"/>
      <c r="X693" s="6"/>
    </row>
    <row r="694" ht="15.75" customHeight="1">
      <c r="S694" s="94"/>
      <c r="X694" s="6"/>
    </row>
    <row r="695" ht="15.75" customHeight="1">
      <c r="S695" s="94"/>
      <c r="X695" s="6"/>
    </row>
    <row r="696" ht="15.75" customHeight="1">
      <c r="S696" s="94"/>
      <c r="X696" s="6"/>
    </row>
    <row r="697" ht="15.75" customHeight="1">
      <c r="S697" s="94"/>
      <c r="X697" s="6"/>
    </row>
    <row r="698" ht="15.75" customHeight="1">
      <c r="S698" s="94"/>
      <c r="X698" s="6"/>
    </row>
    <row r="699" ht="15.75" customHeight="1">
      <c r="S699" s="94"/>
      <c r="X699" s="6"/>
    </row>
    <row r="700" ht="15.75" customHeight="1">
      <c r="S700" s="94"/>
      <c r="X700" s="6"/>
    </row>
    <row r="701" ht="15.75" customHeight="1">
      <c r="S701" s="94"/>
      <c r="X701" s="6"/>
    </row>
    <row r="702" ht="15.75" customHeight="1">
      <c r="S702" s="94"/>
      <c r="X702" s="6"/>
    </row>
    <row r="703" ht="15.75" customHeight="1">
      <c r="S703" s="94"/>
      <c r="X703" s="6"/>
    </row>
    <row r="704" ht="15.75" customHeight="1">
      <c r="S704" s="94"/>
      <c r="X704" s="6"/>
    </row>
    <row r="705" ht="15.75" customHeight="1">
      <c r="S705" s="94"/>
      <c r="X705" s="6"/>
    </row>
    <row r="706" ht="15.75" customHeight="1">
      <c r="S706" s="94"/>
      <c r="X706" s="6"/>
    </row>
    <row r="707" ht="15.75" customHeight="1">
      <c r="S707" s="94"/>
      <c r="X707" s="6"/>
    </row>
    <row r="708" ht="15.75" customHeight="1">
      <c r="S708" s="94"/>
      <c r="X708" s="6"/>
    </row>
    <row r="709" ht="15.75" customHeight="1">
      <c r="S709" s="94"/>
      <c r="X709" s="6"/>
    </row>
    <row r="710" ht="15.75" customHeight="1">
      <c r="S710" s="94"/>
      <c r="X710" s="6"/>
    </row>
    <row r="711" ht="15.75" customHeight="1">
      <c r="S711" s="94"/>
      <c r="X711" s="6"/>
    </row>
    <row r="712" ht="15.75" customHeight="1">
      <c r="S712" s="94"/>
      <c r="X712" s="6"/>
    </row>
    <row r="713" ht="15.75" customHeight="1">
      <c r="S713" s="94"/>
      <c r="X713" s="6"/>
    </row>
    <row r="714" ht="15.75" customHeight="1">
      <c r="S714" s="94"/>
      <c r="X714" s="6"/>
    </row>
    <row r="715" ht="15.75" customHeight="1">
      <c r="S715" s="94"/>
      <c r="X715" s="6"/>
    </row>
    <row r="716" ht="15.75" customHeight="1">
      <c r="S716" s="94"/>
      <c r="X716" s="6"/>
    </row>
    <row r="717" ht="15.75" customHeight="1">
      <c r="S717" s="94"/>
      <c r="X717" s="6"/>
    </row>
    <row r="718" ht="15.75" customHeight="1">
      <c r="S718" s="94"/>
      <c r="X718" s="6"/>
    </row>
    <row r="719" ht="15.75" customHeight="1">
      <c r="S719" s="94"/>
      <c r="X719" s="6"/>
    </row>
    <row r="720" ht="15.75" customHeight="1">
      <c r="S720" s="94"/>
      <c r="X720" s="6"/>
    </row>
    <row r="721" ht="15.75" customHeight="1">
      <c r="S721" s="94"/>
      <c r="X721" s="6"/>
    </row>
    <row r="722" ht="15.75" customHeight="1">
      <c r="S722" s="94"/>
      <c r="X722" s="6"/>
    </row>
    <row r="723" ht="15.75" customHeight="1">
      <c r="S723" s="94"/>
      <c r="X723" s="6"/>
    </row>
    <row r="724" ht="15.75" customHeight="1">
      <c r="S724" s="94"/>
      <c r="X724" s="6"/>
    </row>
    <row r="725" ht="15.75" customHeight="1">
      <c r="S725" s="94"/>
      <c r="X725" s="6"/>
    </row>
    <row r="726" ht="15.75" customHeight="1">
      <c r="S726" s="94"/>
      <c r="X726" s="6"/>
    </row>
    <row r="727" ht="15.75" customHeight="1">
      <c r="S727" s="94"/>
      <c r="X727" s="6"/>
    </row>
    <row r="728" ht="15.75" customHeight="1">
      <c r="S728" s="94"/>
      <c r="X728" s="6"/>
    </row>
    <row r="729" ht="15.75" customHeight="1">
      <c r="S729" s="94"/>
      <c r="X729" s="6"/>
    </row>
    <row r="730" ht="15.75" customHeight="1">
      <c r="S730" s="94"/>
      <c r="X730" s="6"/>
    </row>
    <row r="731" ht="15.75" customHeight="1">
      <c r="S731" s="94"/>
      <c r="X731" s="6"/>
    </row>
    <row r="732" ht="15.75" customHeight="1">
      <c r="S732" s="94"/>
      <c r="X732" s="6"/>
    </row>
    <row r="733" ht="15.75" customHeight="1">
      <c r="S733" s="94"/>
      <c r="X733" s="6"/>
    </row>
    <row r="734" ht="15.75" customHeight="1">
      <c r="S734" s="94"/>
      <c r="X734" s="6"/>
    </row>
    <row r="735" ht="15.75" customHeight="1">
      <c r="S735" s="94"/>
      <c r="X735" s="6"/>
    </row>
    <row r="736" ht="15.75" customHeight="1">
      <c r="S736" s="94"/>
      <c r="X736" s="6"/>
    </row>
    <row r="737" ht="15.75" customHeight="1">
      <c r="S737" s="94"/>
      <c r="X737" s="6"/>
    </row>
    <row r="738" ht="15.75" customHeight="1">
      <c r="S738" s="94"/>
      <c r="X738" s="6"/>
    </row>
    <row r="739" ht="15.75" customHeight="1">
      <c r="S739" s="94"/>
      <c r="X739" s="6"/>
    </row>
    <row r="740" ht="15.75" customHeight="1">
      <c r="S740" s="94"/>
      <c r="X740" s="6"/>
    </row>
    <row r="741" ht="15.75" customHeight="1">
      <c r="S741" s="94"/>
      <c r="X741" s="6"/>
    </row>
    <row r="742" ht="15.75" customHeight="1">
      <c r="S742" s="94"/>
      <c r="X742" s="6"/>
    </row>
    <row r="743" ht="15.75" customHeight="1">
      <c r="S743" s="94"/>
      <c r="X743" s="6"/>
    </row>
    <row r="744" ht="15.75" customHeight="1">
      <c r="S744" s="94"/>
      <c r="X744" s="6"/>
    </row>
    <row r="745" ht="15.75" customHeight="1">
      <c r="S745" s="94"/>
      <c r="X745" s="6"/>
    </row>
    <row r="746" ht="15.75" customHeight="1">
      <c r="S746" s="94"/>
      <c r="X746" s="6"/>
    </row>
    <row r="747" ht="15.75" customHeight="1">
      <c r="S747" s="94"/>
      <c r="X747" s="6"/>
    </row>
    <row r="748" ht="15.75" customHeight="1">
      <c r="S748" s="94"/>
      <c r="X748" s="6"/>
    </row>
    <row r="749" ht="15.75" customHeight="1">
      <c r="S749" s="94"/>
      <c r="X749" s="6"/>
    </row>
    <row r="750" ht="15.75" customHeight="1">
      <c r="S750" s="94"/>
      <c r="X750" s="6"/>
    </row>
    <row r="751" ht="15.75" customHeight="1">
      <c r="S751" s="94"/>
      <c r="X751" s="6"/>
    </row>
    <row r="752" ht="15.75" customHeight="1">
      <c r="S752" s="94"/>
      <c r="X752" s="6"/>
    </row>
    <row r="753" ht="15.75" customHeight="1">
      <c r="S753" s="94"/>
      <c r="X753" s="6"/>
    </row>
    <row r="754" ht="15.75" customHeight="1">
      <c r="S754" s="94"/>
      <c r="X754" s="6"/>
    </row>
    <row r="755" ht="15.75" customHeight="1">
      <c r="S755" s="94"/>
      <c r="X755" s="6"/>
    </row>
    <row r="756" ht="15.75" customHeight="1">
      <c r="S756" s="94"/>
      <c r="X756" s="6"/>
    </row>
    <row r="757" ht="15.75" customHeight="1">
      <c r="S757" s="94"/>
      <c r="X757" s="6"/>
    </row>
    <row r="758" ht="15.75" customHeight="1">
      <c r="S758" s="94"/>
      <c r="X758" s="6"/>
    </row>
    <row r="759" ht="15.75" customHeight="1">
      <c r="S759" s="94"/>
      <c r="X759" s="6"/>
    </row>
    <row r="760" ht="15.75" customHeight="1">
      <c r="S760" s="94"/>
      <c r="X760" s="6"/>
    </row>
    <row r="761" ht="15.75" customHeight="1">
      <c r="S761" s="94"/>
      <c r="X761" s="6"/>
    </row>
    <row r="762" ht="15.75" customHeight="1">
      <c r="S762" s="94"/>
      <c r="X762" s="6"/>
    </row>
    <row r="763" ht="15.75" customHeight="1">
      <c r="S763" s="94"/>
      <c r="X763" s="6"/>
    </row>
    <row r="764" ht="15.75" customHeight="1">
      <c r="S764" s="94"/>
      <c r="X764" s="6"/>
    </row>
    <row r="765" ht="15.75" customHeight="1">
      <c r="S765" s="94"/>
      <c r="X765" s="6"/>
    </row>
    <row r="766" ht="15.75" customHeight="1">
      <c r="S766" s="94"/>
      <c r="X766" s="6"/>
    </row>
    <row r="767" ht="15.75" customHeight="1">
      <c r="S767" s="94"/>
      <c r="X767" s="6"/>
    </row>
    <row r="768" ht="15.75" customHeight="1">
      <c r="S768" s="94"/>
      <c r="X768" s="6"/>
    </row>
    <row r="769" ht="15.75" customHeight="1">
      <c r="S769" s="94"/>
      <c r="X769" s="6"/>
    </row>
    <row r="770" ht="15.75" customHeight="1">
      <c r="S770" s="94"/>
      <c r="X770" s="6"/>
    </row>
    <row r="771" ht="15.75" customHeight="1">
      <c r="S771" s="94"/>
      <c r="X771" s="6"/>
    </row>
    <row r="772" ht="15.75" customHeight="1">
      <c r="S772" s="94"/>
      <c r="X772" s="6"/>
    </row>
    <row r="773" ht="15.75" customHeight="1">
      <c r="S773" s="94"/>
      <c r="X773" s="6"/>
    </row>
    <row r="774" ht="15.75" customHeight="1">
      <c r="S774" s="94"/>
      <c r="X774" s="6"/>
    </row>
    <row r="775" ht="15.75" customHeight="1">
      <c r="S775" s="94"/>
      <c r="X775" s="6"/>
    </row>
    <row r="776" ht="15.75" customHeight="1">
      <c r="S776" s="94"/>
      <c r="X776" s="6"/>
    </row>
    <row r="777" ht="15.75" customHeight="1">
      <c r="S777" s="94"/>
      <c r="X777" s="6"/>
    </row>
    <row r="778" ht="15.75" customHeight="1">
      <c r="S778" s="94"/>
      <c r="X778" s="6"/>
    </row>
    <row r="779" ht="15.75" customHeight="1">
      <c r="S779" s="94"/>
      <c r="X779" s="6"/>
    </row>
    <row r="780" ht="15.75" customHeight="1">
      <c r="S780" s="94"/>
      <c r="X780" s="6"/>
    </row>
    <row r="781" ht="15.75" customHeight="1">
      <c r="S781" s="94"/>
      <c r="X781" s="6"/>
    </row>
    <row r="782" ht="15.75" customHeight="1">
      <c r="S782" s="94"/>
      <c r="X782" s="6"/>
    </row>
    <row r="783" ht="15.75" customHeight="1">
      <c r="S783" s="94"/>
      <c r="X783" s="6"/>
    </row>
    <row r="784" ht="15.75" customHeight="1">
      <c r="S784" s="94"/>
      <c r="X784" s="6"/>
    </row>
    <row r="785" ht="15.75" customHeight="1">
      <c r="S785" s="94"/>
      <c r="X785" s="6"/>
    </row>
    <row r="786" ht="15.75" customHeight="1">
      <c r="S786" s="94"/>
      <c r="X786" s="6"/>
    </row>
    <row r="787" ht="15.75" customHeight="1">
      <c r="S787" s="94"/>
      <c r="X787" s="6"/>
    </row>
    <row r="788" ht="15.75" customHeight="1">
      <c r="S788" s="94"/>
      <c r="X788" s="6"/>
    </row>
    <row r="789" ht="15.75" customHeight="1">
      <c r="S789" s="94"/>
      <c r="X789" s="6"/>
    </row>
    <row r="790" ht="15.75" customHeight="1">
      <c r="S790" s="94"/>
      <c r="X790" s="6"/>
    </row>
    <row r="791" ht="15.75" customHeight="1">
      <c r="S791" s="94"/>
      <c r="X791" s="6"/>
    </row>
    <row r="792" ht="15.75" customHeight="1">
      <c r="S792" s="94"/>
      <c r="X792" s="6"/>
    </row>
    <row r="793" ht="15.75" customHeight="1">
      <c r="S793" s="94"/>
      <c r="X793" s="6"/>
    </row>
    <row r="794" ht="15.75" customHeight="1">
      <c r="S794" s="94"/>
      <c r="X794" s="6"/>
    </row>
    <row r="795" ht="15.75" customHeight="1">
      <c r="S795" s="94"/>
      <c r="X795" s="6"/>
    </row>
    <row r="796" ht="15.75" customHeight="1">
      <c r="S796" s="94"/>
      <c r="X796" s="6"/>
    </row>
    <row r="797" ht="15.75" customHeight="1">
      <c r="S797" s="94"/>
      <c r="X797" s="6"/>
    </row>
    <row r="798" ht="15.75" customHeight="1">
      <c r="S798" s="94"/>
      <c r="X798" s="6"/>
    </row>
    <row r="799" ht="15.75" customHeight="1">
      <c r="S799" s="94"/>
      <c r="X799" s="6"/>
    </row>
    <row r="800" ht="15.75" customHeight="1">
      <c r="S800" s="94"/>
      <c r="X800" s="6"/>
    </row>
    <row r="801" ht="15.75" customHeight="1">
      <c r="S801" s="94"/>
      <c r="X801" s="6"/>
    </row>
    <row r="802" ht="15.75" customHeight="1">
      <c r="S802" s="94"/>
      <c r="X802" s="6"/>
    </row>
    <row r="803" ht="15.75" customHeight="1">
      <c r="S803" s="94"/>
      <c r="X803" s="6"/>
    </row>
    <row r="804" ht="15.75" customHeight="1">
      <c r="S804" s="94"/>
      <c r="X804" s="6"/>
    </row>
    <row r="805" ht="15.75" customHeight="1">
      <c r="S805" s="94"/>
      <c r="X805" s="6"/>
    </row>
    <row r="806" ht="15.75" customHeight="1">
      <c r="S806" s="94"/>
      <c r="X806" s="6"/>
    </row>
    <row r="807" ht="15.75" customHeight="1">
      <c r="S807" s="94"/>
      <c r="X807" s="6"/>
    </row>
    <row r="808" ht="15.75" customHeight="1">
      <c r="S808" s="94"/>
      <c r="X808" s="6"/>
    </row>
    <row r="809" ht="15.75" customHeight="1">
      <c r="S809" s="94"/>
      <c r="X809" s="6"/>
    </row>
    <row r="810" ht="15.75" customHeight="1">
      <c r="S810" s="94"/>
      <c r="X810" s="6"/>
    </row>
    <row r="811" ht="15.75" customHeight="1">
      <c r="S811" s="94"/>
      <c r="X811" s="6"/>
    </row>
    <row r="812" ht="15.75" customHeight="1">
      <c r="S812" s="94"/>
      <c r="X812" s="6"/>
    </row>
    <row r="813" ht="15.75" customHeight="1">
      <c r="S813" s="94"/>
      <c r="X813" s="6"/>
    </row>
    <row r="814" ht="15.75" customHeight="1">
      <c r="S814" s="94"/>
      <c r="X814" s="6"/>
    </row>
    <row r="815" ht="15.75" customHeight="1">
      <c r="S815" s="94"/>
      <c r="X815" s="6"/>
    </row>
    <row r="816" ht="15.75" customHeight="1">
      <c r="S816" s="94"/>
      <c r="X816" s="6"/>
    </row>
    <row r="817" ht="15.75" customHeight="1">
      <c r="S817" s="94"/>
      <c r="X817" s="6"/>
    </row>
    <row r="818" ht="15.75" customHeight="1">
      <c r="S818" s="94"/>
      <c r="X818" s="6"/>
    </row>
    <row r="819" ht="15.75" customHeight="1">
      <c r="S819" s="94"/>
      <c r="X819" s="6"/>
    </row>
    <row r="820" ht="15.75" customHeight="1">
      <c r="S820" s="94"/>
      <c r="X820" s="6"/>
    </row>
    <row r="821" ht="15.75" customHeight="1">
      <c r="S821" s="94"/>
      <c r="X821" s="6"/>
    </row>
    <row r="822" ht="15.75" customHeight="1">
      <c r="S822" s="94"/>
      <c r="X822" s="6"/>
    </row>
    <row r="823" ht="15.75" customHeight="1">
      <c r="S823" s="94"/>
      <c r="X823" s="6"/>
    </row>
    <row r="824" ht="15.75" customHeight="1">
      <c r="S824" s="94"/>
      <c r="X824" s="6"/>
    </row>
    <row r="825" ht="15.75" customHeight="1">
      <c r="S825" s="94"/>
      <c r="X825" s="6"/>
    </row>
    <row r="826" ht="15.75" customHeight="1">
      <c r="S826" s="94"/>
      <c r="X826" s="6"/>
    </row>
    <row r="827" ht="15.75" customHeight="1">
      <c r="S827" s="94"/>
      <c r="X827" s="6"/>
    </row>
    <row r="828" ht="15.75" customHeight="1">
      <c r="S828" s="94"/>
      <c r="X828" s="6"/>
    </row>
    <row r="829" ht="15.75" customHeight="1">
      <c r="S829" s="94"/>
      <c r="X829" s="6"/>
    </row>
    <row r="830" ht="15.75" customHeight="1">
      <c r="S830" s="94"/>
      <c r="X830" s="6"/>
    </row>
    <row r="831" ht="15.75" customHeight="1">
      <c r="S831" s="94"/>
      <c r="X831" s="6"/>
    </row>
    <row r="832" ht="15.75" customHeight="1">
      <c r="S832" s="94"/>
      <c r="X832" s="6"/>
    </row>
    <row r="833" ht="15.75" customHeight="1">
      <c r="S833" s="94"/>
      <c r="X833" s="6"/>
    </row>
    <row r="834" ht="15.75" customHeight="1">
      <c r="S834" s="94"/>
      <c r="X834" s="6"/>
    </row>
    <row r="835" ht="15.75" customHeight="1">
      <c r="S835" s="94"/>
      <c r="X835" s="6"/>
    </row>
    <row r="836" ht="15.75" customHeight="1">
      <c r="S836" s="94"/>
      <c r="X836" s="6"/>
    </row>
    <row r="837" ht="15.75" customHeight="1">
      <c r="S837" s="94"/>
      <c r="X837" s="6"/>
    </row>
    <row r="838" ht="15.75" customHeight="1">
      <c r="S838" s="94"/>
      <c r="X838" s="6"/>
    </row>
    <row r="839" ht="15.75" customHeight="1">
      <c r="S839" s="94"/>
      <c r="X839" s="6"/>
    </row>
    <row r="840" ht="15.75" customHeight="1">
      <c r="S840" s="94"/>
      <c r="X840" s="6"/>
    </row>
    <row r="841" ht="15.75" customHeight="1">
      <c r="S841" s="94"/>
      <c r="X841" s="6"/>
    </row>
    <row r="842" ht="15.75" customHeight="1">
      <c r="S842" s="94"/>
      <c r="X842" s="6"/>
    </row>
    <row r="843" ht="15.75" customHeight="1">
      <c r="S843" s="94"/>
      <c r="X843" s="6"/>
    </row>
    <row r="844" ht="15.75" customHeight="1">
      <c r="S844" s="94"/>
      <c r="X844" s="6"/>
    </row>
    <row r="845" ht="15.75" customHeight="1">
      <c r="S845" s="94"/>
      <c r="X845" s="6"/>
    </row>
    <row r="846" ht="15.75" customHeight="1">
      <c r="S846" s="94"/>
      <c r="X846" s="6"/>
    </row>
    <row r="847" ht="15.75" customHeight="1">
      <c r="S847" s="94"/>
      <c r="X847" s="6"/>
    </row>
    <row r="848" ht="15.75" customHeight="1">
      <c r="S848" s="94"/>
      <c r="X848" s="6"/>
    </row>
    <row r="849" ht="15.75" customHeight="1">
      <c r="S849" s="94"/>
      <c r="X849" s="6"/>
    </row>
    <row r="850" ht="15.75" customHeight="1">
      <c r="S850" s="94"/>
      <c r="X850" s="6"/>
    </row>
    <row r="851" ht="15.75" customHeight="1">
      <c r="S851" s="94"/>
      <c r="X851" s="6"/>
    </row>
    <row r="852" ht="15.75" customHeight="1">
      <c r="S852" s="94"/>
      <c r="X852" s="6"/>
    </row>
    <row r="853" ht="15.75" customHeight="1">
      <c r="S853" s="94"/>
      <c r="X853" s="6"/>
    </row>
    <row r="854" ht="15.75" customHeight="1">
      <c r="S854" s="94"/>
      <c r="X854" s="6"/>
    </row>
    <row r="855" ht="15.75" customHeight="1">
      <c r="S855" s="94"/>
      <c r="X855" s="6"/>
    </row>
    <row r="856" ht="15.75" customHeight="1">
      <c r="S856" s="94"/>
      <c r="X856" s="6"/>
    </row>
    <row r="857" ht="15.75" customHeight="1">
      <c r="S857" s="94"/>
      <c r="X857" s="6"/>
    </row>
    <row r="858" ht="15.75" customHeight="1">
      <c r="S858" s="94"/>
      <c r="X858" s="6"/>
    </row>
    <row r="859" ht="15.75" customHeight="1">
      <c r="S859" s="94"/>
      <c r="X859" s="6"/>
    </row>
    <row r="860" ht="15.75" customHeight="1">
      <c r="S860" s="94"/>
      <c r="X860" s="6"/>
    </row>
    <row r="861" ht="15.75" customHeight="1">
      <c r="S861" s="94"/>
      <c r="X861" s="6"/>
    </row>
    <row r="862" ht="15.75" customHeight="1">
      <c r="S862" s="94"/>
      <c r="X862" s="6"/>
    </row>
    <row r="863" ht="15.75" customHeight="1">
      <c r="S863" s="94"/>
      <c r="X863" s="6"/>
    </row>
    <row r="864" ht="15.75" customHeight="1">
      <c r="S864" s="94"/>
      <c r="X864" s="6"/>
    </row>
    <row r="865" ht="15.75" customHeight="1">
      <c r="S865" s="94"/>
      <c r="X865" s="6"/>
    </row>
    <row r="866" ht="15.75" customHeight="1">
      <c r="S866" s="94"/>
      <c r="X866" s="6"/>
    </row>
    <row r="867" ht="15.75" customHeight="1">
      <c r="S867" s="94"/>
      <c r="X867" s="6"/>
    </row>
    <row r="868" ht="15.75" customHeight="1">
      <c r="S868" s="94"/>
      <c r="X868" s="6"/>
    </row>
    <row r="869" ht="15.75" customHeight="1">
      <c r="S869" s="94"/>
      <c r="X869" s="6"/>
    </row>
    <row r="870" ht="15.75" customHeight="1">
      <c r="S870" s="94"/>
      <c r="X870" s="6"/>
    </row>
    <row r="871" ht="15.75" customHeight="1">
      <c r="S871" s="94"/>
      <c r="X871" s="6"/>
    </row>
    <row r="872" ht="15.75" customHeight="1">
      <c r="S872" s="94"/>
      <c r="X872" s="6"/>
    </row>
    <row r="873" ht="15.75" customHeight="1">
      <c r="S873" s="94"/>
      <c r="X873" s="6"/>
    </row>
    <row r="874" ht="15.75" customHeight="1">
      <c r="S874" s="94"/>
      <c r="X874" s="6"/>
    </row>
    <row r="875" ht="15.75" customHeight="1">
      <c r="S875" s="94"/>
      <c r="X875" s="6"/>
    </row>
    <row r="876" ht="15.75" customHeight="1">
      <c r="S876" s="94"/>
      <c r="X876" s="6"/>
    </row>
    <row r="877" ht="15.75" customHeight="1">
      <c r="S877" s="94"/>
      <c r="X877" s="6"/>
    </row>
    <row r="878" ht="15.75" customHeight="1">
      <c r="S878" s="94"/>
      <c r="X878" s="6"/>
    </row>
    <row r="879" ht="15.75" customHeight="1">
      <c r="S879" s="94"/>
      <c r="X879" s="6"/>
    </row>
    <row r="880" ht="15.75" customHeight="1">
      <c r="S880" s="94"/>
      <c r="X880" s="6"/>
    </row>
    <row r="881" ht="15.75" customHeight="1">
      <c r="S881" s="94"/>
      <c r="X881" s="6"/>
    </row>
    <row r="882" ht="15.75" customHeight="1">
      <c r="S882" s="94"/>
      <c r="X882" s="6"/>
    </row>
    <row r="883" ht="15.75" customHeight="1">
      <c r="S883" s="94"/>
      <c r="X883" s="6"/>
    </row>
    <row r="884" ht="15.75" customHeight="1">
      <c r="S884" s="94"/>
      <c r="X884" s="6"/>
    </row>
    <row r="885" ht="15.75" customHeight="1">
      <c r="S885" s="94"/>
      <c r="X885" s="6"/>
    </row>
    <row r="886" ht="15.75" customHeight="1">
      <c r="S886" s="94"/>
      <c r="X886" s="6"/>
    </row>
    <row r="887" ht="15.75" customHeight="1">
      <c r="S887" s="94"/>
      <c r="X887" s="6"/>
    </row>
    <row r="888" ht="15.75" customHeight="1">
      <c r="S888" s="94"/>
      <c r="X888" s="6"/>
    </row>
    <row r="889" ht="15.75" customHeight="1">
      <c r="S889" s="94"/>
      <c r="X889" s="6"/>
    </row>
    <row r="890" ht="15.75" customHeight="1">
      <c r="S890" s="94"/>
      <c r="X890" s="6"/>
    </row>
    <row r="891" ht="15.75" customHeight="1">
      <c r="S891" s="94"/>
      <c r="X891" s="6"/>
    </row>
    <row r="892" ht="15.75" customHeight="1">
      <c r="S892" s="94"/>
      <c r="X892" s="6"/>
    </row>
    <row r="893" ht="15.75" customHeight="1">
      <c r="S893" s="94"/>
      <c r="X893" s="6"/>
    </row>
    <row r="894" ht="15.75" customHeight="1">
      <c r="S894" s="94"/>
      <c r="X894" s="6"/>
    </row>
    <row r="895" ht="15.75" customHeight="1">
      <c r="S895" s="94"/>
      <c r="X895" s="6"/>
    </row>
    <row r="896" ht="15.75" customHeight="1">
      <c r="S896" s="94"/>
      <c r="X896" s="6"/>
    </row>
    <row r="897" ht="15.75" customHeight="1">
      <c r="S897" s="94"/>
      <c r="X897" s="6"/>
    </row>
    <row r="898" ht="15.75" customHeight="1">
      <c r="S898" s="94"/>
      <c r="X898" s="6"/>
    </row>
    <row r="899" ht="15.75" customHeight="1">
      <c r="S899" s="94"/>
      <c r="X899" s="6"/>
    </row>
    <row r="900" ht="15.75" customHeight="1">
      <c r="S900" s="94"/>
      <c r="X900" s="6"/>
    </row>
    <row r="901" ht="15.75" customHeight="1">
      <c r="S901" s="94"/>
      <c r="X901" s="6"/>
    </row>
    <row r="902" ht="15.75" customHeight="1">
      <c r="S902" s="94"/>
      <c r="X902" s="6"/>
    </row>
    <row r="903" ht="15.75" customHeight="1">
      <c r="S903" s="94"/>
      <c r="X903" s="6"/>
    </row>
    <row r="904" ht="15.75" customHeight="1">
      <c r="S904" s="94"/>
      <c r="X904" s="6"/>
    </row>
    <row r="905" ht="15.75" customHeight="1">
      <c r="S905" s="94"/>
      <c r="X905" s="6"/>
    </row>
    <row r="906" ht="15.75" customHeight="1">
      <c r="S906" s="94"/>
      <c r="X906" s="6"/>
    </row>
    <row r="907" ht="15.75" customHeight="1">
      <c r="S907" s="94"/>
      <c r="X907" s="6"/>
    </row>
    <row r="908" ht="15.75" customHeight="1">
      <c r="S908" s="94"/>
      <c r="X908" s="6"/>
    </row>
    <row r="909" ht="15.75" customHeight="1">
      <c r="S909" s="94"/>
      <c r="X909" s="6"/>
    </row>
    <row r="910" ht="15.75" customHeight="1">
      <c r="S910" s="94"/>
      <c r="X910" s="6"/>
    </row>
    <row r="911" ht="15.75" customHeight="1">
      <c r="S911" s="94"/>
      <c r="X911" s="6"/>
    </row>
    <row r="912" ht="15.75" customHeight="1">
      <c r="S912" s="94"/>
      <c r="X912" s="6"/>
    </row>
    <row r="913" ht="15.75" customHeight="1">
      <c r="S913" s="94"/>
      <c r="X913" s="6"/>
    </row>
    <row r="914" ht="15.75" customHeight="1">
      <c r="S914" s="94"/>
      <c r="X914" s="6"/>
    </row>
    <row r="915" ht="15.75" customHeight="1">
      <c r="S915" s="94"/>
      <c r="X915" s="6"/>
    </row>
    <row r="916" ht="15.75" customHeight="1">
      <c r="S916" s="94"/>
      <c r="X916" s="6"/>
    </row>
    <row r="917" ht="15.75" customHeight="1">
      <c r="S917" s="94"/>
      <c r="X917" s="6"/>
    </row>
    <row r="918" ht="15.75" customHeight="1">
      <c r="S918" s="94"/>
      <c r="X918" s="6"/>
    </row>
    <row r="919" ht="15.75" customHeight="1">
      <c r="S919" s="94"/>
      <c r="X919" s="6"/>
    </row>
    <row r="920" ht="15.75" customHeight="1">
      <c r="S920" s="94"/>
      <c r="X920" s="6"/>
    </row>
    <row r="921" ht="15.75" customHeight="1">
      <c r="S921" s="94"/>
      <c r="X921" s="6"/>
    </row>
    <row r="922" ht="15.75" customHeight="1">
      <c r="S922" s="94"/>
      <c r="X922" s="6"/>
    </row>
    <row r="923" ht="15.75" customHeight="1">
      <c r="S923" s="94"/>
      <c r="X923" s="6"/>
    </row>
    <row r="924" ht="15.75" customHeight="1">
      <c r="S924" s="94"/>
      <c r="X924" s="6"/>
    </row>
    <row r="925" ht="15.75" customHeight="1">
      <c r="S925" s="94"/>
      <c r="X925" s="6"/>
    </row>
    <row r="926" ht="15.75" customHeight="1">
      <c r="S926" s="94"/>
      <c r="X926" s="6"/>
    </row>
    <row r="927" ht="15.75" customHeight="1">
      <c r="S927" s="94"/>
      <c r="X927" s="6"/>
    </row>
    <row r="928" ht="15.75" customHeight="1">
      <c r="S928" s="94"/>
      <c r="X928" s="6"/>
    </row>
    <row r="929" ht="15.75" customHeight="1">
      <c r="S929" s="94"/>
      <c r="X929" s="6"/>
    </row>
    <row r="930" ht="15.75" customHeight="1">
      <c r="S930" s="94"/>
      <c r="X930" s="6"/>
    </row>
    <row r="931" ht="15.75" customHeight="1">
      <c r="S931" s="94"/>
      <c r="X931" s="6"/>
    </row>
    <row r="932" ht="15.75" customHeight="1">
      <c r="S932" s="94"/>
      <c r="X932" s="6"/>
    </row>
    <row r="933" ht="15.75" customHeight="1">
      <c r="S933" s="94"/>
      <c r="X933" s="6"/>
    </row>
    <row r="934" ht="15.75" customHeight="1">
      <c r="S934" s="94"/>
      <c r="X934" s="6"/>
    </row>
    <row r="935" ht="15.75" customHeight="1">
      <c r="S935" s="94"/>
      <c r="X935" s="6"/>
    </row>
    <row r="936" ht="15.75" customHeight="1">
      <c r="S936" s="94"/>
      <c r="X936" s="6"/>
    </row>
    <row r="937" ht="15.75" customHeight="1">
      <c r="S937" s="94"/>
      <c r="X937" s="6"/>
    </row>
    <row r="938" ht="15.75" customHeight="1">
      <c r="S938" s="94"/>
      <c r="X938" s="6"/>
    </row>
    <row r="939" ht="15.75" customHeight="1">
      <c r="S939" s="94"/>
      <c r="X939" s="6"/>
    </row>
    <row r="940" ht="15.75" customHeight="1">
      <c r="S940" s="94"/>
      <c r="X940" s="6"/>
    </row>
    <row r="941" ht="15.75" customHeight="1">
      <c r="S941" s="94"/>
      <c r="X941" s="6"/>
    </row>
    <row r="942" ht="15.75" customHeight="1">
      <c r="S942" s="94"/>
      <c r="X942" s="6"/>
    </row>
    <row r="943" ht="15.75" customHeight="1">
      <c r="S943" s="94"/>
      <c r="X943" s="6"/>
    </row>
    <row r="944" ht="15.75" customHeight="1">
      <c r="S944" s="94"/>
      <c r="X944" s="6"/>
    </row>
    <row r="945" ht="15.75" customHeight="1">
      <c r="S945" s="94"/>
      <c r="X945" s="6"/>
    </row>
    <row r="946" ht="15.75" customHeight="1">
      <c r="S946" s="94"/>
      <c r="X946" s="6"/>
    </row>
    <row r="947" ht="15.75" customHeight="1">
      <c r="S947" s="94"/>
      <c r="X947" s="6"/>
    </row>
    <row r="948" ht="15.75" customHeight="1">
      <c r="S948" s="94"/>
      <c r="X948" s="6"/>
    </row>
    <row r="949" ht="15.75" customHeight="1">
      <c r="S949" s="94"/>
      <c r="X949" s="6"/>
    </row>
    <row r="950" ht="15.75" customHeight="1">
      <c r="S950" s="94"/>
      <c r="X950" s="6"/>
    </row>
    <row r="951" ht="15.75" customHeight="1">
      <c r="S951" s="94"/>
      <c r="X951" s="6"/>
    </row>
    <row r="952" ht="15.75" customHeight="1">
      <c r="S952" s="94"/>
      <c r="X952" s="6"/>
    </row>
    <row r="953" ht="15.75" customHeight="1">
      <c r="S953" s="94"/>
      <c r="X953" s="6"/>
    </row>
    <row r="954" ht="15.75" customHeight="1">
      <c r="S954" s="94"/>
      <c r="X954" s="6"/>
    </row>
    <row r="955" ht="15.75" customHeight="1">
      <c r="S955" s="94"/>
      <c r="X955" s="6"/>
    </row>
    <row r="956" ht="15.75" customHeight="1">
      <c r="S956" s="94"/>
      <c r="X956" s="6"/>
    </row>
    <row r="957" ht="15.75" customHeight="1">
      <c r="S957" s="94"/>
      <c r="X957" s="6"/>
    </row>
    <row r="958" ht="15.75" customHeight="1">
      <c r="S958" s="94"/>
      <c r="X958" s="6"/>
    </row>
    <row r="959" ht="15.75" customHeight="1">
      <c r="S959" s="94"/>
      <c r="X959" s="6"/>
    </row>
    <row r="960" ht="15.75" customHeight="1">
      <c r="S960" s="94"/>
      <c r="X960" s="6"/>
    </row>
    <row r="961" ht="15.75" customHeight="1">
      <c r="S961" s="94"/>
      <c r="X961" s="6"/>
    </row>
    <row r="962" ht="15.75" customHeight="1">
      <c r="S962" s="94"/>
      <c r="X962" s="6"/>
    </row>
    <row r="963" ht="15.75" customHeight="1">
      <c r="S963" s="94"/>
      <c r="X963" s="6"/>
    </row>
    <row r="964" ht="15.75" customHeight="1">
      <c r="S964" s="94"/>
      <c r="X964" s="6"/>
    </row>
    <row r="965" ht="15.75" customHeight="1">
      <c r="S965" s="94"/>
      <c r="X965" s="6"/>
    </row>
    <row r="966" ht="15.75" customHeight="1">
      <c r="S966" s="94"/>
      <c r="X966" s="6"/>
    </row>
    <row r="967" ht="15.75" customHeight="1">
      <c r="S967" s="94"/>
      <c r="X967" s="6"/>
    </row>
    <row r="968" ht="15.75" customHeight="1">
      <c r="S968" s="94"/>
      <c r="X968" s="6"/>
    </row>
    <row r="969" ht="15.75" customHeight="1">
      <c r="S969" s="94"/>
      <c r="X969" s="6"/>
    </row>
    <row r="970" ht="15.75" customHeight="1">
      <c r="S970" s="94"/>
      <c r="X970" s="6"/>
    </row>
    <row r="971" ht="15.75" customHeight="1">
      <c r="S971" s="94"/>
      <c r="X971" s="6"/>
    </row>
    <row r="972" ht="15.75" customHeight="1">
      <c r="S972" s="94"/>
      <c r="X972" s="6"/>
    </row>
    <row r="973" ht="15.75" customHeight="1">
      <c r="S973" s="94"/>
      <c r="X973" s="6"/>
    </row>
    <row r="974" ht="15.75" customHeight="1">
      <c r="S974" s="94"/>
      <c r="X974" s="6"/>
    </row>
    <row r="975" ht="15.75" customHeight="1">
      <c r="S975" s="94"/>
      <c r="X975" s="6"/>
    </row>
    <row r="976" ht="15.75" customHeight="1">
      <c r="S976" s="94"/>
      <c r="X976" s="6"/>
    </row>
    <row r="977" ht="15.75" customHeight="1">
      <c r="S977" s="94"/>
      <c r="X977" s="6"/>
    </row>
    <row r="978" ht="15.75" customHeight="1">
      <c r="S978" s="94"/>
      <c r="X978" s="6"/>
    </row>
    <row r="979" ht="15.75" customHeight="1">
      <c r="S979" s="94"/>
      <c r="X979" s="6"/>
    </row>
    <row r="980" ht="15.75" customHeight="1">
      <c r="S980" s="94"/>
      <c r="X980" s="6"/>
    </row>
    <row r="981" ht="15.75" customHeight="1">
      <c r="S981" s="94"/>
      <c r="X981" s="6"/>
    </row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N1:P1"/>
    <mergeCell ref="Q1:W1"/>
    <mergeCell ref="B2:M2"/>
    <mergeCell ref="N2:P2"/>
    <mergeCell ref="Q2:T2"/>
    <mergeCell ref="U2:W2"/>
  </mergeCells>
  <printOptions horizontalCentered="1"/>
  <pageMargins bottom="0.75" footer="0.0" header="0.0" left="0.25" right="0.25" top="0.75"/>
  <pageSetup orientation="landscape"/>
  <headerFooter>
    <oddFooter>&amp;L(1) AEG/React shows&amp;R&amp;P of 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2019-03-04T20:21:35Z</dcterms:created>
  <dc:creator>Tom Ott</dc:creator>
</cp:coreProperties>
</file>