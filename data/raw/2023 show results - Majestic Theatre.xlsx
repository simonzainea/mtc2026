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9daff72c4f4592/Desktop/Desktop/MTC/AEG/"/>
    </mc:Choice>
  </mc:AlternateContent>
  <xr:revisionPtr revIDLastSave="814" documentId="8_{9CD11997-C38E-42C8-9743-589556CC3D99}" xr6:coauthVersionLast="47" xr6:coauthVersionMax="47" xr10:uidLastSave="{BA26F7FF-EB2D-43EB-9BF2-4679A9F05B15}"/>
  <bookViews>
    <workbookView xWindow="-120" yWindow="-120" windowWidth="29040" windowHeight="15720" xr2:uid="{C6AD5BD2-99DA-45D6-AC8B-8B52D47F5DD5}"/>
  </bookViews>
  <sheets>
    <sheet name="Theatre" sheetId="1" r:id="rId1"/>
  </sheets>
  <definedNames>
    <definedName name="_xlnm.Print_Area" localSheetId="0">Theatre!$A$1:$W$44</definedName>
    <definedName name="_xlnm.Print_Titles" localSheetId="0">Theatre!$1:$3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8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7" i="1"/>
  <c r="H55" i="1"/>
  <c r="S4" i="1" l="1"/>
  <c r="L53" i="1"/>
  <c r="H53" i="1"/>
  <c r="L51" i="1"/>
  <c r="H51" i="1"/>
  <c r="L49" i="1"/>
  <c r="L50" i="1"/>
  <c r="H50" i="1"/>
  <c r="L54" i="1"/>
  <c r="H54" i="1"/>
  <c r="L52" i="1"/>
  <c r="H52" i="1"/>
  <c r="L48" i="1"/>
  <c r="H48" i="1"/>
  <c r="L47" i="1" l="1"/>
  <c r="H47" i="1"/>
  <c r="L46" i="1"/>
  <c r="H46" i="1"/>
  <c r="H45" i="1"/>
  <c r="L44" i="1"/>
  <c r="H44" i="1"/>
  <c r="H42" i="1"/>
  <c r="L41" i="1" l="1"/>
  <c r="H41" i="1"/>
  <c r="H39" i="1" l="1"/>
  <c r="L38" i="1"/>
  <c r="H38" i="1"/>
  <c r="L36" i="1"/>
  <c r="H36" i="1"/>
  <c r="L33" i="1"/>
  <c r="H33" i="1"/>
  <c r="L32" i="1"/>
  <c r="H32" i="1"/>
  <c r="H37" i="1"/>
  <c r="H35" i="1"/>
  <c r="L34" i="1"/>
  <c r="H34" i="1"/>
  <c r="L18" i="1"/>
  <c r="H18" i="1"/>
  <c r="L31" i="1"/>
  <c r="H31" i="1"/>
  <c r="L28" i="1"/>
  <c r="H28" i="1"/>
  <c r="L30" i="1"/>
  <c r="H30" i="1"/>
  <c r="H29" i="1"/>
  <c r="L27" i="1"/>
  <c r="H27" i="1"/>
  <c r="H26" i="1"/>
  <c r="L25" i="1"/>
  <c r="H25" i="1"/>
  <c r="H24" i="1"/>
  <c r="H23" i="1"/>
  <c r="L22" i="1"/>
  <c r="H22" i="1"/>
  <c r="L21" i="1"/>
  <c r="H21" i="1"/>
  <c r="L20" i="1"/>
  <c r="H20" i="1"/>
  <c r="H17" i="1"/>
  <c r="H16" i="1"/>
  <c r="H15" i="1"/>
  <c r="H14" i="1"/>
  <c r="H13" i="1"/>
  <c r="H12" i="1"/>
  <c r="H11" i="1"/>
  <c r="H9" i="1"/>
  <c r="H8" i="1"/>
  <c r="L7" i="1"/>
  <c r="H7" i="1"/>
  <c r="Q10" i="1" l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9" i="1"/>
  <c r="Q8" i="1"/>
  <c r="Q7" i="1"/>
  <c r="S5" i="1" l="1"/>
  <c r="U30" i="1"/>
  <c r="M30" i="1"/>
  <c r="K30" i="1"/>
  <c r="I30" i="1"/>
  <c r="M12" i="1" l="1"/>
  <c r="U28" i="1" l="1"/>
  <c r="M28" i="1"/>
  <c r="M27" i="1"/>
  <c r="K28" i="1"/>
  <c r="K27" i="1"/>
  <c r="I28" i="1"/>
  <c r="I27" i="1"/>
  <c r="M86" i="1" l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21" i="1"/>
  <c r="M20" i="1"/>
  <c r="M19" i="1"/>
  <c r="M18" i="1"/>
  <c r="M17" i="1" l="1"/>
  <c r="M16" i="1" l="1"/>
  <c r="M15" i="1" l="1"/>
  <c r="M14" i="1" l="1"/>
  <c r="M13" i="1" l="1"/>
  <c r="L4" i="1" l="1"/>
  <c r="N28" i="1" l="1"/>
  <c r="N30" i="1"/>
  <c r="G86" i="1" l="1"/>
  <c r="G85" i="1"/>
  <c r="G84" i="1"/>
  <c r="G83" i="1"/>
  <c r="V86" i="1"/>
  <c r="R86" i="1"/>
  <c r="T86" i="1" s="1"/>
  <c r="U86" i="1"/>
  <c r="W86" i="1" s="1"/>
  <c r="V85" i="1"/>
  <c r="R85" i="1"/>
  <c r="T85" i="1" s="1"/>
  <c r="V84" i="1"/>
  <c r="R84" i="1"/>
  <c r="T84" i="1" s="1"/>
  <c r="U84" i="1"/>
  <c r="V83" i="1"/>
  <c r="R83" i="1"/>
  <c r="T83" i="1" s="1"/>
  <c r="K86" i="1"/>
  <c r="K85" i="1"/>
  <c r="K84" i="1"/>
  <c r="K83" i="1"/>
  <c r="I86" i="1"/>
  <c r="I85" i="1"/>
  <c r="I84" i="1"/>
  <c r="I83" i="1"/>
  <c r="D86" i="1"/>
  <c r="D85" i="1"/>
  <c r="D84" i="1"/>
  <c r="D83" i="1"/>
  <c r="W84" i="1" l="1"/>
  <c r="O84" i="1"/>
  <c r="O86" i="1"/>
  <c r="N84" i="1"/>
  <c r="N86" i="1"/>
  <c r="U83" i="1"/>
  <c r="W83" i="1" s="1"/>
  <c r="U85" i="1"/>
  <c r="W85" i="1" s="1"/>
  <c r="O83" i="1"/>
  <c r="O85" i="1"/>
  <c r="N85" i="1" l="1"/>
  <c r="P85" i="1" s="1"/>
  <c r="N83" i="1"/>
  <c r="P83" i="1" s="1"/>
  <c r="P86" i="1"/>
  <c r="P84" i="1"/>
  <c r="V81" i="1"/>
  <c r="R81" i="1"/>
  <c r="T81" i="1" s="1"/>
  <c r="V82" i="1"/>
  <c r="R82" i="1"/>
  <c r="T82" i="1" s="1"/>
  <c r="V80" i="1"/>
  <c r="R80" i="1"/>
  <c r="T80" i="1" s="1"/>
  <c r="K82" i="1"/>
  <c r="K81" i="1"/>
  <c r="K80" i="1"/>
  <c r="I82" i="1"/>
  <c r="I81" i="1"/>
  <c r="I80" i="1"/>
  <c r="G82" i="1"/>
  <c r="G81" i="1"/>
  <c r="G80" i="1"/>
  <c r="D82" i="1"/>
  <c r="D81" i="1"/>
  <c r="D80" i="1"/>
  <c r="O81" i="1" l="1"/>
  <c r="U82" i="1"/>
  <c r="W82" i="1" s="1"/>
  <c r="U80" i="1"/>
  <c r="W80" i="1" s="1"/>
  <c r="O82" i="1"/>
  <c r="U81" i="1"/>
  <c r="W81" i="1" s="1"/>
  <c r="O80" i="1"/>
  <c r="N81" i="1" l="1"/>
  <c r="P81" i="1" s="1"/>
  <c r="N80" i="1"/>
  <c r="P80" i="1" s="1"/>
  <c r="N82" i="1"/>
  <c r="P82" i="1" s="1"/>
  <c r="G79" i="1" l="1"/>
  <c r="G78" i="1"/>
  <c r="V79" i="1"/>
  <c r="R79" i="1"/>
  <c r="T79" i="1" s="1"/>
  <c r="V78" i="1"/>
  <c r="R78" i="1"/>
  <c r="T78" i="1" s="1"/>
  <c r="V77" i="1"/>
  <c r="R77" i="1"/>
  <c r="T77" i="1" s="1"/>
  <c r="V76" i="1"/>
  <c r="R76" i="1"/>
  <c r="V75" i="1"/>
  <c r="R75" i="1"/>
  <c r="T75" i="1" s="1"/>
  <c r="U75" i="1"/>
  <c r="V74" i="1"/>
  <c r="R74" i="1"/>
  <c r="T74" i="1" s="1"/>
  <c r="V73" i="1"/>
  <c r="U73" i="1"/>
  <c r="R73" i="1"/>
  <c r="T73" i="1" s="1"/>
  <c r="K79" i="1"/>
  <c r="K78" i="1"/>
  <c r="K77" i="1"/>
  <c r="K76" i="1"/>
  <c r="K75" i="1"/>
  <c r="K74" i="1"/>
  <c r="K73" i="1"/>
  <c r="I79" i="1"/>
  <c r="I78" i="1"/>
  <c r="I77" i="1"/>
  <c r="I76" i="1"/>
  <c r="I75" i="1"/>
  <c r="I74" i="1"/>
  <c r="I73" i="1"/>
  <c r="D79" i="1"/>
  <c r="D78" i="1"/>
  <c r="D77" i="1"/>
  <c r="D76" i="1"/>
  <c r="D75" i="1"/>
  <c r="D74" i="1"/>
  <c r="D73" i="1"/>
  <c r="O76" i="1" l="1"/>
  <c r="T76" i="1"/>
  <c r="W73" i="1"/>
  <c r="W75" i="1"/>
  <c r="O79" i="1"/>
  <c r="O78" i="1"/>
  <c r="U79" i="1"/>
  <c r="W79" i="1" s="1"/>
  <c r="U76" i="1"/>
  <c r="N76" i="1" s="1"/>
  <c r="P76" i="1" s="1"/>
  <c r="O73" i="1"/>
  <c r="O74" i="1"/>
  <c r="U77" i="1"/>
  <c r="W77" i="1" s="1"/>
  <c r="N73" i="1"/>
  <c r="N75" i="1"/>
  <c r="O77" i="1"/>
  <c r="U78" i="1"/>
  <c r="W78" i="1" s="1"/>
  <c r="U74" i="1"/>
  <c r="W74" i="1" s="1"/>
  <c r="O75" i="1"/>
  <c r="E4" i="1"/>
  <c r="E5" i="1" s="1"/>
  <c r="V72" i="1"/>
  <c r="R72" i="1"/>
  <c r="T72" i="1" s="1"/>
  <c r="V71" i="1"/>
  <c r="R71" i="1"/>
  <c r="T71" i="1" s="1"/>
  <c r="V70" i="1"/>
  <c r="R70" i="1"/>
  <c r="T70" i="1" s="1"/>
  <c r="V69" i="1"/>
  <c r="R69" i="1"/>
  <c r="T69" i="1" s="1"/>
  <c r="V68" i="1"/>
  <c r="R68" i="1"/>
  <c r="T68" i="1" s="1"/>
  <c r="V67" i="1"/>
  <c r="R67" i="1"/>
  <c r="T67" i="1" s="1"/>
  <c r="V66" i="1"/>
  <c r="R66" i="1"/>
  <c r="T66" i="1" s="1"/>
  <c r="V65" i="1"/>
  <c r="R65" i="1"/>
  <c r="T65" i="1" s="1"/>
  <c r="V64" i="1"/>
  <c r="R64" i="1"/>
  <c r="T64" i="1" s="1"/>
  <c r="V63" i="1"/>
  <c r="R63" i="1"/>
  <c r="T63" i="1" s="1"/>
  <c r="V62" i="1"/>
  <c r="R62" i="1"/>
  <c r="T62" i="1" s="1"/>
  <c r="U62" i="1"/>
  <c r="V61" i="1"/>
  <c r="R61" i="1"/>
  <c r="T61" i="1" s="1"/>
  <c r="U61" i="1"/>
  <c r="V60" i="1"/>
  <c r="R60" i="1"/>
  <c r="T60" i="1" s="1"/>
  <c r="U60" i="1"/>
  <c r="V59" i="1"/>
  <c r="R59" i="1"/>
  <c r="T59" i="1" s="1"/>
  <c r="M61" i="1"/>
  <c r="M60" i="1"/>
  <c r="M59" i="1"/>
  <c r="M58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D72" i="1"/>
  <c r="D71" i="1"/>
  <c r="D70" i="1"/>
  <c r="D69" i="1"/>
  <c r="D68" i="1"/>
  <c r="D67" i="1"/>
  <c r="D66" i="1"/>
  <c r="D65" i="1"/>
  <c r="D63" i="1"/>
  <c r="D62" i="1"/>
  <c r="D61" i="1"/>
  <c r="D60" i="1"/>
  <c r="P73" i="1" l="1"/>
  <c r="O59" i="1"/>
  <c r="O71" i="1"/>
  <c r="N79" i="1"/>
  <c r="P79" i="1" s="1"/>
  <c r="O60" i="1"/>
  <c r="O64" i="1"/>
  <c r="O68" i="1"/>
  <c r="P75" i="1"/>
  <c r="W60" i="1"/>
  <c r="O61" i="1"/>
  <c r="O69" i="1"/>
  <c r="W76" i="1"/>
  <c r="N74" i="1"/>
  <c r="P74" i="1" s="1"/>
  <c r="N78" i="1"/>
  <c r="P78" i="1" s="1"/>
  <c r="N77" i="1"/>
  <c r="P77" i="1" s="1"/>
  <c r="W62" i="1"/>
  <c r="W61" i="1"/>
  <c r="O62" i="1"/>
  <c r="O66" i="1"/>
  <c r="U65" i="1"/>
  <c r="W65" i="1" s="1"/>
  <c r="O65" i="1"/>
  <c r="U69" i="1"/>
  <c r="W69" i="1" s="1"/>
  <c r="O70" i="1"/>
  <c r="N60" i="1"/>
  <c r="N61" i="1"/>
  <c r="N62" i="1"/>
  <c r="U63" i="1"/>
  <c r="N63" i="1" s="1"/>
  <c r="U67" i="1"/>
  <c r="W67" i="1" s="1"/>
  <c r="U59" i="1"/>
  <c r="N59" i="1" s="1"/>
  <c r="O63" i="1"/>
  <c r="O67" i="1"/>
  <c r="U68" i="1"/>
  <c r="W68" i="1" s="1"/>
  <c r="U71" i="1"/>
  <c r="W71" i="1" s="1"/>
  <c r="O72" i="1"/>
  <c r="U66" i="1"/>
  <c r="W66" i="1" s="1"/>
  <c r="U64" i="1"/>
  <c r="W64" i="1" s="1"/>
  <c r="U72" i="1"/>
  <c r="W72" i="1" s="1"/>
  <c r="U70" i="1"/>
  <c r="W70" i="1" s="1"/>
  <c r="P59" i="1" l="1"/>
  <c r="P62" i="1"/>
  <c r="P60" i="1"/>
  <c r="W63" i="1"/>
  <c r="N71" i="1"/>
  <c r="P71" i="1" s="1"/>
  <c r="N64" i="1"/>
  <c r="P64" i="1" s="1"/>
  <c r="N66" i="1"/>
  <c r="P66" i="1" s="1"/>
  <c r="N65" i="1"/>
  <c r="P65" i="1" s="1"/>
  <c r="N70" i="1"/>
  <c r="P70" i="1" s="1"/>
  <c r="P61" i="1"/>
  <c r="N69" i="1"/>
  <c r="P69" i="1" s="1"/>
  <c r="N72" i="1"/>
  <c r="P72" i="1" s="1"/>
  <c r="W59" i="1"/>
  <c r="N67" i="1"/>
  <c r="P67" i="1" s="1"/>
  <c r="N68" i="1"/>
  <c r="P68" i="1" s="1"/>
  <c r="P63" i="1"/>
  <c r="D59" i="1"/>
  <c r="A61" i="1" l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G77" i="1" l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V58" i="1"/>
  <c r="R58" i="1"/>
  <c r="T58" i="1" s="1"/>
  <c r="U58" i="1"/>
  <c r="N58" i="1" s="1"/>
  <c r="I58" i="1"/>
  <c r="G58" i="1"/>
  <c r="D58" i="1"/>
  <c r="V57" i="1"/>
  <c r="R57" i="1"/>
  <c r="T57" i="1" s="1"/>
  <c r="U57" i="1"/>
  <c r="M57" i="1"/>
  <c r="K57" i="1"/>
  <c r="I57" i="1"/>
  <c r="G57" i="1"/>
  <c r="D57" i="1"/>
  <c r="V56" i="1"/>
  <c r="R56" i="1"/>
  <c r="T56" i="1" s="1"/>
  <c r="U56" i="1"/>
  <c r="M56" i="1"/>
  <c r="K56" i="1"/>
  <c r="I56" i="1"/>
  <c r="G56" i="1"/>
  <c r="D56" i="1"/>
  <c r="V55" i="1"/>
  <c r="R55" i="1"/>
  <c r="T55" i="1" s="1"/>
  <c r="U55" i="1"/>
  <c r="N55" i="1" s="1"/>
  <c r="M55" i="1"/>
  <c r="K55" i="1"/>
  <c r="I55" i="1"/>
  <c r="G55" i="1"/>
  <c r="D55" i="1"/>
  <c r="V54" i="1"/>
  <c r="R54" i="1"/>
  <c r="T54" i="1" s="1"/>
  <c r="M54" i="1"/>
  <c r="K54" i="1"/>
  <c r="I54" i="1"/>
  <c r="G54" i="1"/>
  <c r="D54" i="1"/>
  <c r="V53" i="1"/>
  <c r="R53" i="1"/>
  <c r="T53" i="1" s="1"/>
  <c r="M53" i="1"/>
  <c r="K53" i="1"/>
  <c r="I53" i="1"/>
  <c r="G53" i="1"/>
  <c r="D53" i="1"/>
  <c r="V52" i="1"/>
  <c r="R52" i="1"/>
  <c r="T52" i="1" s="1"/>
  <c r="U52" i="1"/>
  <c r="M52" i="1"/>
  <c r="K52" i="1"/>
  <c r="I52" i="1"/>
  <c r="G52" i="1"/>
  <c r="D52" i="1"/>
  <c r="V51" i="1"/>
  <c r="R51" i="1"/>
  <c r="T51" i="1" s="1"/>
  <c r="U51" i="1"/>
  <c r="N51" i="1" s="1"/>
  <c r="M51" i="1"/>
  <c r="K51" i="1"/>
  <c r="I51" i="1"/>
  <c r="G51" i="1"/>
  <c r="D51" i="1"/>
  <c r="V50" i="1"/>
  <c r="R50" i="1"/>
  <c r="T50" i="1" s="1"/>
  <c r="M50" i="1"/>
  <c r="K50" i="1"/>
  <c r="I50" i="1"/>
  <c r="G50" i="1"/>
  <c r="D50" i="1"/>
  <c r="V49" i="1"/>
  <c r="R49" i="1"/>
  <c r="T49" i="1" s="1"/>
  <c r="M49" i="1"/>
  <c r="K49" i="1"/>
  <c r="I49" i="1"/>
  <c r="G49" i="1"/>
  <c r="V48" i="1"/>
  <c r="R48" i="1"/>
  <c r="T48" i="1" s="1"/>
  <c r="M48" i="1"/>
  <c r="K48" i="1"/>
  <c r="I48" i="1"/>
  <c r="G48" i="1"/>
  <c r="D48" i="1"/>
  <c r="V47" i="1"/>
  <c r="R47" i="1"/>
  <c r="T47" i="1" s="1"/>
  <c r="U47" i="1"/>
  <c r="M47" i="1"/>
  <c r="K47" i="1"/>
  <c r="I47" i="1"/>
  <c r="G47" i="1"/>
  <c r="D47" i="1"/>
  <c r="V46" i="1"/>
  <c r="R46" i="1"/>
  <c r="T46" i="1" s="1"/>
  <c r="M46" i="1"/>
  <c r="K46" i="1"/>
  <c r="I46" i="1"/>
  <c r="G46" i="1"/>
  <c r="D46" i="1"/>
  <c r="V45" i="1"/>
  <c r="R45" i="1"/>
  <c r="T45" i="1" s="1"/>
  <c r="M45" i="1"/>
  <c r="K45" i="1"/>
  <c r="I45" i="1"/>
  <c r="G45" i="1"/>
  <c r="D45" i="1"/>
  <c r="V44" i="1"/>
  <c r="R44" i="1"/>
  <c r="T44" i="1" s="1"/>
  <c r="U44" i="1"/>
  <c r="M44" i="1"/>
  <c r="K44" i="1"/>
  <c r="I44" i="1"/>
  <c r="G44" i="1"/>
  <c r="D44" i="1"/>
  <c r="V43" i="1"/>
  <c r="R43" i="1"/>
  <c r="T43" i="1" s="1"/>
  <c r="U43" i="1"/>
  <c r="M43" i="1"/>
  <c r="K43" i="1"/>
  <c r="I43" i="1"/>
  <c r="G43" i="1"/>
  <c r="D43" i="1"/>
  <c r="V42" i="1"/>
  <c r="R42" i="1"/>
  <c r="T42" i="1" s="1"/>
  <c r="M42" i="1"/>
  <c r="K42" i="1"/>
  <c r="I42" i="1"/>
  <c r="G42" i="1"/>
  <c r="D42" i="1"/>
  <c r="V41" i="1"/>
  <c r="R41" i="1"/>
  <c r="T41" i="1" s="1"/>
  <c r="U41" i="1"/>
  <c r="M41" i="1"/>
  <c r="K41" i="1"/>
  <c r="I41" i="1"/>
  <c r="G41" i="1"/>
  <c r="D41" i="1"/>
  <c r="V40" i="1"/>
  <c r="R40" i="1"/>
  <c r="T40" i="1" s="1"/>
  <c r="U40" i="1"/>
  <c r="M40" i="1"/>
  <c r="K40" i="1"/>
  <c r="I40" i="1"/>
  <c r="G40" i="1"/>
  <c r="D40" i="1"/>
  <c r="V39" i="1"/>
  <c r="R39" i="1"/>
  <c r="T39" i="1" s="1"/>
  <c r="U39" i="1"/>
  <c r="M39" i="1"/>
  <c r="K39" i="1"/>
  <c r="I39" i="1"/>
  <c r="G39" i="1"/>
  <c r="D39" i="1"/>
  <c r="V38" i="1"/>
  <c r="R38" i="1"/>
  <c r="T38" i="1" s="1"/>
  <c r="M38" i="1"/>
  <c r="K38" i="1"/>
  <c r="I38" i="1"/>
  <c r="G38" i="1"/>
  <c r="D38" i="1"/>
  <c r="V37" i="1"/>
  <c r="R37" i="1"/>
  <c r="T37" i="1" s="1"/>
  <c r="U37" i="1"/>
  <c r="M37" i="1"/>
  <c r="K37" i="1"/>
  <c r="I37" i="1"/>
  <c r="G37" i="1"/>
  <c r="D37" i="1"/>
  <c r="V36" i="1"/>
  <c r="R36" i="1"/>
  <c r="T36" i="1" s="1"/>
  <c r="M36" i="1"/>
  <c r="K36" i="1"/>
  <c r="I36" i="1"/>
  <c r="G36" i="1"/>
  <c r="D36" i="1"/>
  <c r="V35" i="1"/>
  <c r="R35" i="1"/>
  <c r="T35" i="1" s="1"/>
  <c r="M35" i="1"/>
  <c r="K35" i="1"/>
  <c r="I35" i="1"/>
  <c r="G35" i="1"/>
  <c r="D35" i="1"/>
  <c r="V34" i="1"/>
  <c r="R34" i="1"/>
  <c r="T34" i="1" s="1"/>
  <c r="M34" i="1"/>
  <c r="K34" i="1"/>
  <c r="I34" i="1"/>
  <c r="G34" i="1"/>
  <c r="D34" i="1"/>
  <c r="V33" i="1"/>
  <c r="R33" i="1"/>
  <c r="T33" i="1" s="1"/>
  <c r="M33" i="1"/>
  <c r="K33" i="1"/>
  <c r="I33" i="1"/>
  <c r="G33" i="1"/>
  <c r="D33" i="1"/>
  <c r="V32" i="1"/>
  <c r="R32" i="1"/>
  <c r="T32" i="1" s="1"/>
  <c r="U32" i="1"/>
  <c r="M32" i="1"/>
  <c r="K32" i="1"/>
  <c r="I32" i="1"/>
  <c r="G32" i="1"/>
  <c r="D32" i="1"/>
  <c r="V31" i="1"/>
  <c r="R31" i="1"/>
  <c r="T31" i="1" s="1"/>
  <c r="U31" i="1"/>
  <c r="N31" i="1" s="1"/>
  <c r="M31" i="1"/>
  <c r="K31" i="1"/>
  <c r="I31" i="1"/>
  <c r="G31" i="1"/>
  <c r="D31" i="1"/>
  <c r="V30" i="1"/>
  <c r="W30" i="1" s="1"/>
  <c r="R30" i="1"/>
  <c r="T30" i="1" s="1"/>
  <c r="G30" i="1"/>
  <c r="D30" i="1"/>
  <c r="V29" i="1"/>
  <c r="R29" i="1"/>
  <c r="T29" i="1" s="1"/>
  <c r="U29" i="1"/>
  <c r="M29" i="1"/>
  <c r="K29" i="1"/>
  <c r="I29" i="1"/>
  <c r="G29" i="1"/>
  <c r="D29" i="1"/>
  <c r="V28" i="1"/>
  <c r="W28" i="1" s="1"/>
  <c r="R28" i="1"/>
  <c r="T28" i="1" s="1"/>
  <c r="G28" i="1"/>
  <c r="D28" i="1"/>
  <c r="V27" i="1"/>
  <c r="R27" i="1"/>
  <c r="T27" i="1" s="1"/>
  <c r="G27" i="1"/>
  <c r="D27" i="1"/>
  <c r="V26" i="1"/>
  <c r="U26" i="1"/>
  <c r="R26" i="1"/>
  <c r="T26" i="1" s="1"/>
  <c r="M26" i="1"/>
  <c r="K26" i="1"/>
  <c r="I26" i="1"/>
  <c r="G26" i="1"/>
  <c r="D26" i="1"/>
  <c r="V25" i="1"/>
  <c r="R25" i="1"/>
  <c r="T25" i="1" s="1"/>
  <c r="M25" i="1"/>
  <c r="K25" i="1"/>
  <c r="I25" i="1"/>
  <c r="G25" i="1"/>
  <c r="D25" i="1"/>
  <c r="V24" i="1"/>
  <c r="R24" i="1"/>
  <c r="T24" i="1" s="1"/>
  <c r="M24" i="1"/>
  <c r="K24" i="1"/>
  <c r="I24" i="1"/>
  <c r="G24" i="1"/>
  <c r="D24" i="1"/>
  <c r="V23" i="1"/>
  <c r="R23" i="1"/>
  <c r="T23" i="1" s="1"/>
  <c r="U23" i="1"/>
  <c r="M23" i="1"/>
  <c r="K23" i="1"/>
  <c r="I23" i="1"/>
  <c r="G23" i="1"/>
  <c r="D23" i="1"/>
  <c r="V22" i="1"/>
  <c r="U22" i="1"/>
  <c r="R22" i="1"/>
  <c r="T22" i="1" s="1"/>
  <c r="M22" i="1"/>
  <c r="K22" i="1"/>
  <c r="I22" i="1"/>
  <c r="G22" i="1"/>
  <c r="D22" i="1"/>
  <c r="V21" i="1"/>
  <c r="R21" i="1"/>
  <c r="T21" i="1" s="1"/>
  <c r="U21" i="1"/>
  <c r="K21" i="1"/>
  <c r="I21" i="1"/>
  <c r="G21" i="1"/>
  <c r="D21" i="1"/>
  <c r="V20" i="1"/>
  <c r="R20" i="1"/>
  <c r="T20" i="1" s="1"/>
  <c r="K20" i="1"/>
  <c r="I20" i="1"/>
  <c r="G20" i="1"/>
  <c r="D20" i="1"/>
  <c r="V19" i="1"/>
  <c r="R19" i="1"/>
  <c r="T19" i="1" s="1"/>
  <c r="K19" i="1"/>
  <c r="I19" i="1"/>
  <c r="G19" i="1"/>
  <c r="D19" i="1"/>
  <c r="V18" i="1"/>
  <c r="R18" i="1"/>
  <c r="T18" i="1" s="1"/>
  <c r="K18" i="1"/>
  <c r="I18" i="1"/>
  <c r="G18" i="1"/>
  <c r="D18" i="1"/>
  <c r="V17" i="1"/>
  <c r="R17" i="1"/>
  <c r="T17" i="1" s="1"/>
  <c r="U17" i="1"/>
  <c r="K17" i="1"/>
  <c r="I17" i="1"/>
  <c r="G17" i="1"/>
  <c r="D17" i="1"/>
  <c r="V16" i="1"/>
  <c r="R16" i="1"/>
  <c r="T16" i="1" s="1"/>
  <c r="K16" i="1"/>
  <c r="I16" i="1"/>
  <c r="G16" i="1"/>
  <c r="D16" i="1"/>
  <c r="V15" i="1"/>
  <c r="R15" i="1"/>
  <c r="T15" i="1" s="1"/>
  <c r="K15" i="1"/>
  <c r="I15" i="1"/>
  <c r="G15" i="1"/>
  <c r="D15" i="1"/>
  <c r="V14" i="1"/>
  <c r="R14" i="1"/>
  <c r="T14" i="1" s="1"/>
  <c r="U14" i="1"/>
  <c r="K14" i="1"/>
  <c r="I14" i="1"/>
  <c r="G14" i="1"/>
  <c r="D14" i="1"/>
  <c r="V13" i="1"/>
  <c r="R13" i="1"/>
  <c r="T13" i="1" s="1"/>
  <c r="U13" i="1"/>
  <c r="K13" i="1"/>
  <c r="I13" i="1"/>
  <c r="G13" i="1"/>
  <c r="D13" i="1"/>
  <c r="V12" i="1"/>
  <c r="R12" i="1"/>
  <c r="T12" i="1" s="1"/>
  <c r="K12" i="1"/>
  <c r="I12" i="1"/>
  <c r="G12" i="1"/>
  <c r="D12" i="1"/>
  <c r="V11" i="1"/>
  <c r="R11" i="1"/>
  <c r="T11" i="1" s="1"/>
  <c r="U11" i="1"/>
  <c r="M11" i="1"/>
  <c r="K11" i="1"/>
  <c r="I11" i="1"/>
  <c r="G11" i="1"/>
  <c r="D11" i="1"/>
  <c r="V10" i="1"/>
  <c r="R10" i="1"/>
  <c r="T10" i="1" s="1"/>
  <c r="M10" i="1"/>
  <c r="K10" i="1"/>
  <c r="I10" i="1"/>
  <c r="G10" i="1"/>
  <c r="D10" i="1"/>
  <c r="V9" i="1"/>
  <c r="R9" i="1"/>
  <c r="T9" i="1" s="1"/>
  <c r="U9" i="1"/>
  <c r="M9" i="1"/>
  <c r="K9" i="1"/>
  <c r="I9" i="1"/>
  <c r="G9" i="1"/>
  <c r="D9" i="1"/>
  <c r="V8" i="1"/>
  <c r="R8" i="1"/>
  <c r="T8" i="1" s="1"/>
  <c r="M8" i="1"/>
  <c r="K8" i="1"/>
  <c r="I8" i="1"/>
  <c r="G8" i="1"/>
  <c r="D8" i="1"/>
  <c r="V7" i="1"/>
  <c r="U7" i="1"/>
  <c r="N7" i="1" s="1"/>
  <c r="R7" i="1"/>
  <c r="T7" i="1" s="1"/>
  <c r="M7" i="1"/>
  <c r="K7" i="1"/>
  <c r="I7" i="1"/>
  <c r="G7" i="1"/>
  <c r="D7" i="1"/>
  <c r="L5" i="1"/>
  <c r="J4" i="1"/>
  <c r="K5" i="1" s="1"/>
  <c r="H4" i="1"/>
  <c r="F4" i="1"/>
  <c r="F5" i="1" s="1"/>
  <c r="W41" i="1" l="1"/>
  <c r="O42" i="1"/>
  <c r="O44" i="1"/>
  <c r="O45" i="1"/>
  <c r="O46" i="1"/>
  <c r="W13" i="1"/>
  <c r="W17" i="1"/>
  <c r="W32" i="1"/>
  <c r="W39" i="1"/>
  <c r="O22" i="1"/>
  <c r="W44" i="1"/>
  <c r="W47" i="1"/>
  <c r="W51" i="1"/>
  <c r="O48" i="1"/>
  <c r="U53" i="1"/>
  <c r="W53" i="1" s="1"/>
  <c r="O7" i="1"/>
  <c r="P7" i="1" s="1"/>
  <c r="W9" i="1"/>
  <c r="U48" i="1"/>
  <c r="W48" i="1" s="1"/>
  <c r="O49" i="1"/>
  <c r="O50" i="1"/>
  <c r="I5" i="1"/>
  <c r="M5" i="1"/>
  <c r="W29" i="1"/>
  <c r="W58" i="1"/>
  <c r="O10" i="1"/>
  <c r="O23" i="1"/>
  <c r="W31" i="1"/>
  <c r="O36" i="1"/>
  <c r="O51" i="1"/>
  <c r="P51" i="1" s="1"/>
  <c r="O57" i="1"/>
  <c r="U10" i="1"/>
  <c r="W10" i="1" s="1"/>
  <c r="W21" i="1"/>
  <c r="U36" i="1"/>
  <c r="W36" i="1" s="1"/>
  <c r="O41" i="1"/>
  <c r="W43" i="1"/>
  <c r="O54" i="1"/>
  <c r="O55" i="1"/>
  <c r="P55" i="1" s="1"/>
  <c r="O43" i="1"/>
  <c r="O47" i="1"/>
  <c r="W57" i="1"/>
  <c r="N57" i="1"/>
  <c r="N9" i="1"/>
  <c r="N11" i="1"/>
  <c r="O14" i="1"/>
  <c r="O18" i="1"/>
  <c r="W23" i="1"/>
  <c r="N23" i="1"/>
  <c r="O24" i="1"/>
  <c r="O25" i="1"/>
  <c r="W26" i="1"/>
  <c r="N26" i="1"/>
  <c r="O27" i="1"/>
  <c r="O30" i="1"/>
  <c r="P30" i="1" s="1"/>
  <c r="O31" i="1"/>
  <c r="P31" i="1" s="1"/>
  <c r="O33" i="1"/>
  <c r="O34" i="1"/>
  <c r="O35" i="1"/>
  <c r="N37" i="1"/>
  <c r="O40" i="1"/>
  <c r="N44" i="1"/>
  <c r="W52" i="1"/>
  <c r="N52" i="1"/>
  <c r="O53" i="1"/>
  <c r="O56" i="1"/>
  <c r="W22" i="1"/>
  <c r="N22" i="1"/>
  <c r="R4" i="1"/>
  <c r="R5" i="1" s="1"/>
  <c r="O8" i="1"/>
  <c r="O9" i="1"/>
  <c r="O11" i="1"/>
  <c r="N13" i="1"/>
  <c r="N17" i="1"/>
  <c r="N21" i="1"/>
  <c r="U25" i="1"/>
  <c r="W25" i="1" s="1"/>
  <c r="U27" i="1"/>
  <c r="W27" i="1" s="1"/>
  <c r="O28" i="1"/>
  <c r="P28" i="1" s="1"/>
  <c r="N29" i="1"/>
  <c r="N32" i="1"/>
  <c r="O37" i="1"/>
  <c r="N39" i="1"/>
  <c r="N41" i="1"/>
  <c r="W55" i="1"/>
  <c r="W11" i="1"/>
  <c r="O12" i="1"/>
  <c r="O13" i="1"/>
  <c r="W14" i="1"/>
  <c r="N14" i="1"/>
  <c r="O15" i="1"/>
  <c r="O16" i="1"/>
  <c r="O17" i="1"/>
  <c r="U18" i="1"/>
  <c r="W18" i="1" s="1"/>
  <c r="O19" i="1"/>
  <c r="O20" i="1"/>
  <c r="O21" i="1"/>
  <c r="O26" i="1"/>
  <c r="O29" i="1"/>
  <c r="O32" i="1"/>
  <c r="U35" i="1"/>
  <c r="W35" i="1" s="1"/>
  <c r="W37" i="1"/>
  <c r="O38" i="1"/>
  <c r="O39" i="1"/>
  <c r="W40" i="1"/>
  <c r="N40" i="1"/>
  <c r="N43" i="1"/>
  <c r="N47" i="1"/>
  <c r="O52" i="1"/>
  <c r="W56" i="1"/>
  <c r="N56" i="1"/>
  <c r="O58" i="1"/>
  <c r="P58" i="1" s="1"/>
  <c r="H5" i="1"/>
  <c r="J5" i="1"/>
  <c r="U8" i="1"/>
  <c r="U24" i="1"/>
  <c r="W24" i="1" s="1"/>
  <c r="U38" i="1"/>
  <c r="W38" i="1" s="1"/>
  <c r="U54" i="1"/>
  <c r="U20" i="1"/>
  <c r="W20" i="1" s="1"/>
  <c r="U34" i="1"/>
  <c r="W34" i="1" s="1"/>
  <c r="U50" i="1"/>
  <c r="V4" i="1"/>
  <c r="V5" i="1" s="1"/>
  <c r="U16" i="1"/>
  <c r="W16" i="1" s="1"/>
  <c r="U19" i="1"/>
  <c r="W19" i="1" s="1"/>
  <c r="Q4" i="1"/>
  <c r="Q5" i="1" s="1"/>
  <c r="U12" i="1"/>
  <c r="W12" i="1" s="1"/>
  <c r="U15" i="1"/>
  <c r="W15" i="1" s="1"/>
  <c r="U42" i="1"/>
  <c r="W42" i="1" s="1"/>
  <c r="U45" i="1"/>
  <c r="W45" i="1" s="1"/>
  <c r="W7" i="1"/>
  <c r="M4" i="1"/>
  <c r="U33" i="1"/>
  <c r="W33" i="1" s="1"/>
  <c r="U46" i="1"/>
  <c r="W46" i="1" s="1"/>
  <c r="U49" i="1"/>
  <c r="W49" i="1" s="1"/>
  <c r="G5" i="1"/>
  <c r="P41" i="1" l="1"/>
  <c r="N18" i="1"/>
  <c r="P18" i="1" s="1"/>
  <c r="P56" i="1"/>
  <c r="N10" i="1"/>
  <c r="P10" i="1" s="1"/>
  <c r="P44" i="1"/>
  <c r="N53" i="1"/>
  <c r="P53" i="1" s="1"/>
  <c r="P23" i="1"/>
  <c r="P57" i="1"/>
  <c r="P43" i="1"/>
  <c r="N49" i="1"/>
  <c r="P49" i="1" s="1"/>
  <c r="P22" i="1"/>
  <c r="P52" i="1"/>
  <c r="N38" i="1"/>
  <c r="P38" i="1" s="1"/>
  <c r="P40" i="1"/>
  <c r="P21" i="1"/>
  <c r="N48" i="1"/>
  <c r="P48" i="1" s="1"/>
  <c r="N35" i="1"/>
  <c r="P35" i="1" s="1"/>
  <c r="P14" i="1"/>
  <c r="N42" i="1"/>
  <c r="P42" i="1" s="1"/>
  <c r="P39" i="1"/>
  <c r="N36" i="1"/>
  <c r="P36" i="1" s="1"/>
  <c r="P11" i="1"/>
  <c r="P37" i="1"/>
  <c r="N15" i="1"/>
  <c r="P15" i="1" s="1"/>
  <c r="N27" i="1"/>
  <c r="P27" i="1" s="1"/>
  <c r="N20" i="1"/>
  <c r="P20" i="1" s="1"/>
  <c r="N46" i="1"/>
  <c r="P46" i="1" s="1"/>
  <c r="P29" i="1"/>
  <c r="P17" i="1"/>
  <c r="P32" i="1"/>
  <c r="N19" i="1"/>
  <c r="P19" i="1" s="1"/>
  <c r="N16" i="1"/>
  <c r="P16" i="1" s="1"/>
  <c r="N12" i="1"/>
  <c r="P12" i="1" s="1"/>
  <c r="O4" i="1"/>
  <c r="O5" i="1" s="1"/>
  <c r="P26" i="1"/>
  <c r="N33" i="1"/>
  <c r="P33" i="1" s="1"/>
  <c r="W50" i="1"/>
  <c r="N50" i="1"/>
  <c r="P50" i="1" s="1"/>
  <c r="W8" i="1"/>
  <c r="N8" i="1"/>
  <c r="N45" i="1"/>
  <c r="P45" i="1" s="1"/>
  <c r="N25" i="1"/>
  <c r="P25" i="1" s="1"/>
  <c r="W54" i="1"/>
  <c r="N54" i="1"/>
  <c r="P54" i="1" s="1"/>
  <c r="P13" i="1"/>
  <c r="P9" i="1"/>
  <c r="N34" i="1"/>
  <c r="P34" i="1" s="1"/>
  <c r="N24" i="1"/>
  <c r="P24" i="1" s="1"/>
  <c r="P47" i="1"/>
  <c r="T4" i="1"/>
  <c r="T5" i="1" s="1"/>
  <c r="U4" i="1"/>
  <c r="U5" i="1" s="1"/>
  <c r="W4" i="1" l="1"/>
  <c r="W5" i="1" s="1"/>
  <c r="P8" i="1"/>
  <c r="P4" i="1" s="1"/>
  <c r="P5" i="1" s="1"/>
  <c r="N4" i="1"/>
  <c r="N5" i="1" s="1"/>
</calcChain>
</file>

<file path=xl/sharedStrings.xml><?xml version="1.0" encoding="utf-8"?>
<sst xmlns="http://schemas.openxmlformats.org/spreadsheetml/2006/main" count="113" uniqueCount="110">
  <si>
    <t>Name</t>
  </si>
  <si>
    <t>Date</t>
  </si>
  <si>
    <t>Day of the week</t>
  </si>
  <si>
    <t>Gross Ticket Revenue</t>
  </si>
  <si>
    <t>Avg. Ticket Price (including TW rebate)</t>
  </si>
  <si>
    <t>Bar Revenue</t>
  </si>
  <si>
    <t>Avg sale of alcohol per guest</t>
  </si>
  <si>
    <t>Band(s) guarantee</t>
  </si>
  <si>
    <t>Tickets Sold</t>
  </si>
  <si>
    <t>TOTALS</t>
  </si>
  <si>
    <t>AVERAGES</t>
  </si>
  <si>
    <t xml:space="preserve">Gate Settlement Gain/(Loss)  </t>
  </si>
  <si>
    <t>Show Gross Proceeds</t>
  </si>
  <si>
    <t>MAJESTIC THEATRE</t>
  </si>
  <si>
    <t xml:space="preserve">AEG </t>
  </si>
  <si>
    <t>% of Gross Ticket Revenue</t>
  </si>
  <si>
    <t>Show Gross Proceeds (before COGS, Labor, &amp; Facility Costs)</t>
  </si>
  <si>
    <t>INPUT - Total Gate Settlement</t>
  </si>
  <si>
    <t>***MAJESTIC THEATRE RESULTS***</t>
  </si>
  <si>
    <t>Venue Capacity</t>
  </si>
  <si>
    <t>Capacity Rate</t>
  </si>
  <si>
    <t>VENUE TOTAL</t>
  </si>
  <si>
    <t>PARTNER SPLIT</t>
  </si>
  <si>
    <t>MTC Inc</t>
  </si>
  <si>
    <t>Bar Sales 70%</t>
  </si>
  <si>
    <t>Bar Sales 30%</t>
  </si>
  <si>
    <t>Bar Sales 100%</t>
  </si>
  <si>
    <t>KaiWachi</t>
  </si>
  <si>
    <t>Of the Trees</t>
  </si>
  <si>
    <t>Angel Olsen</t>
  </si>
  <si>
    <t>Lotus</t>
  </si>
  <si>
    <t>Ride/Charlatans UK</t>
  </si>
  <si>
    <t>Babytron</t>
  </si>
  <si>
    <t>Viagra Boys</t>
  </si>
  <si>
    <t>Margo Price</t>
  </si>
  <si>
    <t>Cory Wong</t>
  </si>
  <si>
    <t>Wood Brothers</t>
  </si>
  <si>
    <t>Shrek Rave</t>
  </si>
  <si>
    <t>Alvvays</t>
  </si>
  <si>
    <t>Eluveitie</t>
  </si>
  <si>
    <t>Elderbrook</t>
  </si>
  <si>
    <t>Young Nudy</t>
  </si>
  <si>
    <t>You're Wrong About Sarah Marshall</t>
  </si>
  <si>
    <t>Marauda</t>
  </si>
  <si>
    <t>Unknown Mortal Orchestra</t>
  </si>
  <si>
    <t>Snow Tha Product</t>
  </si>
  <si>
    <t>Lizzy McAlpine</t>
  </si>
  <si>
    <t>Welcome to Nightvale</t>
  </si>
  <si>
    <t>Bear Grillz</t>
  </si>
  <si>
    <t>Mac Ayres</t>
  </si>
  <si>
    <t>Yves Tumor</t>
  </si>
  <si>
    <t>Sullivan King</t>
  </si>
  <si>
    <t>Yaeji</t>
  </si>
  <si>
    <t>Future Islands</t>
  </si>
  <si>
    <t>The Sound of Animals Fighting</t>
  </si>
  <si>
    <t>The Floozies</t>
  </si>
  <si>
    <t>Pinky Patel (2 shows)</t>
  </si>
  <si>
    <t>The Moutain Goats</t>
  </si>
  <si>
    <t>Jerry Harrison &amp; Adrian Belew</t>
  </si>
  <si>
    <t>Whoreible Decisions</t>
  </si>
  <si>
    <t>Jeff Arcuri (2 shows)</t>
  </si>
  <si>
    <t>Ruel</t>
  </si>
  <si>
    <t>MC Magic (rental)</t>
  </si>
  <si>
    <t>Yo La Tengo</t>
  </si>
  <si>
    <t>Between the Buried &amp; Me</t>
  </si>
  <si>
    <t>Patrick Hinds</t>
  </si>
  <si>
    <t>Jenny Lewis</t>
  </si>
  <si>
    <t>Rare Earth</t>
  </si>
  <si>
    <t>Underoath</t>
  </si>
  <si>
    <t>Gina Yashere</t>
  </si>
  <si>
    <t>Declan McKenna</t>
  </si>
  <si>
    <t>Goth Babe</t>
  </si>
  <si>
    <t>Coco Jones</t>
  </si>
  <si>
    <t>Glaive</t>
  </si>
  <si>
    <t>Local Natives</t>
  </si>
  <si>
    <t>JVKE</t>
  </si>
  <si>
    <t>Bar  COGS, Labor &amp; Facility Costs 28%</t>
  </si>
  <si>
    <t>Pup</t>
  </si>
  <si>
    <t>Tallest Man on Earth</t>
  </si>
  <si>
    <t>Mister Wives/Bishop Briggs</t>
  </si>
  <si>
    <t>Noah Cyrus</t>
  </si>
  <si>
    <t>Sammy Rae</t>
  </si>
  <si>
    <t>Broken Social Scene</t>
  </si>
  <si>
    <t>VNV Nation</t>
  </si>
  <si>
    <t>Ty Segall</t>
  </si>
  <si>
    <t>Kat Timpf</t>
  </si>
  <si>
    <t>10/7&amp;8/23</t>
  </si>
  <si>
    <t>Sa/Su</t>
  </si>
  <si>
    <t>Raye</t>
  </si>
  <si>
    <t>Esther Povitsky</t>
  </si>
  <si>
    <t>San Holo</t>
  </si>
  <si>
    <t>Laufey</t>
  </si>
  <si>
    <t>Stephen Sanchez</t>
  </si>
  <si>
    <t>Roosevelt</t>
  </si>
  <si>
    <t>Paul Cauthen</t>
  </si>
  <si>
    <t>Dragon Force</t>
  </si>
  <si>
    <t>Michael Yo</t>
  </si>
  <si>
    <t>Apashe</t>
  </si>
  <si>
    <t>Jeremy Zucker</t>
  </si>
  <si>
    <t>Beach Fossils</t>
  </si>
  <si>
    <t>KFC Radio</t>
  </si>
  <si>
    <t>Zeds Dead Afterparty</t>
  </si>
  <si>
    <t>Deafhaven</t>
  </si>
  <si>
    <t>Protomartyr</t>
  </si>
  <si>
    <t>The Japanese House</t>
  </si>
  <si>
    <t>Sky Ferrierra</t>
  </si>
  <si>
    <t>Dogstar</t>
  </si>
  <si>
    <t>Bear V Shark</t>
  </si>
  <si>
    <t>Silverstein</t>
  </si>
  <si>
    <t>Black 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</si>
</sst>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m/d/yy;@"/>
    <numFmt numFmtId="167" formatCode="ddd"/>
    <numFmt numFmtId="168" formatCode="_(\$* #,##0.00_);_(\$* \(#,##0.00\);_(\$* \-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1C05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8" fillId="0" borderId="0"/>
    <xf numFmtId="168" fontId="8" fillId="0" borderId="0" applyFill="0" applyBorder="0" applyAlignment="0" applyProtection="0"/>
    <xf numFmtId="0" fontId="4" fillId="0" borderId="0"/>
    <xf numFmtId="0" fontId="4" fillId="0" borderId="0"/>
    <xf numFmtId="9" fontId="8" fillId="0" borderId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23">
    <xf numFmtId="0" fontId="0" fillId="0" borderId="0" xfId="0"/>
    <xf numFmtId="0" fontId="3" fillId="3" borderId="1" xfId="0" applyFont="1" applyFill="1" applyBorder="1"/>
    <xf numFmtId="0" fontId="2" fillId="3" borderId="2" xfId="0" applyFont="1" applyFill="1" applyBorder="1"/>
    <xf numFmtId="165" fontId="3" fillId="3" borderId="2" xfId="2" applyNumberFormat="1" applyFont="1" applyFill="1" applyBorder="1"/>
    <xf numFmtId="164" fontId="3" fillId="4" borderId="2" xfId="0" applyNumberFormat="1" applyFont="1" applyFill="1" applyBorder="1"/>
    <xf numFmtId="44" fontId="3" fillId="3" borderId="2" xfId="2" applyFont="1" applyFill="1" applyBorder="1"/>
    <xf numFmtId="0" fontId="5" fillId="0" borderId="0" xfId="4" applyFont="1"/>
    <xf numFmtId="0" fontId="5" fillId="2" borderId="0" xfId="4" applyFont="1" applyFill="1"/>
    <xf numFmtId="10" fontId="3" fillId="3" borderId="2" xfId="3" applyNumberFormat="1" applyFont="1" applyFill="1" applyBorder="1"/>
    <xf numFmtId="164" fontId="3" fillId="3" borderId="2" xfId="1" applyNumberFormat="1" applyFont="1" applyFill="1" applyBorder="1"/>
    <xf numFmtId="165" fontId="3" fillId="3" borderId="3" xfId="2" applyNumberFormat="1" applyFont="1" applyFill="1" applyBorder="1"/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165" fontId="3" fillId="3" borderId="1" xfId="2" applyNumberFormat="1" applyFont="1" applyFill="1" applyBorder="1"/>
    <xf numFmtId="164" fontId="6" fillId="2" borderId="7" xfId="1" applyNumberFormat="1" applyFont="1" applyFill="1" applyBorder="1"/>
    <xf numFmtId="164" fontId="6" fillId="2" borderId="8" xfId="3" applyNumberFormat="1" applyFont="1" applyFill="1" applyBorder="1"/>
    <xf numFmtId="164" fontId="6" fillId="0" borderId="7" xfId="1" applyNumberFormat="1" applyFont="1" applyBorder="1"/>
    <xf numFmtId="164" fontId="6" fillId="0" borderId="8" xfId="3" applyNumberFormat="1" applyFont="1" applyBorder="1"/>
    <xf numFmtId="164" fontId="6" fillId="2" borderId="7" xfId="3" applyNumberFormat="1" applyFont="1" applyFill="1" applyBorder="1"/>
    <xf numFmtId="164" fontId="6" fillId="0" borderId="7" xfId="3" applyNumberFormat="1" applyFont="1" applyBorder="1"/>
    <xf numFmtId="165" fontId="6" fillId="2" borderId="7" xfId="2" applyNumberFormat="1" applyFont="1" applyFill="1" applyBorder="1"/>
    <xf numFmtId="165" fontId="6" fillId="2" borderId="8" xfId="2" applyNumberFormat="1" applyFont="1" applyFill="1" applyBorder="1"/>
    <xf numFmtId="164" fontId="6" fillId="0" borderId="8" xfId="1" applyNumberFormat="1" applyFont="1" applyBorder="1"/>
    <xf numFmtId="43" fontId="0" fillId="0" borderId="0" xfId="1" applyFont="1"/>
    <xf numFmtId="43" fontId="2" fillId="0" borderId="9" xfId="1" applyFont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164" fontId="3" fillId="2" borderId="10" xfId="1" applyNumberFormat="1" applyFont="1" applyFill="1" applyBorder="1" applyAlignment="1">
      <alignment horizontal="center" wrapText="1"/>
    </xf>
    <xf numFmtId="9" fontId="0" fillId="0" borderId="0" xfId="3" applyFont="1"/>
    <xf numFmtId="164" fontId="6" fillId="2" borderId="8" xfId="1" applyNumberFormat="1" applyFont="1" applyFill="1" applyBorder="1"/>
    <xf numFmtId="165" fontId="6" fillId="2" borderId="0" xfId="2" applyNumberFormat="1" applyFont="1" applyFill="1" applyBorder="1"/>
    <xf numFmtId="164" fontId="6" fillId="0" borderId="0" xfId="1" applyNumberFormat="1" applyFont="1" applyBorder="1"/>
    <xf numFmtId="164" fontId="6" fillId="2" borderId="0" xfId="1" applyNumberFormat="1" applyFont="1" applyFill="1" applyBorder="1"/>
    <xf numFmtId="0" fontId="3" fillId="2" borderId="11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165" fontId="3" fillId="4" borderId="3" xfId="2" applyNumberFormat="1" applyFont="1" applyFill="1" applyBorder="1"/>
    <xf numFmtId="10" fontId="3" fillId="3" borderId="3" xfId="3" applyNumberFormat="1" applyFont="1" applyFill="1" applyBorder="1"/>
    <xf numFmtId="0" fontId="2" fillId="0" borderId="0" xfId="0" applyFont="1"/>
    <xf numFmtId="0" fontId="5" fillId="2" borderId="7" xfId="4" applyFont="1" applyFill="1" applyBorder="1"/>
    <xf numFmtId="166" fontId="5" fillId="2" borderId="0" xfId="4" applyNumberFormat="1" applyFont="1" applyFill="1" applyAlignment="1">
      <alignment horizontal="center"/>
    </xf>
    <xf numFmtId="167" fontId="5" fillId="2" borderId="0" xfId="4" applyNumberFormat="1" applyFont="1" applyFill="1" applyAlignment="1">
      <alignment horizontal="center"/>
    </xf>
    <xf numFmtId="9" fontId="6" fillId="2" borderId="0" xfId="3" applyFont="1" applyFill="1" applyBorder="1"/>
    <xf numFmtId="44" fontId="6" fillId="2" borderId="0" xfId="2" applyFont="1" applyFill="1" applyBorder="1"/>
    <xf numFmtId="9" fontId="6" fillId="2" borderId="8" xfId="3" applyFont="1" applyFill="1" applyBorder="1"/>
    <xf numFmtId="0" fontId="5" fillId="0" borderId="7" xfId="4" applyFont="1" applyBorder="1"/>
    <xf numFmtId="166" fontId="5" fillId="0" borderId="0" xfId="4" applyNumberFormat="1" applyFont="1" applyAlignment="1">
      <alignment horizontal="center"/>
    </xf>
    <xf numFmtId="167" fontId="5" fillId="0" borderId="0" xfId="4" applyNumberFormat="1" applyFont="1" applyAlignment="1">
      <alignment horizontal="center"/>
    </xf>
    <xf numFmtId="9" fontId="6" fillId="0" borderId="0" xfId="3" applyFont="1" applyBorder="1"/>
    <xf numFmtId="43" fontId="6" fillId="0" borderId="0" xfId="1" applyFont="1" applyBorder="1"/>
    <xf numFmtId="164" fontId="6" fillId="0" borderId="0" xfId="0" applyNumberFormat="1" applyFont="1"/>
    <xf numFmtId="43" fontId="6" fillId="0" borderId="0" xfId="0" applyNumberFormat="1" applyFont="1"/>
    <xf numFmtId="9" fontId="6" fillId="0" borderId="8" xfId="3" applyFont="1" applyBorder="1"/>
    <xf numFmtId="43" fontId="6" fillId="2" borderId="0" xfId="1" applyFont="1" applyFill="1" applyBorder="1"/>
    <xf numFmtId="164" fontId="6" fillId="2" borderId="0" xfId="0" applyNumberFormat="1" applyFont="1" applyFill="1"/>
    <xf numFmtId="43" fontId="6" fillId="2" borderId="0" xfId="0" applyNumberFormat="1" applyFont="1" applyFill="1"/>
    <xf numFmtId="164" fontId="6" fillId="2" borderId="0" xfId="3" applyNumberFormat="1" applyFont="1" applyFill="1" applyBorder="1"/>
    <xf numFmtId="43" fontId="2" fillId="0" borderId="16" xfId="0" applyNumberFormat="1" applyFont="1" applyBorder="1"/>
    <xf numFmtId="43" fontId="2" fillId="0" borderId="17" xfId="0" applyNumberFormat="1" applyFont="1" applyBorder="1"/>
    <xf numFmtId="43" fontId="2" fillId="0" borderId="18" xfId="0" applyNumberFormat="1" applyFont="1" applyBorder="1"/>
    <xf numFmtId="164" fontId="6" fillId="0" borderId="0" xfId="3" applyNumberFormat="1" applyFont="1" applyBorder="1"/>
    <xf numFmtId="0" fontId="2" fillId="0" borderId="16" xfId="0" applyFont="1" applyBorder="1"/>
    <xf numFmtId="0" fontId="2" fillId="0" borderId="17" xfId="0" applyFont="1" applyBorder="1"/>
    <xf numFmtId="43" fontId="2" fillId="0" borderId="17" xfId="1" applyFont="1" applyBorder="1"/>
    <xf numFmtId="164" fontId="2" fillId="0" borderId="17" xfId="0" applyNumberFormat="1" applyFont="1" applyBorder="1"/>
    <xf numFmtId="164" fontId="6" fillId="0" borderId="0" xfId="1" applyNumberFormat="1" applyFont="1" applyFill="1" applyBorder="1"/>
    <xf numFmtId="9" fontId="6" fillId="0" borderId="0" xfId="3" applyFont="1" applyFill="1" applyBorder="1"/>
    <xf numFmtId="43" fontId="6" fillId="0" borderId="0" xfId="1" applyFont="1" applyFill="1" applyBorder="1"/>
    <xf numFmtId="164" fontId="6" fillId="0" borderId="8" xfId="3" applyNumberFormat="1" applyFont="1" applyFill="1" applyBorder="1"/>
    <xf numFmtId="164" fontId="6" fillId="0" borderId="0" xfId="3" applyNumberFormat="1" applyFont="1" applyFill="1" applyBorder="1"/>
    <xf numFmtId="164" fontId="6" fillId="0" borderId="7" xfId="3" applyNumberFormat="1" applyFont="1" applyFill="1" applyBorder="1"/>
    <xf numFmtId="9" fontId="6" fillId="0" borderId="8" xfId="3" applyFont="1" applyFill="1" applyBorder="1"/>
    <xf numFmtId="0" fontId="5" fillId="0" borderId="13" xfId="4" applyFont="1" applyBorder="1"/>
    <xf numFmtId="166" fontId="5" fillId="0" borderId="14" xfId="4" applyNumberFormat="1" applyFont="1" applyBorder="1" applyAlignment="1">
      <alignment horizontal="center"/>
    </xf>
    <xf numFmtId="167" fontId="5" fillId="0" borderId="14" xfId="4" applyNumberFormat="1" applyFont="1" applyBorder="1" applyAlignment="1">
      <alignment horizontal="center"/>
    </xf>
    <xf numFmtId="164" fontId="6" fillId="0" borderId="14" xfId="1" applyNumberFormat="1" applyFont="1" applyBorder="1"/>
    <xf numFmtId="43" fontId="6" fillId="0" borderId="14" xfId="1" applyFont="1" applyBorder="1"/>
    <xf numFmtId="164" fontId="6" fillId="0" borderId="7" xfId="1" applyNumberFormat="1" applyFont="1" applyFill="1" applyBorder="1"/>
    <xf numFmtId="164" fontId="6" fillId="0" borderId="13" xfId="1" applyNumberFormat="1" applyFont="1" applyBorder="1"/>
    <xf numFmtId="164" fontId="6" fillId="0" borderId="15" xfId="1" applyNumberFormat="1" applyFont="1" applyBorder="1"/>
    <xf numFmtId="9" fontId="6" fillId="0" borderId="14" xfId="3" applyFont="1" applyBorder="1"/>
    <xf numFmtId="41" fontId="6" fillId="2" borderId="7" xfId="2" applyNumberFormat="1" applyFont="1" applyFill="1" applyBorder="1"/>
    <xf numFmtId="41" fontId="6" fillId="2" borderId="0" xfId="2" applyNumberFormat="1" applyFont="1" applyFill="1" applyBorder="1"/>
    <xf numFmtId="41" fontId="6" fillId="2" borderId="8" xfId="2" applyNumberFormat="1" applyFont="1" applyFill="1" applyBorder="1"/>
    <xf numFmtId="41" fontId="6" fillId="0" borderId="7" xfId="2" applyNumberFormat="1" applyFont="1" applyFill="1" applyBorder="1"/>
    <xf numFmtId="41" fontId="6" fillId="0" borderId="0" xfId="1" applyNumberFormat="1" applyFont="1" applyBorder="1"/>
    <xf numFmtId="41" fontId="6" fillId="0" borderId="8" xfId="2" applyNumberFormat="1" applyFont="1" applyFill="1" applyBorder="1"/>
    <xf numFmtId="41" fontId="6" fillId="2" borderId="7" xfId="1" applyNumberFormat="1" applyFont="1" applyFill="1" applyBorder="1"/>
    <xf numFmtId="41" fontId="6" fillId="2" borderId="0" xfId="1" applyNumberFormat="1" applyFont="1" applyFill="1" applyBorder="1"/>
    <xf numFmtId="41" fontId="6" fillId="0" borderId="0" xfId="1" applyNumberFormat="1" applyFont="1" applyFill="1" applyBorder="1"/>
    <xf numFmtId="41" fontId="6" fillId="0" borderId="13" xfId="2" applyNumberFormat="1" applyFont="1" applyFill="1" applyBorder="1"/>
    <xf numFmtId="41" fontId="6" fillId="0" borderId="14" xfId="1" applyNumberFormat="1" applyFont="1" applyBorder="1"/>
    <xf numFmtId="41" fontId="6" fillId="0" borderId="15" xfId="2" applyNumberFormat="1" applyFont="1" applyFill="1" applyBorder="1"/>
    <xf numFmtId="0" fontId="10" fillId="2" borderId="19" xfId="0" applyFont="1" applyFill="1" applyBorder="1" applyAlignment="1">
      <alignment horizontal="center" wrapText="1"/>
    </xf>
    <xf numFmtId="165" fontId="10" fillId="3" borderId="2" xfId="2" applyNumberFormat="1" applyFont="1" applyFill="1" applyBorder="1"/>
    <xf numFmtId="43" fontId="11" fillId="0" borderId="17" xfId="0" applyNumberFormat="1" applyFont="1" applyBorder="1"/>
    <xf numFmtId="41" fontId="12" fillId="2" borderId="0" xfId="2" applyNumberFormat="1" applyFont="1" applyFill="1" applyBorder="1"/>
    <xf numFmtId="41" fontId="12" fillId="0" borderId="0" xfId="2" applyNumberFormat="1" applyFont="1" applyFill="1" applyBorder="1"/>
    <xf numFmtId="41" fontId="12" fillId="0" borderId="14" xfId="2" applyNumberFormat="1" applyFont="1" applyFill="1" applyBorder="1"/>
    <xf numFmtId="0" fontId="9" fillId="0" borderId="0" xfId="0" applyFont="1"/>
    <xf numFmtId="43" fontId="2" fillId="0" borderId="0" xfId="1" applyFont="1" applyFill="1"/>
    <xf numFmtId="43" fontId="2" fillId="0" borderId="0" xfId="1" applyFont="1"/>
    <xf numFmtId="43" fontId="2" fillId="8" borderId="0" xfId="1" applyFont="1" applyFill="1"/>
    <xf numFmtId="43" fontId="2" fillId="9" borderId="0" xfId="1" applyFont="1" applyFill="1"/>
    <xf numFmtId="164" fontId="6" fillId="10" borderId="0" xfId="1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9" fontId="6" fillId="0" borderId="15" xfId="3" applyFont="1" applyBorder="1"/>
    <xf numFmtId="164" fontId="6" fillId="0" borderId="13" xfId="1" applyNumberFormat="1" applyFont="1" applyFill="1" applyBorder="1"/>
    <xf numFmtId="164" fontId="6" fillId="0" borderId="14" xfId="1" applyNumberFormat="1" applyFont="1" applyFill="1" applyBorder="1"/>
    <xf numFmtId="164" fontId="6" fillId="0" borderId="15" xfId="3" applyNumberFormat="1" applyFont="1" applyBorder="1"/>
  </cellXfs>
  <cellStyles count="26">
    <cellStyle name="Comma" xfId="1" builtinId="3"/>
    <cellStyle name="Currency" xfId="2" builtinId="4"/>
    <cellStyle name="Currency 2" xfId="6" xr:uid="{2AE03AD2-8B44-4DF2-8080-C5EB8E15EBFB}"/>
    <cellStyle name="Normal" xfId="0" builtinId="0"/>
    <cellStyle name="Normal 10" xfId="15" xr:uid="{1A4E3694-3685-4AFD-BEC1-34C5A1456799}"/>
    <cellStyle name="Normal 11" xfId="16" xr:uid="{ABF8EB4E-8A3D-44A9-99B8-BC1DC21D1401}"/>
    <cellStyle name="Normal 12" xfId="18" xr:uid="{4642AD8C-AAFB-4309-A0BA-8903FD9E5968}"/>
    <cellStyle name="Normal 13" xfId="21" xr:uid="{66869BD3-0EE7-4051-B2AA-1C848B8F6A27}"/>
    <cellStyle name="Normal 14" xfId="22" xr:uid="{3381BDC6-7830-4924-A851-79A55195ABD9}"/>
    <cellStyle name="Normal 15" xfId="23" xr:uid="{A54D6B5F-7D7B-467A-83A7-9A280520C611}"/>
    <cellStyle name="Normal 16" xfId="24" xr:uid="{C50BA511-FEE0-4854-B8E4-606007F2140A}"/>
    <cellStyle name="Normal 17" xfId="25" xr:uid="{C3DC5385-293B-4B97-BBA1-D36FC35BF452}"/>
    <cellStyle name="Normal 18" xfId="5" xr:uid="{51B4C296-3C20-4F81-A1F8-1A82D99A5EEA}"/>
    <cellStyle name="Normal 2" xfId="7" xr:uid="{5414E9E0-8F17-49A4-AAD2-7C82706DD093}"/>
    <cellStyle name="Normal 22" xfId="19" xr:uid="{A16D969C-0E6F-4072-9BCD-F37DD0B1E045}"/>
    <cellStyle name="Normal 25" xfId="20" xr:uid="{58EEDA18-9890-4E61-99E5-A9D9B053E5BF}"/>
    <cellStyle name="Normal 3" xfId="8" xr:uid="{CCDE1055-242B-4FEE-A786-7521E3668545}"/>
    <cellStyle name="Normal 3 2" xfId="17" xr:uid="{09688DE5-547F-4B80-9351-9504499B91E2}"/>
    <cellStyle name="Normal 4" xfId="4" xr:uid="{83C3FACD-70ED-4E5C-9220-6B5EDB13734B}"/>
    <cellStyle name="Normal 5" xfId="10" xr:uid="{D0ECA284-D4A5-4C39-AFDF-BF31B745405D}"/>
    <cellStyle name="Normal 6" xfId="11" xr:uid="{AD20AFA4-2325-4A31-A0C0-519213DDDE57}"/>
    <cellStyle name="Normal 7" xfId="12" xr:uid="{C28F298D-E7CD-476F-9CFB-8B602A61D7DD}"/>
    <cellStyle name="Normal 8" xfId="13" xr:uid="{CDC75F75-1738-4E2E-B023-DE98223B1E4B}"/>
    <cellStyle name="Normal 9" xfId="14" xr:uid="{8D9E216E-96DD-495E-8881-6C861AD09530}"/>
    <cellStyle name="Percent" xfId="3" builtinId="5"/>
    <cellStyle name="Percent 2" xfId="9" xr:uid="{BBB86608-2CC8-4FA7-9EBC-74060F7DDD31}"/>
  </cellStyles>
  <dxfs count="0"/>
  <tableStyles count="0" defaultTableStyle="TableStyleMedium2" defaultPivotStyle="PivotStyleLight16"/>
  <colors>
    <mruColors>
      <color rgb="FFFB1C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E5E21-7B0B-42B4-97C5-A80E740F4480}">
  <dimension ref="A1:Z86"/>
  <sheetViews>
    <sheetView tabSelected="1" zoomScaleNormal="100" workbookViewId="0">
      <pane ySplit="5" topLeftCell="A6" activePane="bottomLeft" state="frozen"/>
      <selection pane="bottomLeft" activeCell="T7" sqref="T7"/>
    </sheetView>
  </sheetViews>
  <sheetFormatPr defaultRowHeight="15" x14ac:dyDescent="0.25"/>
  <cols>
    <col min="1" max="1" width="4" bestFit="1" customWidth="1"/>
    <col min="2" max="2" width="34.28515625" bestFit="1" customWidth="1"/>
    <col min="3" max="3" width="8.140625" bestFit="1" customWidth="1"/>
    <col min="4" max="4" width="6" bestFit="1" customWidth="1"/>
    <col min="5" max="6" width="8.7109375" bestFit="1" customWidth="1"/>
    <col min="7" max="7" width="9.28515625" bestFit="1" customWidth="1"/>
    <col min="8" max="8" width="12.42578125" bestFit="1" customWidth="1"/>
    <col min="9" max="9" width="10.85546875" bestFit="1" customWidth="1"/>
    <col min="10" max="10" width="11" bestFit="1" customWidth="1"/>
    <col min="11" max="11" width="9.7109375" bestFit="1" customWidth="1"/>
    <col min="12" max="12" width="12.7109375" bestFit="1" customWidth="1"/>
    <col min="13" max="13" width="9.140625" customWidth="1"/>
    <col min="14" max="14" width="11.7109375" customWidth="1"/>
    <col min="15" max="15" width="11" customWidth="1"/>
    <col min="16" max="16" width="13.7109375" customWidth="1"/>
    <col min="17" max="17" width="12.28515625" customWidth="1"/>
    <col min="18" max="18" width="11" customWidth="1"/>
    <col min="19" max="19" width="11" style="98" customWidth="1"/>
    <col min="20" max="20" width="11.28515625" customWidth="1"/>
    <col min="21" max="21" width="12.140625" customWidth="1"/>
    <col min="22" max="22" width="11" bestFit="1" customWidth="1"/>
    <col min="23" max="23" width="11.28515625" customWidth="1"/>
    <col min="24" max="24" width="11.42578125" style="37" customWidth="1"/>
    <col min="25" max="25" width="11" bestFit="1" customWidth="1"/>
    <col min="26" max="27" width="10.42578125" bestFit="1" customWidth="1"/>
    <col min="28" max="28" width="9.28515625" bestFit="1" customWidth="1"/>
    <col min="32" max="33" width="9.28515625" bestFit="1" customWidth="1"/>
    <col min="34" max="34" width="11.5703125" bestFit="1" customWidth="1"/>
  </cols>
  <sheetData>
    <row r="1" spans="1:24" ht="15.75" thickBot="1" x14ac:dyDescent="0.3">
      <c r="M1" s="28"/>
      <c r="N1" s="113" t="s">
        <v>21</v>
      </c>
      <c r="O1" s="114"/>
      <c r="P1" s="115"/>
      <c r="Q1" s="116" t="s">
        <v>22</v>
      </c>
      <c r="R1" s="117"/>
      <c r="S1" s="117"/>
      <c r="T1" s="117"/>
      <c r="U1" s="117"/>
      <c r="V1" s="117"/>
      <c r="W1" s="118"/>
    </row>
    <row r="2" spans="1:24" ht="15.75" thickBot="1" x14ac:dyDescent="0.3">
      <c r="B2" s="110" t="s">
        <v>18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2"/>
      <c r="N2" s="104" t="s">
        <v>23</v>
      </c>
      <c r="O2" s="105"/>
      <c r="P2" s="106"/>
      <c r="Q2" s="104" t="s">
        <v>13</v>
      </c>
      <c r="R2" s="105"/>
      <c r="S2" s="105"/>
      <c r="T2" s="106"/>
      <c r="U2" s="107" t="s">
        <v>14</v>
      </c>
      <c r="V2" s="108"/>
      <c r="W2" s="109"/>
    </row>
    <row r="3" spans="1:24" ht="101.25" thickBot="1" x14ac:dyDescent="0.3">
      <c r="B3" s="33" t="s">
        <v>0</v>
      </c>
      <c r="C3" s="26" t="s">
        <v>1</v>
      </c>
      <c r="D3" s="26" t="s">
        <v>2</v>
      </c>
      <c r="E3" s="27" t="s">
        <v>8</v>
      </c>
      <c r="F3" s="27" t="s">
        <v>19</v>
      </c>
      <c r="G3" s="27" t="s">
        <v>20</v>
      </c>
      <c r="H3" s="26" t="s">
        <v>3</v>
      </c>
      <c r="I3" s="26" t="s">
        <v>4</v>
      </c>
      <c r="J3" s="26" t="s">
        <v>5</v>
      </c>
      <c r="K3" s="26" t="s">
        <v>6</v>
      </c>
      <c r="L3" s="26" t="s">
        <v>7</v>
      </c>
      <c r="M3" s="34" t="s">
        <v>15</v>
      </c>
      <c r="N3" s="11" t="s">
        <v>11</v>
      </c>
      <c r="O3" s="12" t="s">
        <v>26</v>
      </c>
      <c r="P3" s="13" t="s">
        <v>16</v>
      </c>
      <c r="Q3" s="11" t="s">
        <v>11</v>
      </c>
      <c r="R3" s="12" t="s">
        <v>24</v>
      </c>
      <c r="S3" s="92" t="s">
        <v>76</v>
      </c>
      <c r="T3" s="13" t="s">
        <v>12</v>
      </c>
      <c r="U3" s="11" t="s">
        <v>11</v>
      </c>
      <c r="V3" s="12" t="s">
        <v>25</v>
      </c>
      <c r="W3" s="13" t="s">
        <v>12</v>
      </c>
      <c r="X3" s="25" t="s">
        <v>17</v>
      </c>
    </row>
    <row r="4" spans="1:24" ht="15.75" thickBot="1" x14ac:dyDescent="0.3">
      <c r="B4" s="1" t="s">
        <v>9</v>
      </c>
      <c r="C4" s="2"/>
      <c r="D4" s="2"/>
      <c r="E4" s="9">
        <f>SUM(E7:E86)</f>
        <v>63841</v>
      </c>
      <c r="F4" s="9">
        <f>SUM(F7:F86)</f>
        <v>80800</v>
      </c>
      <c r="G4" s="4"/>
      <c r="H4" s="3">
        <f>SUM(H7:H86)</f>
        <v>2586356.7399999998</v>
      </c>
      <c r="I4" s="4"/>
      <c r="J4" s="3">
        <f>SUM(J7:J86)</f>
        <v>782844.03</v>
      </c>
      <c r="K4" s="4"/>
      <c r="L4" s="3">
        <f>SUM(L7:L86)</f>
        <v>1270530.1099999996</v>
      </c>
      <c r="M4" s="35">
        <f>SUM(M7:M86)</f>
        <v>41.206774458515497</v>
      </c>
      <c r="N4" s="14">
        <f>SUM(N7:N86)</f>
        <v>568916.92000000004</v>
      </c>
      <c r="O4" s="3">
        <f>SUM(O7:O86)</f>
        <v>782844.02999999991</v>
      </c>
      <c r="P4" s="10">
        <f>SUM(P7:P86)</f>
        <v>1351760.95</v>
      </c>
      <c r="Q4" s="14">
        <f>SUM(Q7:Q86)</f>
        <v>284458.46000000002</v>
      </c>
      <c r="R4" s="3">
        <f>SUM(R7:R86)</f>
        <v>547990.821</v>
      </c>
      <c r="S4" s="93">
        <f>SUM(S7:S86)</f>
        <v>219196.32840000003</v>
      </c>
      <c r="T4" s="10">
        <f>SUM(T7:T86)</f>
        <v>613252.95259999984</v>
      </c>
      <c r="U4" s="14">
        <f>SUM(U7:U86)</f>
        <v>284458.46000000002</v>
      </c>
      <c r="V4" s="3">
        <f>SUM(V7:V86)</f>
        <v>234853.20900000003</v>
      </c>
      <c r="W4" s="10">
        <f>SUM(W7:W86)</f>
        <v>519311.66899999994</v>
      </c>
    </row>
    <row r="5" spans="1:24" ht="15.75" thickBot="1" x14ac:dyDescent="0.3">
      <c r="B5" s="1" t="s">
        <v>10</v>
      </c>
      <c r="C5" s="2"/>
      <c r="D5" s="2"/>
      <c r="E5" s="9">
        <f>E4/COUNTA(E7:E86)</f>
        <v>798.01250000000005</v>
      </c>
      <c r="F5" s="9">
        <f>F4/COUNTA(F7:F86)</f>
        <v>1010</v>
      </c>
      <c r="G5" s="8">
        <f>E4/F4</f>
        <v>0.79011138613861387</v>
      </c>
      <c r="H5" s="3">
        <f>H4/COUNTA(H7:H86)</f>
        <v>32329.459249999996</v>
      </c>
      <c r="I5" s="5">
        <f>H4/E4</f>
        <v>40.51247223571059</v>
      </c>
      <c r="J5" s="3">
        <f>J4/COUNTA(J7:J86)</f>
        <v>9785.5503750000007</v>
      </c>
      <c r="K5" s="5">
        <f>J4/E4</f>
        <v>12.26240237464952</v>
      </c>
      <c r="L5" s="3">
        <f>L4/COUNTA(L7:L86)</f>
        <v>15881.626374999996</v>
      </c>
      <c r="M5" s="36">
        <f>L4/H4</f>
        <v>0.49124318016547081</v>
      </c>
      <c r="N5" s="14">
        <f>N4/COUNTIF(N7:N86,"&lt;&gt;0")</f>
        <v>7111.4615000000003</v>
      </c>
      <c r="O5" s="3">
        <f>O4/COUNTIF(O7:O86,"&lt;&gt;0")</f>
        <v>9785.5503749999989</v>
      </c>
      <c r="P5" s="10">
        <f>P4/COUNTIF(P7:P86,"&lt;&gt;0")</f>
        <v>16897.011875</v>
      </c>
      <c r="Q5" s="14">
        <f>Q4/COUNTIF(Q7:Q86,"&lt;&gt;0")</f>
        <v>3555.7307500000002</v>
      </c>
      <c r="R5" s="3">
        <f>R4/COUNTIF(R7:R86,"&lt;&gt;0")</f>
        <v>6849.8852625</v>
      </c>
      <c r="S5" s="93">
        <f>S4/COUNTIF(S7:S86,"&lt;&gt;0")</f>
        <v>2739.9541050000003</v>
      </c>
      <c r="T5" s="10">
        <f>T4/COUNTIF(T7:T86,"&lt;&gt;0")</f>
        <v>7665.6619074999981</v>
      </c>
      <c r="U5" s="14">
        <f>U4/COUNTIF(U7:U86,"&lt;&gt;0")</f>
        <v>3555.7307500000002</v>
      </c>
      <c r="V5" s="3">
        <f>V4/COUNTIF(V7:V86,"&lt;&gt;0")</f>
        <v>2935.6651125000003</v>
      </c>
      <c r="W5" s="10">
        <f>W4/COUNTIF(W7:W86,"&lt;&gt;0")</f>
        <v>6491.3958624999996</v>
      </c>
    </row>
    <row r="6" spans="1:24" x14ac:dyDescent="0.25">
      <c r="B6" s="60"/>
      <c r="C6" s="61"/>
      <c r="D6" s="61"/>
      <c r="E6" s="62"/>
      <c r="F6" s="62"/>
      <c r="G6" s="62"/>
      <c r="H6" s="57"/>
      <c r="I6" s="63"/>
      <c r="J6" s="57"/>
      <c r="K6" s="63"/>
      <c r="L6" s="57"/>
      <c r="M6" s="58"/>
      <c r="N6" s="56"/>
      <c r="O6" s="57"/>
      <c r="P6" s="58"/>
      <c r="Q6" s="56"/>
      <c r="R6" s="57"/>
      <c r="S6" s="94"/>
      <c r="T6" s="58"/>
      <c r="U6" s="56"/>
      <c r="V6" s="57"/>
      <c r="W6" s="58"/>
    </row>
    <row r="7" spans="1:24" x14ac:dyDescent="0.25">
      <c r="A7" s="7">
        <v>1</v>
      </c>
      <c r="B7" s="38" t="s">
        <v>54</v>
      </c>
      <c r="C7" s="39">
        <v>44944</v>
      </c>
      <c r="D7" s="40">
        <f t="shared" ref="D7:D21" si="0">C7</f>
        <v>44944</v>
      </c>
      <c r="E7" s="32">
        <v>572</v>
      </c>
      <c r="F7" s="32">
        <v>1100</v>
      </c>
      <c r="G7" s="41">
        <f t="shared" ref="G7:G27" si="1">IFERROR(E7/F7,"")</f>
        <v>0.52</v>
      </c>
      <c r="H7" s="30">
        <f>22039.5-1115</f>
        <v>20924.5</v>
      </c>
      <c r="I7" s="42">
        <f t="shared" ref="I7:I21" si="2">IFERROR(H7/E7,"")</f>
        <v>36.581293706293707</v>
      </c>
      <c r="J7" s="30">
        <v>9208.34</v>
      </c>
      <c r="K7" s="42">
        <f t="shared" ref="K7:K21" si="3">IFERROR(J7/E7,"")</f>
        <v>16.098496503496502</v>
      </c>
      <c r="L7" s="30">
        <f>14900+500+2500+250+100</f>
        <v>18250</v>
      </c>
      <c r="M7" s="43">
        <f>L7/H7</f>
        <v>0.87218332576644608</v>
      </c>
      <c r="N7" s="21">
        <f>Q7+U7</f>
        <v>-4701.79</v>
      </c>
      <c r="O7" s="30">
        <f t="shared" ref="O7:O68" si="4">R7+V7</f>
        <v>9208.34</v>
      </c>
      <c r="P7" s="22">
        <f>N7+O7</f>
        <v>4506.55</v>
      </c>
      <c r="Q7" s="80">
        <f>X7*0.5</f>
        <v>-2350.895</v>
      </c>
      <c r="R7" s="81">
        <f>J7*70%</f>
        <v>6445.8379999999997</v>
      </c>
      <c r="S7" s="95">
        <f>J7*0.28</f>
        <v>2578.3352000000004</v>
      </c>
      <c r="T7" s="82">
        <f>Q7+R7-S7</f>
        <v>1516.6077999999993</v>
      </c>
      <c r="U7" s="21">
        <f>Q7</f>
        <v>-2350.895</v>
      </c>
      <c r="V7" s="30">
        <f>J7*30%</f>
        <v>2762.502</v>
      </c>
      <c r="W7" s="22">
        <f>U7+V7</f>
        <v>411.60699999999997</v>
      </c>
      <c r="X7" s="102">
        <v>-4701.79</v>
      </c>
    </row>
    <row r="8" spans="1:24" x14ac:dyDescent="0.25">
      <c r="A8" s="6">
        <v>2</v>
      </c>
      <c r="B8" s="44" t="s">
        <v>27</v>
      </c>
      <c r="C8" s="45">
        <v>44947</v>
      </c>
      <c r="D8" s="46">
        <f t="shared" si="0"/>
        <v>44947</v>
      </c>
      <c r="E8" s="103">
        <v>1100</v>
      </c>
      <c r="F8" s="31">
        <v>1100</v>
      </c>
      <c r="G8" s="47">
        <f t="shared" si="1"/>
        <v>1</v>
      </c>
      <c r="H8" s="31">
        <f>32255.81-2999.81</f>
        <v>29256</v>
      </c>
      <c r="I8" s="48">
        <f t="shared" si="2"/>
        <v>26.596363636363638</v>
      </c>
      <c r="J8" s="49">
        <v>16979.419999999998</v>
      </c>
      <c r="K8" s="50">
        <f t="shared" si="3"/>
        <v>15.435836363636362</v>
      </c>
      <c r="L8" s="31">
        <v>8968.6</v>
      </c>
      <c r="M8" s="51">
        <f>L8/H8</f>
        <v>0.30655592015313099</v>
      </c>
      <c r="N8" s="76">
        <f t="shared" ref="N8:N68" si="5">Q8+U8</f>
        <v>13676.04</v>
      </c>
      <c r="O8" s="64">
        <f t="shared" si="4"/>
        <v>16979.419999999998</v>
      </c>
      <c r="P8" s="18">
        <f t="shared" ref="P8:P18" si="6">N8+O8</f>
        <v>30655.46</v>
      </c>
      <c r="Q8" s="83">
        <f>X8*0.5</f>
        <v>6838.02</v>
      </c>
      <c r="R8" s="84">
        <f t="shared" ref="R8:R21" si="7">J8*70%</f>
        <v>11885.593999999997</v>
      </c>
      <c r="S8" s="96">
        <f t="shared" ref="S8:S71" si="8">J8*0.28</f>
        <v>4754.2376000000004</v>
      </c>
      <c r="T8" s="85">
        <f>Q8+R8-S8</f>
        <v>13969.376399999997</v>
      </c>
      <c r="U8" s="20">
        <f t="shared" ref="U8:U20" si="9">Q8</f>
        <v>6838.02</v>
      </c>
      <c r="V8" s="59">
        <f t="shared" ref="V8:V21" si="10">J8*30%</f>
        <v>5093.8259999999991</v>
      </c>
      <c r="W8" s="18">
        <f t="shared" ref="W8:W21" si="11">U8+V8</f>
        <v>11931.846</v>
      </c>
      <c r="X8" s="99">
        <v>13676.04</v>
      </c>
    </row>
    <row r="9" spans="1:24" x14ac:dyDescent="0.25">
      <c r="A9" s="7">
        <v>3</v>
      </c>
      <c r="B9" s="38" t="s">
        <v>55</v>
      </c>
      <c r="C9" s="39">
        <v>44952</v>
      </c>
      <c r="D9" s="40">
        <f t="shared" si="0"/>
        <v>44952</v>
      </c>
      <c r="E9" s="32">
        <v>496</v>
      </c>
      <c r="F9" s="32">
        <v>1100</v>
      </c>
      <c r="G9" s="41">
        <f t="shared" si="1"/>
        <v>0.45090909090909093</v>
      </c>
      <c r="H9" s="32">
        <f>14223.5-240</f>
        <v>13983.5</v>
      </c>
      <c r="I9" s="52">
        <f t="shared" si="2"/>
        <v>28.192540322580644</v>
      </c>
      <c r="J9" s="53">
        <v>12222.7</v>
      </c>
      <c r="K9" s="54">
        <f t="shared" si="3"/>
        <v>24.642540322580647</v>
      </c>
      <c r="L9" s="32">
        <v>8100</v>
      </c>
      <c r="M9" s="43">
        <f t="shared" ref="M9:M12" si="12">L9/H9</f>
        <v>0.5792541209282368</v>
      </c>
      <c r="N9" s="15">
        <f t="shared" si="5"/>
        <v>-1334.07</v>
      </c>
      <c r="O9" s="32">
        <f t="shared" si="4"/>
        <v>12222.699999999999</v>
      </c>
      <c r="P9" s="29">
        <f t="shared" si="6"/>
        <v>10888.63</v>
      </c>
      <c r="Q9" s="86">
        <f>X9*0.5</f>
        <v>-667.03499999999997</v>
      </c>
      <c r="R9" s="87">
        <f t="shared" si="7"/>
        <v>8555.89</v>
      </c>
      <c r="S9" s="95">
        <f t="shared" si="8"/>
        <v>3422.3560000000007</v>
      </c>
      <c r="T9" s="82">
        <f>Q9+R9-S9</f>
        <v>4466.4989999999989</v>
      </c>
      <c r="U9" s="19">
        <f t="shared" si="9"/>
        <v>-667.03499999999997</v>
      </c>
      <c r="V9" s="55">
        <f t="shared" si="10"/>
        <v>3666.81</v>
      </c>
      <c r="W9" s="16">
        <f t="shared" si="11"/>
        <v>2999.7750000000001</v>
      </c>
      <c r="X9" s="102">
        <v>-1334.07</v>
      </c>
    </row>
    <row r="10" spans="1:24" x14ac:dyDescent="0.25">
      <c r="A10" s="6">
        <v>4</v>
      </c>
      <c r="B10" s="44" t="s">
        <v>28</v>
      </c>
      <c r="C10" s="45">
        <v>44954</v>
      </c>
      <c r="D10" s="46">
        <f t="shared" si="0"/>
        <v>44954</v>
      </c>
      <c r="E10" s="103">
        <v>1100</v>
      </c>
      <c r="F10" s="31">
        <v>1100</v>
      </c>
      <c r="G10" s="47">
        <f t="shared" si="1"/>
        <v>1</v>
      </c>
      <c r="H10" s="31">
        <v>31193</v>
      </c>
      <c r="I10" s="48">
        <f t="shared" si="2"/>
        <v>28.357272727272726</v>
      </c>
      <c r="J10" s="49">
        <v>17342.490000000002</v>
      </c>
      <c r="K10" s="50">
        <f t="shared" si="3"/>
        <v>15.765900000000002</v>
      </c>
      <c r="L10" s="31">
        <v>10189.82</v>
      </c>
      <c r="M10" s="51">
        <f t="shared" si="12"/>
        <v>0.32667008623729682</v>
      </c>
      <c r="N10" s="76">
        <f t="shared" si="5"/>
        <v>10098.11</v>
      </c>
      <c r="O10" s="64">
        <f t="shared" si="4"/>
        <v>17342.490000000002</v>
      </c>
      <c r="P10" s="18">
        <f t="shared" si="6"/>
        <v>27440.600000000002</v>
      </c>
      <c r="Q10" s="83">
        <f t="shared" ref="Q10:Q73" si="13">X10*0.5</f>
        <v>5049.0550000000003</v>
      </c>
      <c r="R10" s="84">
        <f t="shared" si="7"/>
        <v>12139.743</v>
      </c>
      <c r="S10" s="96">
        <f t="shared" si="8"/>
        <v>4855.8972000000012</v>
      </c>
      <c r="T10" s="85">
        <f>Q10+R10-S10</f>
        <v>12332.900800000001</v>
      </c>
      <c r="U10" s="20">
        <f t="shared" si="9"/>
        <v>5049.0550000000003</v>
      </c>
      <c r="V10" s="59">
        <f t="shared" si="10"/>
        <v>5202.7470000000003</v>
      </c>
      <c r="W10" s="18">
        <f t="shared" si="11"/>
        <v>10251.802</v>
      </c>
      <c r="X10" s="99">
        <v>10098.11</v>
      </c>
    </row>
    <row r="11" spans="1:24" x14ac:dyDescent="0.25">
      <c r="A11" s="7">
        <v>5</v>
      </c>
      <c r="B11" s="38" t="s">
        <v>29</v>
      </c>
      <c r="C11" s="39">
        <v>44958</v>
      </c>
      <c r="D11" s="40">
        <f t="shared" si="0"/>
        <v>44958</v>
      </c>
      <c r="E11" s="32">
        <v>839</v>
      </c>
      <c r="F11" s="32">
        <v>1100</v>
      </c>
      <c r="G11" s="41">
        <f t="shared" si="1"/>
        <v>0.7627272727272727</v>
      </c>
      <c r="H11" s="32">
        <f>32176-1101</f>
        <v>31075</v>
      </c>
      <c r="I11" s="52">
        <f t="shared" si="2"/>
        <v>37.038140643623365</v>
      </c>
      <c r="J11" s="53">
        <v>8040.27</v>
      </c>
      <c r="K11" s="54">
        <f t="shared" si="3"/>
        <v>9.5831585220500592</v>
      </c>
      <c r="L11" s="32">
        <v>21000</v>
      </c>
      <c r="M11" s="43">
        <f t="shared" si="12"/>
        <v>0.67578439259855194</v>
      </c>
      <c r="N11" s="15">
        <f t="shared" si="5"/>
        <v>2863.81</v>
      </c>
      <c r="O11" s="32">
        <f t="shared" si="4"/>
        <v>8040.27</v>
      </c>
      <c r="P11" s="29">
        <f t="shared" si="6"/>
        <v>10904.08</v>
      </c>
      <c r="Q11" s="86">
        <f t="shared" si="13"/>
        <v>1431.905</v>
      </c>
      <c r="R11" s="87">
        <f t="shared" si="7"/>
        <v>5628.1890000000003</v>
      </c>
      <c r="S11" s="95">
        <f t="shared" si="8"/>
        <v>2251.2756000000004</v>
      </c>
      <c r="T11" s="82">
        <f t="shared" ref="T11:T74" si="14">Q11+R11-S11</f>
        <v>4808.8184000000001</v>
      </c>
      <c r="U11" s="19">
        <f t="shared" si="9"/>
        <v>1431.905</v>
      </c>
      <c r="V11" s="55">
        <f t="shared" si="10"/>
        <v>2412.0810000000001</v>
      </c>
      <c r="W11" s="16">
        <f t="shared" si="11"/>
        <v>3843.9859999999999</v>
      </c>
      <c r="X11" s="99">
        <v>2863.81</v>
      </c>
    </row>
    <row r="12" spans="1:24" x14ac:dyDescent="0.25">
      <c r="A12" s="6">
        <v>6</v>
      </c>
      <c r="B12" s="44" t="s">
        <v>30</v>
      </c>
      <c r="C12" s="45">
        <v>44959</v>
      </c>
      <c r="D12" s="46">
        <f t="shared" si="0"/>
        <v>44959</v>
      </c>
      <c r="E12" s="31">
        <v>443</v>
      </c>
      <c r="F12" s="31">
        <v>1100</v>
      </c>
      <c r="G12" s="47">
        <f t="shared" si="1"/>
        <v>0.40272727272727271</v>
      </c>
      <c r="H12" s="31">
        <f>14310-460</f>
        <v>13850</v>
      </c>
      <c r="I12" s="48">
        <f t="shared" si="2"/>
        <v>31.264108352144468</v>
      </c>
      <c r="J12" s="49">
        <v>11219.6</v>
      </c>
      <c r="K12" s="50">
        <f t="shared" si="3"/>
        <v>25.326410835214446</v>
      </c>
      <c r="L12" s="31">
        <v>10000</v>
      </c>
      <c r="M12" s="70">
        <f t="shared" si="12"/>
        <v>0.72202166064981954</v>
      </c>
      <c r="N12" s="76">
        <f t="shared" si="5"/>
        <v>-3012.57</v>
      </c>
      <c r="O12" s="64">
        <f t="shared" si="4"/>
        <v>11219.599999999999</v>
      </c>
      <c r="P12" s="18">
        <f t="shared" si="6"/>
        <v>8207.0299999999988</v>
      </c>
      <c r="Q12" s="83">
        <f t="shared" si="13"/>
        <v>-1506.2850000000001</v>
      </c>
      <c r="R12" s="84">
        <f t="shared" si="7"/>
        <v>7853.7199999999993</v>
      </c>
      <c r="S12" s="96">
        <f t="shared" si="8"/>
        <v>3141.4880000000003</v>
      </c>
      <c r="T12" s="85">
        <f t="shared" si="14"/>
        <v>3205.9469999999992</v>
      </c>
      <c r="U12" s="20">
        <f t="shared" si="9"/>
        <v>-1506.2850000000001</v>
      </c>
      <c r="V12" s="59">
        <f t="shared" si="10"/>
        <v>3365.88</v>
      </c>
      <c r="W12" s="18">
        <f t="shared" si="11"/>
        <v>1859.595</v>
      </c>
      <c r="X12" s="102">
        <v>-3012.57</v>
      </c>
    </row>
    <row r="13" spans="1:24" x14ac:dyDescent="0.25">
      <c r="A13" s="7">
        <v>7</v>
      </c>
      <c r="B13" s="38" t="s">
        <v>31</v>
      </c>
      <c r="C13" s="39">
        <v>44962</v>
      </c>
      <c r="D13" s="40">
        <f t="shared" si="0"/>
        <v>44962</v>
      </c>
      <c r="E13" s="103">
        <v>1100</v>
      </c>
      <c r="F13" s="32">
        <v>1100</v>
      </c>
      <c r="G13" s="41">
        <f t="shared" si="1"/>
        <v>1</v>
      </c>
      <c r="H13" s="32">
        <f>57364-1954</f>
        <v>55410</v>
      </c>
      <c r="I13" s="52">
        <f t="shared" si="2"/>
        <v>50.372727272727275</v>
      </c>
      <c r="J13" s="53">
        <v>18493.47</v>
      </c>
      <c r="K13" s="54">
        <f t="shared" si="3"/>
        <v>16.812245454545454</v>
      </c>
      <c r="L13" s="32">
        <v>25938.92</v>
      </c>
      <c r="M13" s="43">
        <f t="shared" ref="M13:M21" si="15">IFERROR(L13/H13,"")</f>
        <v>0.46812705287854173</v>
      </c>
      <c r="N13" s="15">
        <f t="shared" si="5"/>
        <v>17404.46</v>
      </c>
      <c r="O13" s="32">
        <f t="shared" si="4"/>
        <v>18493.47</v>
      </c>
      <c r="P13" s="29">
        <f t="shared" si="6"/>
        <v>35897.93</v>
      </c>
      <c r="Q13" s="86">
        <f t="shared" si="13"/>
        <v>8702.23</v>
      </c>
      <c r="R13" s="87">
        <f t="shared" si="7"/>
        <v>12945.429</v>
      </c>
      <c r="S13" s="95">
        <f t="shared" si="8"/>
        <v>5178.1716000000006</v>
      </c>
      <c r="T13" s="82">
        <f t="shared" si="14"/>
        <v>16469.487399999998</v>
      </c>
      <c r="U13" s="19">
        <f t="shared" si="9"/>
        <v>8702.23</v>
      </c>
      <c r="V13" s="55">
        <f t="shared" si="10"/>
        <v>5548.0410000000002</v>
      </c>
      <c r="W13" s="16">
        <f t="shared" si="11"/>
        <v>14250.271000000001</v>
      </c>
      <c r="X13" s="99">
        <v>17404.46</v>
      </c>
    </row>
    <row r="14" spans="1:24" x14ac:dyDescent="0.25">
      <c r="A14" s="6">
        <v>8</v>
      </c>
      <c r="B14" s="44" t="s">
        <v>32</v>
      </c>
      <c r="C14" s="45">
        <v>44974</v>
      </c>
      <c r="D14" s="46">
        <f t="shared" si="0"/>
        <v>44974</v>
      </c>
      <c r="E14" s="103">
        <v>1100</v>
      </c>
      <c r="F14" s="31">
        <v>1100</v>
      </c>
      <c r="G14" s="47">
        <f t="shared" si="1"/>
        <v>1</v>
      </c>
      <c r="H14" s="31">
        <f>40840-2495</f>
        <v>38345</v>
      </c>
      <c r="I14" s="48">
        <f t="shared" si="2"/>
        <v>34.859090909090909</v>
      </c>
      <c r="J14" s="49">
        <v>6106.46</v>
      </c>
      <c r="K14" s="50">
        <f t="shared" si="3"/>
        <v>5.5513272727272724</v>
      </c>
      <c r="L14" s="31">
        <v>16074.32</v>
      </c>
      <c r="M14" s="51">
        <f t="shared" si="15"/>
        <v>0.41920250358586514</v>
      </c>
      <c r="N14" s="76">
        <f t="shared" si="5"/>
        <v>17105.919999999998</v>
      </c>
      <c r="O14" s="64">
        <f t="shared" si="4"/>
        <v>6106.46</v>
      </c>
      <c r="P14" s="18">
        <f t="shared" si="6"/>
        <v>23212.379999999997</v>
      </c>
      <c r="Q14" s="83">
        <f t="shared" si="13"/>
        <v>8552.9599999999991</v>
      </c>
      <c r="R14" s="84">
        <f t="shared" si="7"/>
        <v>4274.5219999999999</v>
      </c>
      <c r="S14" s="96">
        <f t="shared" si="8"/>
        <v>1709.8088000000002</v>
      </c>
      <c r="T14" s="85">
        <f t="shared" si="14"/>
        <v>11117.673199999999</v>
      </c>
      <c r="U14" s="20">
        <f t="shared" si="9"/>
        <v>8552.9599999999991</v>
      </c>
      <c r="V14" s="59">
        <f t="shared" si="10"/>
        <v>1831.9379999999999</v>
      </c>
      <c r="W14" s="18">
        <f t="shared" si="11"/>
        <v>10384.897999999999</v>
      </c>
      <c r="X14" s="99">
        <v>17105.919999999998</v>
      </c>
    </row>
    <row r="15" spans="1:24" x14ac:dyDescent="0.25">
      <c r="A15" s="7">
        <v>9</v>
      </c>
      <c r="B15" s="38" t="s">
        <v>33</v>
      </c>
      <c r="C15" s="39">
        <v>44980</v>
      </c>
      <c r="D15" s="40">
        <f t="shared" si="0"/>
        <v>44980</v>
      </c>
      <c r="E15" s="103">
        <v>1100</v>
      </c>
      <c r="F15" s="32">
        <v>1100</v>
      </c>
      <c r="G15" s="41">
        <f t="shared" si="1"/>
        <v>1</v>
      </c>
      <c r="H15" s="32">
        <f>36888.5-2687</f>
        <v>34201.5</v>
      </c>
      <c r="I15" s="52">
        <f t="shared" si="2"/>
        <v>31.092272727272729</v>
      </c>
      <c r="J15" s="53">
        <v>16670.490000000002</v>
      </c>
      <c r="K15" s="54">
        <f t="shared" si="3"/>
        <v>15.154990909090911</v>
      </c>
      <c r="L15" s="32">
        <v>16000</v>
      </c>
      <c r="M15" s="43">
        <f t="shared" si="15"/>
        <v>0.46781573907577151</v>
      </c>
      <c r="N15" s="15">
        <f t="shared" si="5"/>
        <v>13647.13</v>
      </c>
      <c r="O15" s="32">
        <f t="shared" si="4"/>
        <v>16670.490000000002</v>
      </c>
      <c r="P15" s="29">
        <f t="shared" si="6"/>
        <v>30317.620000000003</v>
      </c>
      <c r="Q15" s="86">
        <f t="shared" si="13"/>
        <v>6823.5649999999996</v>
      </c>
      <c r="R15" s="87">
        <f t="shared" si="7"/>
        <v>11669.343000000001</v>
      </c>
      <c r="S15" s="95">
        <f t="shared" si="8"/>
        <v>4667.7372000000005</v>
      </c>
      <c r="T15" s="82">
        <f t="shared" si="14"/>
        <v>13825.1708</v>
      </c>
      <c r="U15" s="19">
        <f t="shared" si="9"/>
        <v>6823.5649999999996</v>
      </c>
      <c r="V15" s="55">
        <f t="shared" si="10"/>
        <v>5001.1469999999999</v>
      </c>
      <c r="W15" s="16">
        <f t="shared" si="11"/>
        <v>11824.712</v>
      </c>
      <c r="X15" s="99">
        <v>13647.13</v>
      </c>
    </row>
    <row r="16" spans="1:24" x14ac:dyDescent="0.25">
      <c r="A16" s="6">
        <v>10</v>
      </c>
      <c r="B16" s="44" t="s">
        <v>34</v>
      </c>
      <c r="C16" s="45">
        <v>44982</v>
      </c>
      <c r="D16" s="46">
        <f t="shared" si="0"/>
        <v>44982</v>
      </c>
      <c r="E16" s="31">
        <v>639</v>
      </c>
      <c r="F16" s="31">
        <v>1100</v>
      </c>
      <c r="G16" s="47">
        <f t="shared" si="1"/>
        <v>0.58090909090909093</v>
      </c>
      <c r="H16" s="31">
        <f>27513.07-1141.07</f>
        <v>26372</v>
      </c>
      <c r="I16" s="48">
        <f t="shared" si="2"/>
        <v>41.270735524256651</v>
      </c>
      <c r="J16" s="49">
        <v>10749.76</v>
      </c>
      <c r="K16" s="50">
        <f t="shared" si="3"/>
        <v>16.822785602503913</v>
      </c>
      <c r="L16" s="31">
        <v>15000</v>
      </c>
      <c r="M16" s="51">
        <f t="shared" si="15"/>
        <v>0.56878507507962994</v>
      </c>
      <c r="N16" s="76">
        <f t="shared" si="5"/>
        <v>-1027.27</v>
      </c>
      <c r="O16" s="64">
        <f t="shared" si="4"/>
        <v>10749.759999999998</v>
      </c>
      <c r="P16" s="18">
        <f t="shared" si="6"/>
        <v>9722.489999999998</v>
      </c>
      <c r="Q16" s="83">
        <f t="shared" si="13"/>
        <v>-513.63499999999999</v>
      </c>
      <c r="R16" s="84">
        <f t="shared" si="7"/>
        <v>7524.8319999999994</v>
      </c>
      <c r="S16" s="96">
        <f t="shared" si="8"/>
        <v>3009.9328000000005</v>
      </c>
      <c r="T16" s="85">
        <f t="shared" si="14"/>
        <v>4001.2641999999987</v>
      </c>
      <c r="U16" s="20">
        <f t="shared" si="9"/>
        <v>-513.63499999999999</v>
      </c>
      <c r="V16" s="59">
        <f t="shared" si="10"/>
        <v>3224.9279999999999</v>
      </c>
      <c r="W16" s="18">
        <f t="shared" si="11"/>
        <v>2711.2929999999997</v>
      </c>
      <c r="X16" s="101">
        <v>-1027.27</v>
      </c>
    </row>
    <row r="17" spans="1:24" x14ac:dyDescent="0.25">
      <c r="A17" s="7">
        <v>11</v>
      </c>
      <c r="B17" s="38" t="s">
        <v>35</v>
      </c>
      <c r="C17" s="39">
        <v>44986</v>
      </c>
      <c r="D17" s="40">
        <f t="shared" si="0"/>
        <v>44986</v>
      </c>
      <c r="E17" s="103">
        <v>1100</v>
      </c>
      <c r="F17" s="32">
        <v>1100</v>
      </c>
      <c r="G17" s="41">
        <f t="shared" si="1"/>
        <v>1</v>
      </c>
      <c r="H17" s="32">
        <f>44408.5-1365</f>
        <v>43043.5</v>
      </c>
      <c r="I17" s="52">
        <f t="shared" si="2"/>
        <v>39.130454545454548</v>
      </c>
      <c r="J17" s="53">
        <v>12525.32</v>
      </c>
      <c r="K17" s="54">
        <f t="shared" si="3"/>
        <v>11.386654545454546</v>
      </c>
      <c r="L17" s="32">
        <v>19923.13</v>
      </c>
      <c r="M17" s="43">
        <f t="shared" si="15"/>
        <v>0.46286036219173626</v>
      </c>
      <c r="N17" s="15">
        <f t="shared" si="5"/>
        <v>11200.76</v>
      </c>
      <c r="O17" s="32">
        <f t="shared" si="4"/>
        <v>12525.319999999998</v>
      </c>
      <c r="P17" s="29">
        <f t="shared" si="6"/>
        <v>23726.079999999998</v>
      </c>
      <c r="Q17" s="86">
        <f t="shared" si="13"/>
        <v>5600.38</v>
      </c>
      <c r="R17" s="87">
        <f t="shared" si="7"/>
        <v>8767.7239999999983</v>
      </c>
      <c r="S17" s="95">
        <f t="shared" si="8"/>
        <v>3507.0896000000002</v>
      </c>
      <c r="T17" s="82">
        <f t="shared" si="14"/>
        <v>10861.0144</v>
      </c>
      <c r="U17" s="19">
        <f t="shared" si="9"/>
        <v>5600.38</v>
      </c>
      <c r="V17" s="55">
        <f t="shared" si="10"/>
        <v>3757.5959999999995</v>
      </c>
      <c r="W17" s="16">
        <f t="shared" si="11"/>
        <v>9357.9759999999987</v>
      </c>
      <c r="X17" s="99">
        <v>11200.76</v>
      </c>
    </row>
    <row r="18" spans="1:24" x14ac:dyDescent="0.25">
      <c r="A18" s="6">
        <v>12</v>
      </c>
      <c r="B18" s="44" t="s">
        <v>36</v>
      </c>
      <c r="C18" s="45">
        <v>44987</v>
      </c>
      <c r="D18" s="46">
        <f t="shared" si="0"/>
        <v>44987</v>
      </c>
      <c r="E18" s="31">
        <v>618</v>
      </c>
      <c r="F18" s="31">
        <v>1100</v>
      </c>
      <c r="G18" s="47">
        <f t="shared" si="1"/>
        <v>0.56181818181818177</v>
      </c>
      <c r="H18" s="31">
        <f>23955-1233</f>
        <v>22722</v>
      </c>
      <c r="I18" s="48">
        <f t="shared" si="2"/>
        <v>36.766990291262132</v>
      </c>
      <c r="J18" s="31">
        <v>12593.56</v>
      </c>
      <c r="K18" s="48">
        <f t="shared" si="3"/>
        <v>20.377928802588997</v>
      </c>
      <c r="L18" s="31">
        <f>10000+850+550</f>
        <v>11400</v>
      </c>
      <c r="M18" s="51">
        <f t="shared" si="15"/>
        <v>0.50171639820438341</v>
      </c>
      <c r="N18" s="76">
        <f t="shared" si="5"/>
        <v>3721.03</v>
      </c>
      <c r="O18" s="64">
        <f t="shared" si="4"/>
        <v>12593.559999999998</v>
      </c>
      <c r="P18" s="18">
        <f t="shared" si="6"/>
        <v>16314.589999999998</v>
      </c>
      <c r="Q18" s="83">
        <f t="shared" si="13"/>
        <v>1860.5150000000001</v>
      </c>
      <c r="R18" s="84">
        <f t="shared" si="7"/>
        <v>8815.4919999999984</v>
      </c>
      <c r="S18" s="96">
        <f t="shared" si="8"/>
        <v>3526.1968000000002</v>
      </c>
      <c r="T18" s="85">
        <f t="shared" si="14"/>
        <v>7149.8101999999981</v>
      </c>
      <c r="U18" s="17">
        <f t="shared" si="9"/>
        <v>1860.5150000000001</v>
      </c>
      <c r="V18" s="31">
        <f t="shared" si="10"/>
        <v>3778.0679999999998</v>
      </c>
      <c r="W18" s="23">
        <f t="shared" si="11"/>
        <v>5638.5829999999996</v>
      </c>
      <c r="X18" s="99">
        <v>3721.03</v>
      </c>
    </row>
    <row r="19" spans="1:24" x14ac:dyDescent="0.25">
      <c r="A19" s="7">
        <v>13</v>
      </c>
      <c r="B19" s="38" t="s">
        <v>37</v>
      </c>
      <c r="C19" s="39">
        <v>44989</v>
      </c>
      <c r="D19" s="40">
        <f t="shared" si="0"/>
        <v>44989</v>
      </c>
      <c r="E19" s="32">
        <v>628</v>
      </c>
      <c r="F19" s="32">
        <v>1100</v>
      </c>
      <c r="G19" s="41">
        <f t="shared" si="1"/>
        <v>0.57090909090909092</v>
      </c>
      <c r="H19" s="32">
        <v>22501.5</v>
      </c>
      <c r="I19" s="52">
        <f t="shared" si="2"/>
        <v>35.830414012738856</v>
      </c>
      <c r="J19" s="53">
        <v>11681.66</v>
      </c>
      <c r="K19" s="54">
        <f t="shared" si="3"/>
        <v>18.601369426751592</v>
      </c>
      <c r="L19" s="32">
        <v>13261.2</v>
      </c>
      <c r="M19" s="43">
        <f t="shared" si="15"/>
        <v>0.58934737684154392</v>
      </c>
      <c r="N19" s="15">
        <f t="shared" si="5"/>
        <v>305.67</v>
      </c>
      <c r="O19" s="32">
        <f t="shared" si="4"/>
        <v>11681.66</v>
      </c>
      <c r="P19" s="29">
        <f>N19+O19</f>
        <v>11987.33</v>
      </c>
      <c r="Q19" s="86">
        <f t="shared" si="13"/>
        <v>152.83500000000001</v>
      </c>
      <c r="R19" s="87">
        <f t="shared" si="7"/>
        <v>8177.1619999999994</v>
      </c>
      <c r="S19" s="95">
        <f t="shared" si="8"/>
        <v>3270.8648000000003</v>
      </c>
      <c r="T19" s="82">
        <f t="shared" si="14"/>
        <v>5059.1321999999991</v>
      </c>
      <c r="U19" s="19">
        <f t="shared" si="9"/>
        <v>152.83500000000001</v>
      </c>
      <c r="V19" s="55">
        <f t="shared" si="10"/>
        <v>3504.498</v>
      </c>
      <c r="W19" s="16">
        <f t="shared" si="11"/>
        <v>3657.3330000000001</v>
      </c>
      <c r="X19" s="99">
        <v>305.67</v>
      </c>
    </row>
    <row r="20" spans="1:24" x14ac:dyDescent="0.25">
      <c r="A20" s="6">
        <v>14</v>
      </c>
      <c r="B20" s="44" t="s">
        <v>38</v>
      </c>
      <c r="C20" s="45">
        <v>44990</v>
      </c>
      <c r="D20" s="46">
        <f t="shared" si="0"/>
        <v>44990</v>
      </c>
      <c r="E20" s="103">
        <v>1100</v>
      </c>
      <c r="F20" s="31">
        <v>1100</v>
      </c>
      <c r="G20" s="47">
        <f t="shared" si="1"/>
        <v>1</v>
      </c>
      <c r="H20" s="31">
        <f>36907-1986</f>
        <v>34921</v>
      </c>
      <c r="I20" s="48">
        <f t="shared" si="2"/>
        <v>31.746363636363636</v>
      </c>
      <c r="J20" s="31">
        <v>9367.83</v>
      </c>
      <c r="K20" s="48">
        <f t="shared" si="3"/>
        <v>8.5162090909090917</v>
      </c>
      <c r="L20" s="31">
        <f>13784.71-500</f>
        <v>13284.71</v>
      </c>
      <c r="M20" s="51">
        <f t="shared" si="15"/>
        <v>0.3804218092265399</v>
      </c>
      <c r="N20" s="76">
        <f t="shared" si="5"/>
        <v>15362.89</v>
      </c>
      <c r="O20" s="64">
        <f t="shared" si="4"/>
        <v>9367.83</v>
      </c>
      <c r="P20" s="18">
        <f t="shared" ref="P20:P22" si="16">N20+O20</f>
        <v>24730.720000000001</v>
      </c>
      <c r="Q20" s="83">
        <f t="shared" si="13"/>
        <v>7681.4449999999997</v>
      </c>
      <c r="R20" s="84">
        <f t="shared" si="7"/>
        <v>6557.4809999999998</v>
      </c>
      <c r="S20" s="96">
        <f t="shared" si="8"/>
        <v>2622.9924000000001</v>
      </c>
      <c r="T20" s="85">
        <f t="shared" si="14"/>
        <v>11615.9336</v>
      </c>
      <c r="U20" s="17">
        <f t="shared" si="9"/>
        <v>7681.4449999999997</v>
      </c>
      <c r="V20" s="31">
        <f t="shared" si="10"/>
        <v>2810.3489999999997</v>
      </c>
      <c r="W20" s="23">
        <f t="shared" si="11"/>
        <v>10491.794</v>
      </c>
      <c r="X20" s="99">
        <v>15362.89</v>
      </c>
    </row>
    <row r="21" spans="1:24" x14ac:dyDescent="0.25">
      <c r="A21" s="7">
        <v>15</v>
      </c>
      <c r="B21" s="38" t="s">
        <v>39</v>
      </c>
      <c r="C21" s="39">
        <v>44995</v>
      </c>
      <c r="D21" s="40">
        <f t="shared" si="0"/>
        <v>44995</v>
      </c>
      <c r="E21" s="32">
        <v>593</v>
      </c>
      <c r="F21" s="32">
        <v>1100</v>
      </c>
      <c r="G21" s="41">
        <f t="shared" si="1"/>
        <v>0.53909090909090907</v>
      </c>
      <c r="H21" s="32">
        <f>25260-2708</f>
        <v>22552</v>
      </c>
      <c r="I21" s="52">
        <f t="shared" si="2"/>
        <v>38.030354131534573</v>
      </c>
      <c r="J21" s="53">
        <v>8577.27</v>
      </c>
      <c r="K21" s="54">
        <f t="shared" si="3"/>
        <v>14.464198988195616</v>
      </c>
      <c r="L21" s="32">
        <f>5000+1500+500</f>
        <v>7000</v>
      </c>
      <c r="M21" s="43">
        <f t="shared" si="15"/>
        <v>0.31039375665129476</v>
      </c>
      <c r="N21" s="15">
        <f t="shared" si="5"/>
        <v>9320.69</v>
      </c>
      <c r="O21" s="32">
        <f t="shared" si="4"/>
        <v>8577.27</v>
      </c>
      <c r="P21" s="29">
        <f t="shared" si="16"/>
        <v>17897.96</v>
      </c>
      <c r="Q21" s="86">
        <f t="shared" si="13"/>
        <v>4660.3450000000003</v>
      </c>
      <c r="R21" s="87">
        <f t="shared" si="7"/>
        <v>6004.0889999999999</v>
      </c>
      <c r="S21" s="95">
        <f t="shared" si="8"/>
        <v>2401.6356000000005</v>
      </c>
      <c r="T21" s="82">
        <f t="shared" si="14"/>
        <v>8262.7983999999997</v>
      </c>
      <c r="U21" s="19">
        <f t="shared" ref="U21:U31" si="17">Q21</f>
        <v>4660.3450000000003</v>
      </c>
      <c r="V21" s="55">
        <f t="shared" si="10"/>
        <v>2573.181</v>
      </c>
      <c r="W21" s="16">
        <f t="shared" si="11"/>
        <v>7233.5259999999998</v>
      </c>
      <c r="X21" s="99">
        <v>9320.69</v>
      </c>
    </row>
    <row r="22" spans="1:24" x14ac:dyDescent="0.25">
      <c r="A22" s="6">
        <v>16</v>
      </c>
      <c r="B22" s="44" t="s">
        <v>40</v>
      </c>
      <c r="C22" s="45">
        <v>44996</v>
      </c>
      <c r="D22" s="46">
        <f t="shared" ref="D22:D85" si="18">C22</f>
        <v>44996</v>
      </c>
      <c r="E22" s="103">
        <v>1100</v>
      </c>
      <c r="F22" s="31">
        <v>1100</v>
      </c>
      <c r="G22" s="47">
        <f t="shared" si="1"/>
        <v>1</v>
      </c>
      <c r="H22" s="31">
        <f>31406-351</f>
        <v>31055</v>
      </c>
      <c r="I22" s="48">
        <f t="shared" ref="I22:I85" si="19">IFERROR(H22/E22,"")</f>
        <v>28.231818181818181</v>
      </c>
      <c r="J22" s="31">
        <v>21119.64</v>
      </c>
      <c r="K22" s="48">
        <f t="shared" ref="K22:K85" si="20">IFERROR(J22/E22,"")</f>
        <v>19.199672727272727</v>
      </c>
      <c r="L22" s="31">
        <f>3000+750+250+8110.05</f>
        <v>12110.05</v>
      </c>
      <c r="M22" s="51">
        <f t="shared" ref="M22:M34" si="21">IFERROR(L22/H22,"")</f>
        <v>0.38995491869264204</v>
      </c>
      <c r="N22" s="76">
        <f t="shared" si="5"/>
        <v>9969.0300000000007</v>
      </c>
      <c r="O22" s="64">
        <f t="shared" si="4"/>
        <v>21119.64</v>
      </c>
      <c r="P22" s="18">
        <f t="shared" si="16"/>
        <v>31088.67</v>
      </c>
      <c r="Q22" s="83">
        <f t="shared" si="13"/>
        <v>4984.5150000000003</v>
      </c>
      <c r="R22" s="84">
        <f t="shared" ref="R22:R41" si="22">J22*70%</f>
        <v>14783.747999999998</v>
      </c>
      <c r="S22" s="96">
        <f t="shared" si="8"/>
        <v>5913.4992000000002</v>
      </c>
      <c r="T22" s="85">
        <f t="shared" si="14"/>
        <v>13854.763799999999</v>
      </c>
      <c r="U22" s="17">
        <f t="shared" si="17"/>
        <v>4984.5150000000003</v>
      </c>
      <c r="V22" s="31">
        <f t="shared" ref="V22:V31" si="23">J22*30%</f>
        <v>6335.8919999999998</v>
      </c>
      <c r="W22" s="23">
        <f t="shared" ref="W22:W31" si="24">U22+V22</f>
        <v>11320.406999999999</v>
      </c>
      <c r="X22" s="99">
        <v>9969.0300000000007</v>
      </c>
    </row>
    <row r="23" spans="1:24" x14ac:dyDescent="0.25">
      <c r="A23" s="7">
        <v>17</v>
      </c>
      <c r="B23" s="38" t="s">
        <v>41</v>
      </c>
      <c r="C23" s="39">
        <v>45004</v>
      </c>
      <c r="D23" s="40">
        <f t="shared" si="18"/>
        <v>45004</v>
      </c>
      <c r="E23" s="32">
        <v>982</v>
      </c>
      <c r="F23" s="32">
        <v>1100</v>
      </c>
      <c r="G23" s="41">
        <f t="shared" si="1"/>
        <v>0.8927272727272727</v>
      </c>
      <c r="H23" s="32">
        <f>33221-1112</f>
        <v>32109</v>
      </c>
      <c r="I23" s="52">
        <f t="shared" si="19"/>
        <v>32.697556008146641</v>
      </c>
      <c r="J23" s="53">
        <v>6047.53</v>
      </c>
      <c r="K23" s="54">
        <f t="shared" si="20"/>
        <v>6.1583808553971489</v>
      </c>
      <c r="L23" s="32">
        <v>15000</v>
      </c>
      <c r="M23" s="43">
        <f t="shared" si="21"/>
        <v>0.46715874054003548</v>
      </c>
      <c r="N23" s="15">
        <f t="shared" si="5"/>
        <v>9505.5400000000009</v>
      </c>
      <c r="O23" s="32">
        <f t="shared" si="4"/>
        <v>6047.53</v>
      </c>
      <c r="P23" s="29">
        <f>N23+O23</f>
        <v>15553.07</v>
      </c>
      <c r="Q23" s="86">
        <f t="shared" si="13"/>
        <v>4752.7700000000004</v>
      </c>
      <c r="R23" s="87">
        <f t="shared" si="22"/>
        <v>4233.2709999999997</v>
      </c>
      <c r="S23" s="95">
        <f t="shared" si="8"/>
        <v>1693.3084000000001</v>
      </c>
      <c r="T23" s="82">
        <f t="shared" si="14"/>
        <v>7292.7326000000012</v>
      </c>
      <c r="U23" s="19">
        <f t="shared" si="17"/>
        <v>4752.7700000000004</v>
      </c>
      <c r="V23" s="55">
        <f t="shared" si="23"/>
        <v>1814.2589999999998</v>
      </c>
      <c r="W23" s="16">
        <f t="shared" si="24"/>
        <v>6567.0290000000005</v>
      </c>
      <c r="X23" s="99">
        <v>9505.5400000000009</v>
      </c>
    </row>
    <row r="24" spans="1:24" x14ac:dyDescent="0.25">
      <c r="A24" s="6">
        <v>18</v>
      </c>
      <c r="B24" s="44" t="s">
        <v>42</v>
      </c>
      <c r="C24" s="45">
        <v>45006</v>
      </c>
      <c r="D24" s="46">
        <f t="shared" si="18"/>
        <v>45006</v>
      </c>
      <c r="E24" s="31">
        <v>321</v>
      </c>
      <c r="F24" s="31">
        <v>400</v>
      </c>
      <c r="G24" s="47">
        <f t="shared" si="1"/>
        <v>0.80249999999999999</v>
      </c>
      <c r="H24" s="31">
        <f>13841.6-149.6</f>
        <v>13692</v>
      </c>
      <c r="I24" s="48">
        <f t="shared" si="19"/>
        <v>42.654205607476634</v>
      </c>
      <c r="J24" s="31">
        <v>2665.13</v>
      </c>
      <c r="K24" s="48">
        <f t="shared" si="20"/>
        <v>8.3025856697819318</v>
      </c>
      <c r="L24" s="31">
        <v>2000</v>
      </c>
      <c r="M24" s="51">
        <f t="shared" si="21"/>
        <v>0.14607069821793747</v>
      </c>
      <c r="N24" s="76">
        <f t="shared" si="5"/>
        <v>3691.83</v>
      </c>
      <c r="O24" s="64">
        <f t="shared" si="4"/>
        <v>2665.13</v>
      </c>
      <c r="P24" s="18">
        <f t="shared" ref="P24:P86" si="25">N24+O24</f>
        <v>6356.96</v>
      </c>
      <c r="Q24" s="83">
        <f t="shared" si="13"/>
        <v>1845.915</v>
      </c>
      <c r="R24" s="84">
        <f t="shared" si="22"/>
        <v>1865.5909999999999</v>
      </c>
      <c r="S24" s="96">
        <f t="shared" si="8"/>
        <v>746.23640000000012</v>
      </c>
      <c r="T24" s="85">
        <f t="shared" si="14"/>
        <v>2965.2695999999996</v>
      </c>
      <c r="U24" s="17">
        <f t="shared" si="17"/>
        <v>1845.915</v>
      </c>
      <c r="V24" s="31">
        <f t="shared" si="23"/>
        <v>799.53899999999999</v>
      </c>
      <c r="W24" s="23">
        <f t="shared" si="24"/>
        <v>2645.4539999999997</v>
      </c>
      <c r="X24" s="99">
        <v>3691.83</v>
      </c>
    </row>
    <row r="25" spans="1:24" x14ac:dyDescent="0.25">
      <c r="A25" s="7">
        <v>19</v>
      </c>
      <c r="B25" s="38" t="s">
        <v>56</v>
      </c>
      <c r="C25" s="39">
        <v>45017</v>
      </c>
      <c r="D25" s="40">
        <f t="shared" si="18"/>
        <v>45017</v>
      </c>
      <c r="E25" s="32">
        <v>682</v>
      </c>
      <c r="F25" s="32">
        <v>800</v>
      </c>
      <c r="G25" s="41">
        <f t="shared" si="1"/>
        <v>0.85250000000000004</v>
      </c>
      <c r="H25" s="32">
        <f>35413.6-528.6</f>
        <v>34885</v>
      </c>
      <c r="I25" s="52">
        <f t="shared" si="19"/>
        <v>51.151026392961874</v>
      </c>
      <c r="J25" s="53">
        <v>7614.15</v>
      </c>
      <c r="K25" s="54">
        <f t="shared" si="20"/>
        <v>11.164442815249267</v>
      </c>
      <c r="L25" s="32">
        <f>13366.47+300</f>
        <v>13666.47</v>
      </c>
      <c r="M25" s="43">
        <f t="shared" si="21"/>
        <v>0.39175777554822988</v>
      </c>
      <c r="N25" s="15">
        <f t="shared" si="5"/>
        <v>14051.42</v>
      </c>
      <c r="O25" s="32">
        <f t="shared" si="4"/>
        <v>7614.15</v>
      </c>
      <c r="P25" s="29">
        <f t="shared" si="25"/>
        <v>21665.57</v>
      </c>
      <c r="Q25" s="86">
        <f t="shared" si="13"/>
        <v>7025.71</v>
      </c>
      <c r="R25" s="87">
        <f t="shared" si="22"/>
        <v>5329.9049999999997</v>
      </c>
      <c r="S25" s="95">
        <f t="shared" si="8"/>
        <v>2131.962</v>
      </c>
      <c r="T25" s="82">
        <f t="shared" si="14"/>
        <v>10223.653</v>
      </c>
      <c r="U25" s="19">
        <f t="shared" si="17"/>
        <v>7025.71</v>
      </c>
      <c r="V25" s="55">
        <f t="shared" si="23"/>
        <v>2284.2449999999999</v>
      </c>
      <c r="W25" s="16">
        <f t="shared" si="24"/>
        <v>9309.9549999999999</v>
      </c>
      <c r="X25" s="99">
        <v>14051.42</v>
      </c>
    </row>
    <row r="26" spans="1:24" x14ac:dyDescent="0.25">
      <c r="A26" s="6">
        <v>20</v>
      </c>
      <c r="B26" s="44" t="s">
        <v>43</v>
      </c>
      <c r="C26" s="45">
        <v>45024</v>
      </c>
      <c r="D26" s="46">
        <f t="shared" si="18"/>
        <v>45024</v>
      </c>
      <c r="E26" s="31">
        <v>510</v>
      </c>
      <c r="F26" s="31">
        <v>1100</v>
      </c>
      <c r="G26" s="47">
        <f t="shared" si="1"/>
        <v>0.46363636363636362</v>
      </c>
      <c r="H26" s="31">
        <f>17097.5-75</f>
        <v>17022.5</v>
      </c>
      <c r="I26" s="48">
        <f t="shared" si="19"/>
        <v>33.377450980392155</v>
      </c>
      <c r="J26" s="31">
        <v>7494.9</v>
      </c>
      <c r="K26" s="48">
        <f t="shared" si="20"/>
        <v>14.695882352941176</v>
      </c>
      <c r="L26" s="31">
        <v>11000</v>
      </c>
      <c r="M26" s="51">
        <f t="shared" si="21"/>
        <v>0.64620355411954766</v>
      </c>
      <c r="N26" s="76">
        <f t="shared" si="5"/>
        <v>-310.58999999999997</v>
      </c>
      <c r="O26" s="64">
        <f t="shared" si="4"/>
        <v>7494.9</v>
      </c>
      <c r="P26" s="18">
        <f t="shared" si="25"/>
        <v>7184.3099999999995</v>
      </c>
      <c r="Q26" s="83">
        <f t="shared" si="13"/>
        <v>-155.29499999999999</v>
      </c>
      <c r="R26" s="84">
        <f t="shared" si="22"/>
        <v>5246.4299999999994</v>
      </c>
      <c r="S26" s="96">
        <f t="shared" si="8"/>
        <v>2098.5720000000001</v>
      </c>
      <c r="T26" s="85">
        <f t="shared" si="14"/>
        <v>2992.5629999999992</v>
      </c>
      <c r="U26" s="17">
        <f t="shared" si="17"/>
        <v>-155.29499999999999</v>
      </c>
      <c r="V26" s="31">
        <f t="shared" si="23"/>
        <v>2248.4699999999998</v>
      </c>
      <c r="W26" s="23">
        <f t="shared" si="24"/>
        <v>2093.1749999999997</v>
      </c>
      <c r="X26" s="102">
        <v>-310.58999999999997</v>
      </c>
    </row>
    <row r="27" spans="1:24" x14ac:dyDescent="0.25">
      <c r="A27" s="7">
        <v>21</v>
      </c>
      <c r="B27" s="38" t="s">
        <v>44</v>
      </c>
      <c r="C27" s="39">
        <v>45026</v>
      </c>
      <c r="D27" s="40">
        <f t="shared" si="18"/>
        <v>45026</v>
      </c>
      <c r="E27" s="103">
        <v>1100</v>
      </c>
      <c r="F27" s="32">
        <v>1100</v>
      </c>
      <c r="G27" s="41">
        <f t="shared" si="1"/>
        <v>1</v>
      </c>
      <c r="H27" s="32">
        <f>40766.5-2066</f>
        <v>38700.5</v>
      </c>
      <c r="I27" s="52">
        <f t="shared" si="19"/>
        <v>35.182272727272725</v>
      </c>
      <c r="J27" s="53">
        <v>12818.14</v>
      </c>
      <c r="K27" s="54">
        <f t="shared" si="20"/>
        <v>11.652854545454545</v>
      </c>
      <c r="L27" s="32">
        <f>17870.6+500</f>
        <v>18370.599999999999</v>
      </c>
      <c r="M27" s="43">
        <f t="shared" si="21"/>
        <v>0.47468637356106508</v>
      </c>
      <c r="N27" s="15">
        <f t="shared" si="5"/>
        <v>13284.13</v>
      </c>
      <c r="O27" s="32">
        <f t="shared" si="4"/>
        <v>12818.139999999998</v>
      </c>
      <c r="P27" s="29">
        <f t="shared" si="25"/>
        <v>26102.269999999997</v>
      </c>
      <c r="Q27" s="86">
        <f t="shared" si="13"/>
        <v>6642.0649999999996</v>
      </c>
      <c r="R27" s="87">
        <f t="shared" si="22"/>
        <v>8972.6979999999985</v>
      </c>
      <c r="S27" s="95">
        <f t="shared" si="8"/>
        <v>3589.0792000000001</v>
      </c>
      <c r="T27" s="82">
        <f t="shared" si="14"/>
        <v>12025.683799999999</v>
      </c>
      <c r="U27" s="19">
        <f t="shared" si="17"/>
        <v>6642.0649999999996</v>
      </c>
      <c r="V27" s="55">
        <f t="shared" si="23"/>
        <v>3845.4419999999996</v>
      </c>
      <c r="W27" s="16">
        <f t="shared" si="24"/>
        <v>10487.507</v>
      </c>
      <c r="X27" s="99">
        <v>13284.13</v>
      </c>
    </row>
    <row r="28" spans="1:24" x14ac:dyDescent="0.25">
      <c r="A28" s="6">
        <v>22</v>
      </c>
      <c r="B28" s="44" t="s">
        <v>57</v>
      </c>
      <c r="C28" s="45">
        <v>45031</v>
      </c>
      <c r="D28" s="46">
        <f t="shared" si="18"/>
        <v>45031</v>
      </c>
      <c r="E28" s="103">
        <v>1100</v>
      </c>
      <c r="F28" s="31">
        <v>1100</v>
      </c>
      <c r="G28" s="47">
        <f>IFERROR(E28/F28,"")</f>
        <v>1</v>
      </c>
      <c r="H28" s="31">
        <f>54947-2855</f>
        <v>52092</v>
      </c>
      <c r="I28" s="48">
        <f t="shared" si="19"/>
        <v>47.356363636363639</v>
      </c>
      <c r="J28" s="31">
        <v>12503.65</v>
      </c>
      <c r="K28" s="48">
        <f t="shared" si="20"/>
        <v>11.366954545454545</v>
      </c>
      <c r="L28" s="31">
        <f>26991.89+500</f>
        <v>27491.89</v>
      </c>
      <c r="M28" s="51">
        <f t="shared" si="21"/>
        <v>0.52775646932350451</v>
      </c>
      <c r="N28" s="76">
        <f t="shared" si="5"/>
        <v>18938.66</v>
      </c>
      <c r="O28" s="64">
        <f t="shared" si="4"/>
        <v>12503.649999999998</v>
      </c>
      <c r="P28" s="18">
        <f t="shared" si="25"/>
        <v>31442.309999999998</v>
      </c>
      <c r="Q28" s="83">
        <f t="shared" si="13"/>
        <v>9469.33</v>
      </c>
      <c r="R28" s="84">
        <f t="shared" si="22"/>
        <v>8752.5549999999985</v>
      </c>
      <c r="S28" s="96">
        <f t="shared" si="8"/>
        <v>3501.0220000000004</v>
      </c>
      <c r="T28" s="85">
        <f t="shared" si="14"/>
        <v>14720.862999999998</v>
      </c>
      <c r="U28" s="17">
        <f t="shared" si="17"/>
        <v>9469.33</v>
      </c>
      <c r="V28" s="31">
        <f t="shared" si="23"/>
        <v>3751.0949999999998</v>
      </c>
      <c r="W28" s="23">
        <f t="shared" si="24"/>
        <v>13220.424999999999</v>
      </c>
      <c r="X28" s="99">
        <v>18938.66</v>
      </c>
    </row>
    <row r="29" spans="1:24" x14ac:dyDescent="0.25">
      <c r="A29" s="7">
        <v>23</v>
      </c>
      <c r="B29" s="38" t="s">
        <v>45</v>
      </c>
      <c r="C29" s="39">
        <v>45038</v>
      </c>
      <c r="D29" s="40">
        <f t="shared" si="18"/>
        <v>45038</v>
      </c>
      <c r="E29" s="103">
        <v>1100</v>
      </c>
      <c r="F29" s="32">
        <v>1100</v>
      </c>
      <c r="G29" s="41">
        <f t="shared" ref="G29:G86" si="26">IFERROR(E29/F29,"")</f>
        <v>1</v>
      </c>
      <c r="H29" s="32">
        <f>45762.3-3103</f>
        <v>42659.3</v>
      </c>
      <c r="I29" s="52">
        <f t="shared" si="19"/>
        <v>38.781181818181821</v>
      </c>
      <c r="J29" s="53">
        <v>13959.95</v>
      </c>
      <c r="K29" s="54">
        <f t="shared" si="20"/>
        <v>12.690863636363638</v>
      </c>
      <c r="L29" s="32">
        <v>17349.89</v>
      </c>
      <c r="M29" s="43">
        <f t="shared" si="21"/>
        <v>0.40670826759932766</v>
      </c>
      <c r="N29" s="15">
        <f t="shared" si="5"/>
        <v>21288.07</v>
      </c>
      <c r="O29" s="32">
        <f t="shared" si="4"/>
        <v>13959.95</v>
      </c>
      <c r="P29" s="29">
        <f t="shared" si="25"/>
        <v>35248.020000000004</v>
      </c>
      <c r="Q29" s="86">
        <f t="shared" si="13"/>
        <v>10644.035</v>
      </c>
      <c r="R29" s="87">
        <f t="shared" si="22"/>
        <v>9771.9650000000001</v>
      </c>
      <c r="S29" s="95">
        <f t="shared" si="8"/>
        <v>3908.7860000000005</v>
      </c>
      <c r="T29" s="82">
        <f t="shared" si="14"/>
        <v>16507.214</v>
      </c>
      <c r="U29" s="19">
        <f t="shared" si="17"/>
        <v>10644.035</v>
      </c>
      <c r="V29" s="55">
        <f t="shared" si="23"/>
        <v>4187.9849999999997</v>
      </c>
      <c r="W29" s="16">
        <f t="shared" si="24"/>
        <v>14832.02</v>
      </c>
      <c r="X29" s="99">
        <v>21288.07</v>
      </c>
    </row>
    <row r="30" spans="1:24" x14ac:dyDescent="0.25">
      <c r="A30" s="6">
        <v>24</v>
      </c>
      <c r="B30" s="44" t="s">
        <v>46</v>
      </c>
      <c r="C30" s="45">
        <v>45039</v>
      </c>
      <c r="D30" s="46">
        <f t="shared" si="18"/>
        <v>45039</v>
      </c>
      <c r="E30" s="103">
        <v>1100</v>
      </c>
      <c r="F30" s="31">
        <v>1100</v>
      </c>
      <c r="G30" s="47">
        <f t="shared" si="26"/>
        <v>1</v>
      </c>
      <c r="H30" s="31">
        <f>45588-4558</f>
        <v>41030</v>
      </c>
      <c r="I30" s="66">
        <f t="shared" si="19"/>
        <v>37.299999999999997</v>
      </c>
      <c r="J30" s="31">
        <v>3187.19</v>
      </c>
      <c r="K30" s="48">
        <f t="shared" si="20"/>
        <v>2.8974454545454544</v>
      </c>
      <c r="L30" s="31">
        <f>18060.67+500</f>
        <v>18560.669999999998</v>
      </c>
      <c r="M30" s="70">
        <f t="shared" si="21"/>
        <v>0.45236826712161826</v>
      </c>
      <c r="N30" s="76">
        <f t="shared" si="5"/>
        <v>23080.59</v>
      </c>
      <c r="O30" s="64">
        <f t="shared" si="4"/>
        <v>3187.1899999999996</v>
      </c>
      <c r="P30" s="18">
        <f t="shared" si="25"/>
        <v>26267.78</v>
      </c>
      <c r="Q30" s="83">
        <f t="shared" si="13"/>
        <v>11540.295</v>
      </c>
      <c r="R30" s="84">
        <f t="shared" si="22"/>
        <v>2231.0329999999999</v>
      </c>
      <c r="S30" s="96">
        <f t="shared" si="8"/>
        <v>892.41320000000007</v>
      </c>
      <c r="T30" s="85">
        <f t="shared" si="14"/>
        <v>12878.914799999999</v>
      </c>
      <c r="U30" s="17">
        <f t="shared" si="17"/>
        <v>11540.295</v>
      </c>
      <c r="V30" s="31">
        <f t="shared" si="23"/>
        <v>956.15699999999993</v>
      </c>
      <c r="W30" s="23">
        <f t="shared" si="24"/>
        <v>12496.451999999999</v>
      </c>
      <c r="X30" s="99">
        <v>23080.59</v>
      </c>
    </row>
    <row r="31" spans="1:24" x14ac:dyDescent="0.25">
      <c r="A31" s="7">
        <v>25</v>
      </c>
      <c r="B31" s="38" t="s">
        <v>47</v>
      </c>
      <c r="C31" s="39">
        <v>45041</v>
      </c>
      <c r="D31" s="40">
        <f t="shared" si="18"/>
        <v>45041</v>
      </c>
      <c r="E31" s="103">
        <v>400</v>
      </c>
      <c r="F31" s="32">
        <v>400</v>
      </c>
      <c r="G31" s="41">
        <f t="shared" si="26"/>
        <v>1</v>
      </c>
      <c r="H31" s="32">
        <f>18715-790</f>
        <v>17925</v>
      </c>
      <c r="I31" s="52">
        <f t="shared" si="19"/>
        <v>44.8125</v>
      </c>
      <c r="J31" s="53">
        <v>1739.16</v>
      </c>
      <c r="K31" s="54">
        <f t="shared" si="20"/>
        <v>4.3479000000000001</v>
      </c>
      <c r="L31" s="32">
        <f>7154.11-300</f>
        <v>6854.11</v>
      </c>
      <c r="M31" s="43">
        <f>IFERROR(L31/H31,"")</f>
        <v>0.3823771269177127</v>
      </c>
      <c r="N31" s="15">
        <f t="shared" si="5"/>
        <v>4248.8999999999996</v>
      </c>
      <c r="O31" s="32">
        <f t="shared" si="4"/>
        <v>1739.16</v>
      </c>
      <c r="P31" s="29">
        <f t="shared" si="25"/>
        <v>5988.0599999999995</v>
      </c>
      <c r="Q31" s="86">
        <f t="shared" si="13"/>
        <v>2124.4499999999998</v>
      </c>
      <c r="R31" s="87">
        <f t="shared" si="22"/>
        <v>1217.412</v>
      </c>
      <c r="S31" s="95">
        <f t="shared" si="8"/>
        <v>486.96480000000008</v>
      </c>
      <c r="T31" s="82">
        <f t="shared" si="14"/>
        <v>2854.8971999999999</v>
      </c>
      <c r="U31" s="19">
        <f t="shared" si="17"/>
        <v>2124.4499999999998</v>
      </c>
      <c r="V31" s="55">
        <f t="shared" si="23"/>
        <v>521.74800000000005</v>
      </c>
      <c r="W31" s="16">
        <f t="shared" si="24"/>
        <v>2646.1979999999999</v>
      </c>
      <c r="X31" s="99">
        <v>4248.8999999999996</v>
      </c>
    </row>
    <row r="32" spans="1:24" x14ac:dyDescent="0.25">
      <c r="A32" s="6">
        <v>26</v>
      </c>
      <c r="B32" s="44" t="s">
        <v>48</v>
      </c>
      <c r="C32" s="45">
        <v>45044</v>
      </c>
      <c r="D32" s="46">
        <f t="shared" si="18"/>
        <v>45044</v>
      </c>
      <c r="E32" s="31">
        <v>359</v>
      </c>
      <c r="F32" s="31">
        <v>1100</v>
      </c>
      <c r="G32" s="47">
        <f t="shared" si="26"/>
        <v>0.32636363636363636</v>
      </c>
      <c r="H32" s="31">
        <f>11116.5-493</f>
        <v>10623.5</v>
      </c>
      <c r="I32" s="48">
        <f t="shared" si="19"/>
        <v>29.591922005571032</v>
      </c>
      <c r="J32" s="31">
        <v>4444.29</v>
      </c>
      <c r="K32" s="48">
        <f t="shared" si="20"/>
        <v>12.379637883008357</v>
      </c>
      <c r="L32" s="31">
        <f>7750</f>
        <v>7750</v>
      </c>
      <c r="M32" s="51">
        <f t="shared" si="21"/>
        <v>0.72951475502423868</v>
      </c>
      <c r="N32" s="76">
        <f t="shared" si="5"/>
        <v>-7125.09</v>
      </c>
      <c r="O32" s="64">
        <f t="shared" si="4"/>
        <v>4444.29</v>
      </c>
      <c r="P32" s="18">
        <f t="shared" si="25"/>
        <v>-2680.8</v>
      </c>
      <c r="Q32" s="83">
        <f t="shared" si="13"/>
        <v>-3562.5450000000001</v>
      </c>
      <c r="R32" s="84">
        <f t="shared" si="22"/>
        <v>3111.0029999999997</v>
      </c>
      <c r="S32" s="96">
        <f t="shared" si="8"/>
        <v>1244.4012</v>
      </c>
      <c r="T32" s="85">
        <f t="shared" si="14"/>
        <v>-1695.9432000000004</v>
      </c>
      <c r="U32" s="17">
        <f t="shared" ref="U32:U41" si="27">Q32</f>
        <v>-3562.5450000000001</v>
      </c>
      <c r="V32" s="31">
        <f t="shared" ref="V32:V41" si="28">J32*30%</f>
        <v>1333.287</v>
      </c>
      <c r="W32" s="23">
        <f t="shared" ref="W32:W41" si="29">U32+V32</f>
        <v>-2229.2579999999998</v>
      </c>
      <c r="X32" s="101">
        <v>-7125.09</v>
      </c>
    </row>
    <row r="33" spans="1:26" x14ac:dyDescent="0.25">
      <c r="A33" s="7">
        <v>27</v>
      </c>
      <c r="B33" s="38" t="s">
        <v>49</v>
      </c>
      <c r="C33" s="39">
        <v>45052</v>
      </c>
      <c r="D33" s="40">
        <f t="shared" si="18"/>
        <v>45052</v>
      </c>
      <c r="E33" s="32">
        <v>858</v>
      </c>
      <c r="F33" s="32">
        <v>1100</v>
      </c>
      <c r="G33" s="41">
        <f t="shared" si="26"/>
        <v>0.78</v>
      </c>
      <c r="H33" s="32">
        <f>28172.5-1028</f>
        <v>27144.5</v>
      </c>
      <c r="I33" s="52">
        <f t="shared" si="19"/>
        <v>31.636946386946388</v>
      </c>
      <c r="J33" s="53">
        <v>5996.6</v>
      </c>
      <c r="K33" s="54">
        <f t="shared" si="20"/>
        <v>6.9890442890442896</v>
      </c>
      <c r="L33" s="32">
        <f>8816.05+250</f>
        <v>9066.0499999999993</v>
      </c>
      <c r="M33" s="43">
        <f t="shared" si="21"/>
        <v>0.33399215310652247</v>
      </c>
      <c r="N33" s="15">
        <f t="shared" si="5"/>
        <v>10792.01</v>
      </c>
      <c r="O33" s="32">
        <f t="shared" si="4"/>
        <v>5996.6</v>
      </c>
      <c r="P33" s="29">
        <f t="shared" si="25"/>
        <v>16788.61</v>
      </c>
      <c r="Q33" s="86">
        <f t="shared" si="13"/>
        <v>5396.0050000000001</v>
      </c>
      <c r="R33" s="87">
        <f t="shared" si="22"/>
        <v>4197.62</v>
      </c>
      <c r="S33" s="95">
        <f t="shared" si="8"/>
        <v>1679.0480000000002</v>
      </c>
      <c r="T33" s="82">
        <f t="shared" si="14"/>
        <v>7914.5769999999993</v>
      </c>
      <c r="U33" s="19">
        <f t="shared" si="27"/>
        <v>5396.0050000000001</v>
      </c>
      <c r="V33" s="55">
        <f t="shared" si="28"/>
        <v>1798.98</v>
      </c>
      <c r="W33" s="16">
        <f t="shared" si="29"/>
        <v>7194.9850000000006</v>
      </c>
      <c r="X33" s="99">
        <v>10792.01</v>
      </c>
    </row>
    <row r="34" spans="1:26" x14ac:dyDescent="0.25">
      <c r="A34" s="6">
        <v>28</v>
      </c>
      <c r="B34" s="44" t="s">
        <v>50</v>
      </c>
      <c r="C34" s="45">
        <v>45056</v>
      </c>
      <c r="D34" s="46">
        <f t="shared" si="18"/>
        <v>45056</v>
      </c>
      <c r="E34" s="31">
        <v>719</v>
      </c>
      <c r="F34" s="31">
        <v>1100</v>
      </c>
      <c r="G34" s="47">
        <f t="shared" si="26"/>
        <v>0.65363636363636368</v>
      </c>
      <c r="H34" s="31">
        <f>26799-579</f>
        <v>26220</v>
      </c>
      <c r="I34" s="48">
        <f t="shared" si="19"/>
        <v>36.467315716272601</v>
      </c>
      <c r="J34" s="31">
        <v>5826.58</v>
      </c>
      <c r="K34" s="48">
        <f t="shared" si="20"/>
        <v>8.103727399165507</v>
      </c>
      <c r="L34" s="31">
        <f>900+500+8000+2000+100</f>
        <v>11500</v>
      </c>
      <c r="M34" s="51">
        <f t="shared" si="21"/>
        <v>0.43859649122807015</v>
      </c>
      <c r="N34" s="76">
        <f t="shared" si="5"/>
        <v>6466.34</v>
      </c>
      <c r="O34" s="64">
        <f t="shared" si="4"/>
        <v>5826.58</v>
      </c>
      <c r="P34" s="18">
        <f t="shared" si="25"/>
        <v>12292.92</v>
      </c>
      <c r="Q34" s="83">
        <f t="shared" si="13"/>
        <v>3233.17</v>
      </c>
      <c r="R34" s="84">
        <f t="shared" si="22"/>
        <v>4078.6059999999998</v>
      </c>
      <c r="S34" s="96">
        <f t="shared" si="8"/>
        <v>1631.4424000000001</v>
      </c>
      <c r="T34" s="85">
        <f t="shared" si="14"/>
        <v>5680.3335999999999</v>
      </c>
      <c r="U34" s="17">
        <f t="shared" si="27"/>
        <v>3233.17</v>
      </c>
      <c r="V34" s="31">
        <f t="shared" si="28"/>
        <v>1747.9739999999999</v>
      </c>
      <c r="W34" s="23">
        <f t="shared" si="29"/>
        <v>4981.1440000000002</v>
      </c>
      <c r="X34" s="99">
        <v>6466.34</v>
      </c>
    </row>
    <row r="35" spans="1:26" x14ac:dyDescent="0.25">
      <c r="A35" s="7">
        <v>29</v>
      </c>
      <c r="B35" s="38" t="s">
        <v>51</v>
      </c>
      <c r="C35" s="39">
        <v>45057</v>
      </c>
      <c r="D35" s="40">
        <f t="shared" si="18"/>
        <v>45057</v>
      </c>
      <c r="E35" s="103">
        <v>1100</v>
      </c>
      <c r="F35" s="32">
        <v>1100</v>
      </c>
      <c r="G35" s="41">
        <f t="shared" si="26"/>
        <v>1</v>
      </c>
      <c r="H35" s="32">
        <f>57747-5398</f>
        <v>52349</v>
      </c>
      <c r="I35" s="52">
        <f t="shared" si="19"/>
        <v>47.59</v>
      </c>
      <c r="J35" s="53">
        <v>19986.21</v>
      </c>
      <c r="K35" s="54">
        <f t="shared" si="20"/>
        <v>18.169281818181819</v>
      </c>
      <c r="L35" s="32">
        <v>17786.349999999999</v>
      </c>
      <c r="M35" s="43">
        <f>IFERROR(L35/H35,"")</f>
        <v>0.33976484746604518</v>
      </c>
      <c r="N35" s="15">
        <f t="shared" si="5"/>
        <v>16350.75</v>
      </c>
      <c r="O35" s="32">
        <f t="shared" si="4"/>
        <v>19986.21</v>
      </c>
      <c r="P35" s="29">
        <f t="shared" si="25"/>
        <v>36336.959999999999</v>
      </c>
      <c r="Q35" s="86">
        <f t="shared" si="13"/>
        <v>8175.375</v>
      </c>
      <c r="R35" s="87">
        <f t="shared" si="22"/>
        <v>13990.346999999998</v>
      </c>
      <c r="S35" s="95">
        <f t="shared" si="8"/>
        <v>5596.1388000000006</v>
      </c>
      <c r="T35" s="82">
        <f t="shared" si="14"/>
        <v>16569.583199999997</v>
      </c>
      <c r="U35" s="19">
        <f t="shared" si="27"/>
        <v>8175.375</v>
      </c>
      <c r="V35" s="55">
        <f t="shared" si="28"/>
        <v>5995.8629999999994</v>
      </c>
      <c r="W35" s="16">
        <f t="shared" si="29"/>
        <v>14171.237999999999</v>
      </c>
      <c r="X35" s="99">
        <v>16350.75</v>
      </c>
    </row>
    <row r="36" spans="1:26" x14ac:dyDescent="0.25">
      <c r="A36" s="6">
        <v>30</v>
      </c>
      <c r="B36" s="44" t="s">
        <v>52</v>
      </c>
      <c r="C36" s="45">
        <v>45058</v>
      </c>
      <c r="D36" s="46">
        <f t="shared" si="18"/>
        <v>45058</v>
      </c>
      <c r="E36" s="31">
        <v>909</v>
      </c>
      <c r="F36" s="31">
        <v>1100</v>
      </c>
      <c r="G36" s="47">
        <f t="shared" si="26"/>
        <v>0.82636363636363641</v>
      </c>
      <c r="H36" s="31">
        <f>32158.25-1061.75</f>
        <v>31096.5</v>
      </c>
      <c r="I36" s="48">
        <f t="shared" si="19"/>
        <v>34.209570957095707</v>
      </c>
      <c r="J36" s="31">
        <v>10147.76</v>
      </c>
      <c r="K36" s="48">
        <f t="shared" si="20"/>
        <v>11.163652365236524</v>
      </c>
      <c r="L36" s="31">
        <f>10000+750</f>
        <v>10750</v>
      </c>
      <c r="M36" s="51">
        <f>IFERROR(L36/H36,"")</f>
        <v>0.34569806891450805</v>
      </c>
      <c r="N36" s="76">
        <f t="shared" si="5"/>
        <v>10318.06</v>
      </c>
      <c r="O36" s="64">
        <f t="shared" si="4"/>
        <v>10147.76</v>
      </c>
      <c r="P36" s="18">
        <f t="shared" si="25"/>
        <v>20465.82</v>
      </c>
      <c r="Q36" s="83">
        <f t="shared" si="13"/>
        <v>5159.03</v>
      </c>
      <c r="R36" s="84">
        <f t="shared" si="22"/>
        <v>7103.4319999999998</v>
      </c>
      <c r="S36" s="96">
        <f t="shared" si="8"/>
        <v>2841.3728000000006</v>
      </c>
      <c r="T36" s="85">
        <f t="shared" si="14"/>
        <v>9421.0891999999985</v>
      </c>
      <c r="U36" s="17">
        <f t="shared" si="27"/>
        <v>5159.03</v>
      </c>
      <c r="V36" s="31">
        <f t="shared" si="28"/>
        <v>3044.328</v>
      </c>
      <c r="W36" s="23">
        <f t="shared" si="29"/>
        <v>8203.3580000000002</v>
      </c>
      <c r="X36" s="99">
        <v>10318.06</v>
      </c>
    </row>
    <row r="37" spans="1:26" x14ac:dyDescent="0.25">
      <c r="A37" s="7">
        <v>31</v>
      </c>
      <c r="B37" s="38" t="s">
        <v>53</v>
      </c>
      <c r="C37" s="39">
        <v>45069</v>
      </c>
      <c r="D37" s="40">
        <f t="shared" si="18"/>
        <v>45069</v>
      </c>
      <c r="E37" s="32">
        <v>1070</v>
      </c>
      <c r="F37" s="32">
        <v>1100</v>
      </c>
      <c r="G37" s="41">
        <f t="shared" si="26"/>
        <v>0.97272727272727277</v>
      </c>
      <c r="H37" s="32">
        <f>40134.5-1020</f>
        <v>39114.5</v>
      </c>
      <c r="I37" s="52">
        <f t="shared" si="19"/>
        <v>36.555607476635515</v>
      </c>
      <c r="J37" s="53">
        <v>14058.12</v>
      </c>
      <c r="K37" s="54">
        <f t="shared" si="20"/>
        <v>13.138429906542056</v>
      </c>
      <c r="L37" s="32">
        <v>16000</v>
      </c>
      <c r="M37" s="43">
        <f>IFERROR(L37/H37,"")</f>
        <v>0.40905546536450677</v>
      </c>
      <c r="N37" s="15">
        <f t="shared" si="5"/>
        <v>14532.29</v>
      </c>
      <c r="O37" s="32">
        <f t="shared" si="4"/>
        <v>14058.119999999999</v>
      </c>
      <c r="P37" s="29">
        <f t="shared" si="25"/>
        <v>28590.41</v>
      </c>
      <c r="Q37" s="86">
        <f t="shared" si="13"/>
        <v>7266.1450000000004</v>
      </c>
      <c r="R37" s="87">
        <f t="shared" si="22"/>
        <v>9840.6839999999993</v>
      </c>
      <c r="S37" s="95">
        <f t="shared" si="8"/>
        <v>3936.2736000000004</v>
      </c>
      <c r="T37" s="82">
        <f t="shared" si="14"/>
        <v>13170.555399999997</v>
      </c>
      <c r="U37" s="19">
        <f t="shared" si="27"/>
        <v>7266.1450000000004</v>
      </c>
      <c r="V37" s="55">
        <f t="shared" si="28"/>
        <v>4217.4359999999997</v>
      </c>
      <c r="W37" s="16">
        <f t="shared" si="29"/>
        <v>11483.581</v>
      </c>
      <c r="X37" s="99">
        <v>14532.29</v>
      </c>
    </row>
    <row r="38" spans="1:26" x14ac:dyDescent="0.25">
      <c r="A38" s="6">
        <v>32</v>
      </c>
      <c r="B38" s="44" t="s">
        <v>58</v>
      </c>
      <c r="C38" s="45">
        <v>45081</v>
      </c>
      <c r="D38" s="46">
        <f t="shared" si="18"/>
        <v>45081</v>
      </c>
      <c r="E38" s="31">
        <v>801</v>
      </c>
      <c r="F38" s="31">
        <v>1100</v>
      </c>
      <c r="G38" s="47">
        <f t="shared" si="26"/>
        <v>0.72818181818181815</v>
      </c>
      <c r="H38" s="31">
        <f>41867-831</f>
        <v>41036</v>
      </c>
      <c r="I38" s="48">
        <f t="shared" si="19"/>
        <v>51.230961298377032</v>
      </c>
      <c r="J38" s="31">
        <v>10205.39</v>
      </c>
      <c r="K38" s="48">
        <f t="shared" si="20"/>
        <v>12.740811485642945</v>
      </c>
      <c r="L38" s="31">
        <f>17500+500</f>
        <v>18000</v>
      </c>
      <c r="M38" s="51">
        <f>IFERROR(L38/H38,"")</f>
        <v>0.43863924359099327</v>
      </c>
      <c r="N38" s="76">
        <f t="shared" si="5"/>
        <v>8555.49</v>
      </c>
      <c r="O38" s="64">
        <f t="shared" si="4"/>
        <v>10205.39</v>
      </c>
      <c r="P38" s="18">
        <f t="shared" si="25"/>
        <v>18760.879999999997</v>
      </c>
      <c r="Q38" s="83">
        <f t="shared" si="13"/>
        <v>4277.7449999999999</v>
      </c>
      <c r="R38" s="84">
        <f t="shared" si="22"/>
        <v>7143.7729999999992</v>
      </c>
      <c r="S38" s="96">
        <f t="shared" si="8"/>
        <v>2857.5092</v>
      </c>
      <c r="T38" s="85">
        <f t="shared" si="14"/>
        <v>8564.0087999999996</v>
      </c>
      <c r="U38" s="17">
        <f t="shared" si="27"/>
        <v>4277.7449999999999</v>
      </c>
      <c r="V38" s="31">
        <f t="shared" si="28"/>
        <v>3061.6169999999997</v>
      </c>
      <c r="W38" s="23">
        <f t="shared" si="29"/>
        <v>7339.3619999999992</v>
      </c>
      <c r="X38" s="99">
        <v>8555.49</v>
      </c>
    </row>
    <row r="39" spans="1:26" x14ac:dyDescent="0.25">
      <c r="A39" s="7">
        <v>33</v>
      </c>
      <c r="B39" s="38" t="s">
        <v>59</v>
      </c>
      <c r="C39" s="39">
        <v>45086</v>
      </c>
      <c r="D39" s="40">
        <f t="shared" si="18"/>
        <v>45086</v>
      </c>
      <c r="E39" s="32">
        <v>279</v>
      </c>
      <c r="F39" s="32">
        <v>400</v>
      </c>
      <c r="G39" s="41">
        <f t="shared" si="26"/>
        <v>0.69750000000000001</v>
      </c>
      <c r="H39" s="32">
        <f>21248.8-370.3</f>
        <v>20878.5</v>
      </c>
      <c r="I39" s="52">
        <f t="shared" si="19"/>
        <v>74.833333333333329</v>
      </c>
      <c r="J39" s="53">
        <v>4764.21</v>
      </c>
      <c r="K39" s="54">
        <f t="shared" si="20"/>
        <v>17.076021505376342</v>
      </c>
      <c r="L39" s="32">
        <v>10000</v>
      </c>
      <c r="M39" s="43">
        <f>IFERROR(L39/H39,"")</f>
        <v>0.47896161122686015</v>
      </c>
      <c r="N39" s="15">
        <f t="shared" si="5"/>
        <v>2998.98</v>
      </c>
      <c r="O39" s="32">
        <f t="shared" si="4"/>
        <v>4764.2099999999991</v>
      </c>
      <c r="P39" s="29">
        <f t="shared" si="25"/>
        <v>7763.1899999999987</v>
      </c>
      <c r="Q39" s="86">
        <f t="shared" si="13"/>
        <v>1499.49</v>
      </c>
      <c r="R39" s="87">
        <f t="shared" si="22"/>
        <v>3334.9469999999997</v>
      </c>
      <c r="S39" s="95">
        <f t="shared" si="8"/>
        <v>1333.9788000000001</v>
      </c>
      <c r="T39" s="82">
        <f t="shared" si="14"/>
        <v>3500.4582</v>
      </c>
      <c r="U39" s="19">
        <f t="shared" si="27"/>
        <v>1499.49</v>
      </c>
      <c r="V39" s="55">
        <f t="shared" si="28"/>
        <v>1429.2629999999999</v>
      </c>
      <c r="W39" s="16">
        <f t="shared" si="29"/>
        <v>2928.7529999999997</v>
      </c>
      <c r="X39" s="99">
        <v>2998.98</v>
      </c>
    </row>
    <row r="40" spans="1:26" x14ac:dyDescent="0.25">
      <c r="A40" s="6">
        <v>34</v>
      </c>
      <c r="B40" s="44" t="s">
        <v>60</v>
      </c>
      <c r="C40" s="45">
        <v>45093</v>
      </c>
      <c r="D40" s="46">
        <f t="shared" si="18"/>
        <v>45093</v>
      </c>
      <c r="E40" s="103">
        <v>800</v>
      </c>
      <c r="F40" s="31">
        <v>800</v>
      </c>
      <c r="G40" s="47">
        <f t="shared" si="26"/>
        <v>1</v>
      </c>
      <c r="H40" s="31">
        <v>29572</v>
      </c>
      <c r="I40" s="48">
        <f t="shared" si="19"/>
        <v>36.965000000000003</v>
      </c>
      <c r="J40" s="31">
        <v>11654.54</v>
      </c>
      <c r="K40" s="48">
        <f t="shared" si="20"/>
        <v>14.568175000000002</v>
      </c>
      <c r="L40" s="31">
        <v>11826.14</v>
      </c>
      <c r="M40" s="51">
        <f t="shared" ref="M40:M86" si="30">IFERROR(L40/H40,"")</f>
        <v>0.39991005004734204</v>
      </c>
      <c r="N40" s="76">
        <f t="shared" si="5"/>
        <v>9842.9</v>
      </c>
      <c r="O40" s="64">
        <f t="shared" si="4"/>
        <v>11654.54</v>
      </c>
      <c r="P40" s="18">
        <f t="shared" si="25"/>
        <v>21497.440000000002</v>
      </c>
      <c r="Q40" s="83">
        <f t="shared" si="13"/>
        <v>4921.45</v>
      </c>
      <c r="R40" s="84">
        <f t="shared" si="22"/>
        <v>8158.1779999999999</v>
      </c>
      <c r="S40" s="96">
        <f t="shared" si="8"/>
        <v>3263.2712000000006</v>
      </c>
      <c r="T40" s="85">
        <f t="shared" si="14"/>
        <v>9816.3567999999996</v>
      </c>
      <c r="U40" s="17">
        <f t="shared" si="27"/>
        <v>4921.45</v>
      </c>
      <c r="V40" s="31">
        <f t="shared" si="28"/>
        <v>3496.3620000000001</v>
      </c>
      <c r="W40" s="23">
        <f t="shared" si="29"/>
        <v>8417.8119999999999</v>
      </c>
      <c r="X40" s="99">
        <v>9842.9</v>
      </c>
      <c r="Y40" s="24"/>
      <c r="Z40" s="24"/>
    </row>
    <row r="41" spans="1:26" x14ac:dyDescent="0.25">
      <c r="A41" s="7">
        <v>35</v>
      </c>
      <c r="B41" s="38" t="s">
        <v>61</v>
      </c>
      <c r="C41" s="39">
        <v>45098</v>
      </c>
      <c r="D41" s="40">
        <f t="shared" si="18"/>
        <v>45098</v>
      </c>
      <c r="E41" s="103">
        <v>1101</v>
      </c>
      <c r="F41" s="32">
        <v>1100</v>
      </c>
      <c r="G41" s="41">
        <f t="shared" si="26"/>
        <v>1.000909090909091</v>
      </c>
      <c r="H41" s="32">
        <f>72905.76-3793</f>
        <v>69112.759999999995</v>
      </c>
      <c r="I41" s="52">
        <f t="shared" si="19"/>
        <v>62.772715712988187</v>
      </c>
      <c r="J41" s="53">
        <v>4152.72</v>
      </c>
      <c r="K41" s="54">
        <f t="shared" si="20"/>
        <v>3.7717711171662129</v>
      </c>
      <c r="L41" s="32">
        <f>25000+500</f>
        <v>25500</v>
      </c>
      <c r="M41" s="43">
        <f t="shared" si="30"/>
        <v>0.36896225819949896</v>
      </c>
      <c r="N41" s="15">
        <f t="shared" si="5"/>
        <v>23492.58</v>
      </c>
      <c r="O41" s="32">
        <f t="shared" si="4"/>
        <v>4152.72</v>
      </c>
      <c r="P41" s="29">
        <f t="shared" si="25"/>
        <v>27645.300000000003</v>
      </c>
      <c r="Q41" s="86">
        <f t="shared" si="13"/>
        <v>11746.29</v>
      </c>
      <c r="R41" s="87">
        <f t="shared" si="22"/>
        <v>2906.904</v>
      </c>
      <c r="S41" s="95">
        <f t="shared" si="8"/>
        <v>1162.7616000000003</v>
      </c>
      <c r="T41" s="82">
        <f t="shared" si="14"/>
        <v>13490.432400000002</v>
      </c>
      <c r="U41" s="19">
        <f t="shared" si="27"/>
        <v>11746.29</v>
      </c>
      <c r="V41" s="55">
        <f t="shared" si="28"/>
        <v>1245.816</v>
      </c>
      <c r="W41" s="16">
        <f t="shared" si="29"/>
        <v>12992.106000000002</v>
      </c>
      <c r="X41" s="99">
        <v>23492.58</v>
      </c>
    </row>
    <row r="42" spans="1:26" x14ac:dyDescent="0.25">
      <c r="A42" s="6">
        <v>36</v>
      </c>
      <c r="B42" s="44" t="s">
        <v>63</v>
      </c>
      <c r="C42" s="45">
        <v>45099</v>
      </c>
      <c r="D42" s="46">
        <f t="shared" si="18"/>
        <v>45099</v>
      </c>
      <c r="E42" s="31">
        <v>658</v>
      </c>
      <c r="F42" s="31">
        <v>1100</v>
      </c>
      <c r="G42" s="47">
        <f t="shared" si="26"/>
        <v>0.59818181818181815</v>
      </c>
      <c r="H42" s="31">
        <f>24483-794</f>
        <v>23689</v>
      </c>
      <c r="I42" s="48">
        <f t="shared" si="19"/>
        <v>36.001519756838903</v>
      </c>
      <c r="J42" s="31">
        <v>8740.36</v>
      </c>
      <c r="K42" s="48">
        <f t="shared" si="20"/>
        <v>13.283221884498481</v>
      </c>
      <c r="L42" s="31">
        <v>10000</v>
      </c>
      <c r="M42" s="51">
        <f t="shared" si="30"/>
        <v>0.42213685676896451</v>
      </c>
      <c r="N42" s="76">
        <f t="shared" si="5"/>
        <v>6041.71</v>
      </c>
      <c r="O42" s="64">
        <f t="shared" si="4"/>
        <v>8740.36</v>
      </c>
      <c r="P42" s="18">
        <f t="shared" si="25"/>
        <v>14782.07</v>
      </c>
      <c r="Q42" s="83">
        <f t="shared" si="13"/>
        <v>3020.855</v>
      </c>
      <c r="R42" s="84">
        <f t="shared" ref="R42:R49" si="31">J42*70%</f>
        <v>6118.2520000000004</v>
      </c>
      <c r="S42" s="96">
        <f t="shared" si="8"/>
        <v>2447.3008000000004</v>
      </c>
      <c r="T42" s="85">
        <f t="shared" si="14"/>
        <v>6691.8061999999991</v>
      </c>
      <c r="U42" s="17">
        <f t="shared" ref="U42:U47" si="32">Q42</f>
        <v>3020.855</v>
      </c>
      <c r="V42" s="31">
        <f t="shared" ref="V42:V49" si="33">J42*30%</f>
        <v>2622.1080000000002</v>
      </c>
      <c r="W42" s="23">
        <f t="shared" ref="W42:W49" si="34">U42+V42</f>
        <v>5642.9629999999997</v>
      </c>
      <c r="X42" s="99">
        <v>6041.71</v>
      </c>
    </row>
    <row r="43" spans="1:26" x14ac:dyDescent="0.25">
      <c r="A43" s="7">
        <v>37</v>
      </c>
      <c r="B43" s="38" t="s">
        <v>62</v>
      </c>
      <c r="C43" s="39">
        <v>45101</v>
      </c>
      <c r="D43" s="40">
        <f t="shared" si="18"/>
        <v>45101</v>
      </c>
      <c r="E43" s="32">
        <v>708</v>
      </c>
      <c r="F43" s="32">
        <v>1100</v>
      </c>
      <c r="G43" s="41">
        <f t="shared" si="26"/>
        <v>0.64363636363636367</v>
      </c>
      <c r="H43" s="32">
        <v>54514</v>
      </c>
      <c r="I43" s="52">
        <f t="shared" si="19"/>
        <v>76.997175141242934</v>
      </c>
      <c r="J43" s="53">
        <v>13966</v>
      </c>
      <c r="K43" s="54">
        <f t="shared" si="20"/>
        <v>19.725988700564972</v>
      </c>
      <c r="L43" s="32">
        <v>34560</v>
      </c>
      <c r="M43" s="43">
        <f t="shared" si="30"/>
        <v>0.63396558682173387</v>
      </c>
      <c r="N43" s="15">
        <f t="shared" si="5"/>
        <v>13169.03</v>
      </c>
      <c r="O43" s="32">
        <f t="shared" si="4"/>
        <v>13966</v>
      </c>
      <c r="P43" s="29">
        <f t="shared" si="25"/>
        <v>27135.03</v>
      </c>
      <c r="Q43" s="86">
        <f t="shared" si="13"/>
        <v>6584.5150000000003</v>
      </c>
      <c r="R43" s="87">
        <f t="shared" si="31"/>
        <v>9776.1999999999989</v>
      </c>
      <c r="S43" s="95">
        <f t="shared" si="8"/>
        <v>3910.4800000000005</v>
      </c>
      <c r="T43" s="82">
        <f t="shared" si="14"/>
        <v>12450.235000000001</v>
      </c>
      <c r="U43" s="19">
        <f t="shared" si="32"/>
        <v>6584.5150000000003</v>
      </c>
      <c r="V43" s="55">
        <f t="shared" si="33"/>
        <v>4189.8</v>
      </c>
      <c r="W43" s="16">
        <f t="shared" si="34"/>
        <v>10774.315000000001</v>
      </c>
      <c r="X43" s="99">
        <v>13169.03</v>
      </c>
    </row>
    <row r="44" spans="1:26" x14ac:dyDescent="0.25">
      <c r="A44" s="6">
        <v>38</v>
      </c>
      <c r="B44" s="44" t="s">
        <v>64</v>
      </c>
      <c r="C44" s="45">
        <v>45105</v>
      </c>
      <c r="D44" s="46">
        <f t="shared" si="18"/>
        <v>45105</v>
      </c>
      <c r="E44" s="31">
        <v>900</v>
      </c>
      <c r="F44" s="31">
        <v>1100</v>
      </c>
      <c r="G44" s="47">
        <f t="shared" si="26"/>
        <v>0.81818181818181823</v>
      </c>
      <c r="H44" s="31">
        <f>30894-2266</f>
        <v>28628</v>
      </c>
      <c r="I44" s="48">
        <f t="shared" si="19"/>
        <v>31.808888888888887</v>
      </c>
      <c r="J44" s="31">
        <v>12258.68</v>
      </c>
      <c r="K44" s="48">
        <f t="shared" si="20"/>
        <v>13.620755555555556</v>
      </c>
      <c r="L44" s="31">
        <f>1500+13500+2000+1000</f>
        <v>18000</v>
      </c>
      <c r="M44" s="51">
        <f t="shared" si="30"/>
        <v>0.62875506497135669</v>
      </c>
      <c r="N44" s="76">
        <f t="shared" si="5"/>
        <v>3519.76</v>
      </c>
      <c r="O44" s="64">
        <f t="shared" si="4"/>
        <v>12258.679999999998</v>
      </c>
      <c r="P44" s="18">
        <f t="shared" si="25"/>
        <v>15778.439999999999</v>
      </c>
      <c r="Q44" s="83">
        <f t="shared" si="13"/>
        <v>1759.88</v>
      </c>
      <c r="R44" s="84">
        <f t="shared" si="31"/>
        <v>8581.0759999999991</v>
      </c>
      <c r="S44" s="96">
        <f t="shared" si="8"/>
        <v>3432.4304000000002</v>
      </c>
      <c r="T44" s="85">
        <f t="shared" si="14"/>
        <v>6908.5255999999981</v>
      </c>
      <c r="U44" s="17">
        <f t="shared" si="32"/>
        <v>1759.88</v>
      </c>
      <c r="V44" s="31">
        <f t="shared" si="33"/>
        <v>3677.6039999999998</v>
      </c>
      <c r="W44" s="23">
        <f t="shared" si="34"/>
        <v>5437.4840000000004</v>
      </c>
      <c r="X44" s="99">
        <v>3519.76</v>
      </c>
    </row>
    <row r="45" spans="1:26" x14ac:dyDescent="0.25">
      <c r="A45" s="7">
        <v>39</v>
      </c>
      <c r="B45" s="38" t="s">
        <v>65</v>
      </c>
      <c r="C45" s="39">
        <v>45114</v>
      </c>
      <c r="D45" s="40">
        <f t="shared" si="18"/>
        <v>45114</v>
      </c>
      <c r="E45" s="32">
        <v>299</v>
      </c>
      <c r="F45" s="32">
        <v>400</v>
      </c>
      <c r="G45" s="41">
        <f t="shared" si="26"/>
        <v>0.74750000000000005</v>
      </c>
      <c r="H45" s="32">
        <f>14005-648</f>
        <v>13357</v>
      </c>
      <c r="I45" s="52">
        <f t="shared" si="19"/>
        <v>44.672240802675589</v>
      </c>
      <c r="J45" s="53">
        <v>3564.29</v>
      </c>
      <c r="K45" s="54">
        <f t="shared" si="20"/>
        <v>11.920702341137124</v>
      </c>
      <c r="L45" s="32">
        <v>4000</v>
      </c>
      <c r="M45" s="43">
        <f t="shared" si="30"/>
        <v>0.29946844351276486</v>
      </c>
      <c r="N45" s="15">
        <f t="shared" si="5"/>
        <v>2019.48</v>
      </c>
      <c r="O45" s="32">
        <f t="shared" si="4"/>
        <v>3564.29</v>
      </c>
      <c r="P45" s="29">
        <f t="shared" si="25"/>
        <v>5583.77</v>
      </c>
      <c r="Q45" s="86">
        <f t="shared" si="13"/>
        <v>1009.74</v>
      </c>
      <c r="R45" s="87">
        <f t="shared" si="31"/>
        <v>2495.0029999999997</v>
      </c>
      <c r="S45" s="95">
        <f t="shared" si="8"/>
        <v>998.00120000000004</v>
      </c>
      <c r="T45" s="82">
        <f t="shared" si="14"/>
        <v>2506.7417999999993</v>
      </c>
      <c r="U45" s="19">
        <f t="shared" si="32"/>
        <v>1009.74</v>
      </c>
      <c r="V45" s="55">
        <f t="shared" si="33"/>
        <v>1069.287</v>
      </c>
      <c r="W45" s="16">
        <f t="shared" si="34"/>
        <v>2079.027</v>
      </c>
      <c r="X45" s="99">
        <v>2019.48</v>
      </c>
    </row>
    <row r="46" spans="1:26" x14ac:dyDescent="0.25">
      <c r="A46" s="6">
        <v>40</v>
      </c>
      <c r="B46" s="44" t="s">
        <v>67</v>
      </c>
      <c r="C46" s="45">
        <v>45115</v>
      </c>
      <c r="D46" s="46">
        <f t="shared" si="18"/>
        <v>45115</v>
      </c>
      <c r="E46" s="31">
        <v>367</v>
      </c>
      <c r="F46" s="31">
        <v>400</v>
      </c>
      <c r="G46" s="47">
        <f t="shared" si="26"/>
        <v>0.91749999999999998</v>
      </c>
      <c r="H46" s="31">
        <f>11730.5-208</f>
        <v>11522.5</v>
      </c>
      <c r="I46" s="48">
        <f t="shared" si="19"/>
        <v>31.396457765667574</v>
      </c>
      <c r="J46" s="31">
        <v>6073.28</v>
      </c>
      <c r="K46" s="48">
        <f t="shared" si="20"/>
        <v>16.548446866485012</v>
      </c>
      <c r="L46" s="31">
        <f>4200+800</f>
        <v>5000</v>
      </c>
      <c r="M46" s="51">
        <f t="shared" si="30"/>
        <v>0.43393360815795184</v>
      </c>
      <c r="N46" s="76">
        <f t="shared" si="5"/>
        <v>-1466.19</v>
      </c>
      <c r="O46" s="64">
        <f t="shared" si="4"/>
        <v>6073.2799999999988</v>
      </c>
      <c r="P46" s="18">
        <f t="shared" si="25"/>
        <v>4607.0899999999983</v>
      </c>
      <c r="Q46" s="83">
        <f t="shared" si="13"/>
        <v>-733.09500000000003</v>
      </c>
      <c r="R46" s="84">
        <f t="shared" si="31"/>
        <v>4251.2959999999994</v>
      </c>
      <c r="S46" s="96">
        <f t="shared" si="8"/>
        <v>1700.5184000000002</v>
      </c>
      <c r="T46" s="85">
        <f t="shared" si="14"/>
        <v>1817.682599999999</v>
      </c>
      <c r="U46" s="17">
        <f t="shared" si="32"/>
        <v>-733.09500000000003</v>
      </c>
      <c r="V46" s="31">
        <f t="shared" si="33"/>
        <v>1821.9839999999999</v>
      </c>
      <c r="W46" s="23">
        <f t="shared" si="34"/>
        <v>1088.8889999999999</v>
      </c>
      <c r="X46" s="101">
        <v>-1466.19</v>
      </c>
    </row>
    <row r="47" spans="1:26" x14ac:dyDescent="0.25">
      <c r="A47" s="7">
        <v>41</v>
      </c>
      <c r="B47" s="38" t="s">
        <v>66</v>
      </c>
      <c r="C47" s="39">
        <v>45119</v>
      </c>
      <c r="D47" s="40">
        <f t="shared" si="18"/>
        <v>45119</v>
      </c>
      <c r="E47" s="32">
        <v>975</v>
      </c>
      <c r="F47" s="32">
        <v>1100</v>
      </c>
      <c r="G47" s="41">
        <f t="shared" si="26"/>
        <v>0.88636363636363635</v>
      </c>
      <c r="H47" s="32">
        <f>41846-1357</f>
        <v>40489</v>
      </c>
      <c r="I47" s="52">
        <f t="shared" si="19"/>
        <v>41.527179487179488</v>
      </c>
      <c r="J47" s="53">
        <v>13640.41</v>
      </c>
      <c r="K47" s="54">
        <f t="shared" si="20"/>
        <v>13.990164102564103</v>
      </c>
      <c r="L47" s="32">
        <f>1450+14176.29+1000+1000</f>
        <v>17626.29</v>
      </c>
      <c r="M47" s="43">
        <f t="shared" si="30"/>
        <v>0.43533527624786983</v>
      </c>
      <c r="N47" s="15">
        <f t="shared" si="5"/>
        <v>12952.53</v>
      </c>
      <c r="O47" s="32">
        <f t="shared" si="4"/>
        <v>13640.409999999998</v>
      </c>
      <c r="P47" s="29">
        <f t="shared" si="25"/>
        <v>26592.94</v>
      </c>
      <c r="Q47" s="86">
        <f t="shared" si="13"/>
        <v>6476.2650000000003</v>
      </c>
      <c r="R47" s="87">
        <f t="shared" si="31"/>
        <v>9548.2869999999984</v>
      </c>
      <c r="S47" s="95">
        <f t="shared" si="8"/>
        <v>3819.3148000000001</v>
      </c>
      <c r="T47" s="82">
        <f t="shared" si="14"/>
        <v>12205.2372</v>
      </c>
      <c r="U47" s="19">
        <f t="shared" si="32"/>
        <v>6476.2650000000003</v>
      </c>
      <c r="V47" s="55">
        <f t="shared" si="33"/>
        <v>4092.1229999999996</v>
      </c>
      <c r="W47" s="16">
        <f t="shared" si="34"/>
        <v>10568.387999999999</v>
      </c>
      <c r="X47" s="99">
        <v>12952.53</v>
      </c>
    </row>
    <row r="48" spans="1:26" x14ac:dyDescent="0.25">
      <c r="A48" s="6">
        <v>42</v>
      </c>
      <c r="B48" s="44" t="s">
        <v>68</v>
      </c>
      <c r="C48" s="45">
        <v>45121</v>
      </c>
      <c r="D48" s="46">
        <f t="shared" si="18"/>
        <v>45121</v>
      </c>
      <c r="E48" s="31">
        <v>801</v>
      </c>
      <c r="F48" s="31">
        <v>1100</v>
      </c>
      <c r="G48" s="47">
        <f t="shared" si="26"/>
        <v>0.72818181818181815</v>
      </c>
      <c r="H48" s="31">
        <f>48416.33-3278.15</f>
        <v>45138.18</v>
      </c>
      <c r="I48" s="48">
        <f t="shared" si="19"/>
        <v>56.352284644194754</v>
      </c>
      <c r="J48" s="31">
        <v>13807.6</v>
      </c>
      <c r="K48" s="48">
        <f t="shared" si="20"/>
        <v>17.237952559300876</v>
      </c>
      <c r="L48" s="31">
        <f>32500+7500+2500</f>
        <v>42500</v>
      </c>
      <c r="M48" s="51">
        <f t="shared" si="30"/>
        <v>0.94155324827008979</v>
      </c>
      <c r="N48" s="76">
        <f t="shared" si="5"/>
        <v>-6774.02</v>
      </c>
      <c r="O48" s="64">
        <f t="shared" si="4"/>
        <v>13807.599999999999</v>
      </c>
      <c r="P48" s="18">
        <f t="shared" si="25"/>
        <v>7033.5799999999981</v>
      </c>
      <c r="Q48" s="83">
        <f t="shared" si="13"/>
        <v>-3387.01</v>
      </c>
      <c r="R48" s="84">
        <f t="shared" si="31"/>
        <v>9665.32</v>
      </c>
      <c r="S48" s="96">
        <f t="shared" si="8"/>
        <v>3866.1280000000006</v>
      </c>
      <c r="T48" s="85">
        <f t="shared" si="14"/>
        <v>2412.1819999999989</v>
      </c>
      <c r="U48" s="17">
        <f>Q48</f>
        <v>-3387.01</v>
      </c>
      <c r="V48" s="31">
        <f t="shared" si="33"/>
        <v>4142.28</v>
      </c>
      <c r="W48" s="23">
        <f t="shared" si="34"/>
        <v>755.26999999999953</v>
      </c>
      <c r="X48" s="101">
        <v>-6774.02</v>
      </c>
    </row>
    <row r="49" spans="1:24" x14ac:dyDescent="0.25">
      <c r="A49" s="7">
        <v>43</v>
      </c>
      <c r="B49" s="38" t="s">
        <v>69</v>
      </c>
      <c r="C49" s="39">
        <v>45129</v>
      </c>
      <c r="D49" s="40">
        <v>193</v>
      </c>
      <c r="E49" s="32">
        <v>210</v>
      </c>
      <c r="F49" s="32">
        <v>400</v>
      </c>
      <c r="G49" s="41">
        <f t="shared" si="26"/>
        <v>0.52500000000000002</v>
      </c>
      <c r="H49" s="32">
        <v>7084.5</v>
      </c>
      <c r="I49" s="52">
        <f t="shared" si="19"/>
        <v>33.735714285714288</v>
      </c>
      <c r="J49" s="53">
        <v>2049.48</v>
      </c>
      <c r="K49" s="54">
        <f t="shared" si="20"/>
        <v>9.7594285714285718</v>
      </c>
      <c r="L49" s="32">
        <f>2727.13+150</f>
        <v>2877.13</v>
      </c>
      <c r="M49" s="43">
        <f t="shared" si="30"/>
        <v>0.40611616910155973</v>
      </c>
      <c r="N49" s="15">
        <f t="shared" si="5"/>
        <v>-1450.61</v>
      </c>
      <c r="O49" s="32">
        <f t="shared" si="4"/>
        <v>2049.48</v>
      </c>
      <c r="P49" s="29">
        <f t="shared" si="25"/>
        <v>598.87000000000012</v>
      </c>
      <c r="Q49" s="86">
        <f t="shared" si="13"/>
        <v>-725.30499999999995</v>
      </c>
      <c r="R49" s="87">
        <f t="shared" si="31"/>
        <v>1434.636</v>
      </c>
      <c r="S49" s="95">
        <f t="shared" si="8"/>
        <v>573.85440000000006</v>
      </c>
      <c r="T49" s="82">
        <f t="shared" si="14"/>
        <v>135.47659999999996</v>
      </c>
      <c r="U49" s="19">
        <f>Q49</f>
        <v>-725.30499999999995</v>
      </c>
      <c r="V49" s="55">
        <f t="shared" si="33"/>
        <v>614.84399999999994</v>
      </c>
      <c r="W49" s="16">
        <f t="shared" si="34"/>
        <v>-110.46100000000001</v>
      </c>
      <c r="X49" s="101">
        <v>-1450.61</v>
      </c>
    </row>
    <row r="50" spans="1:24" x14ac:dyDescent="0.25">
      <c r="A50" s="6">
        <v>44</v>
      </c>
      <c r="B50" s="44" t="s">
        <v>70</v>
      </c>
      <c r="C50" s="45">
        <v>45133</v>
      </c>
      <c r="D50" s="46">
        <f t="shared" si="18"/>
        <v>45133</v>
      </c>
      <c r="E50" s="103">
        <v>1101</v>
      </c>
      <c r="F50" s="31">
        <v>1100</v>
      </c>
      <c r="G50" s="47">
        <f t="shared" si="26"/>
        <v>1.000909090909091</v>
      </c>
      <c r="H50" s="31">
        <f>50553.4-2634</f>
        <v>47919.4</v>
      </c>
      <c r="I50" s="48">
        <f t="shared" si="19"/>
        <v>43.523524069028156</v>
      </c>
      <c r="J50" s="31">
        <v>4493.05</v>
      </c>
      <c r="K50" s="48">
        <f t="shared" si="20"/>
        <v>4.0808810172570391</v>
      </c>
      <c r="L50" s="31">
        <f>15500+2404.86+500</f>
        <v>18404.86</v>
      </c>
      <c r="M50" s="51">
        <f t="shared" si="30"/>
        <v>0.38407951685538633</v>
      </c>
      <c r="N50" s="76">
        <f t="shared" si="5"/>
        <v>16069.29</v>
      </c>
      <c r="O50" s="64">
        <f t="shared" si="4"/>
        <v>4493.0499999999993</v>
      </c>
      <c r="P50" s="18">
        <f t="shared" si="25"/>
        <v>20562.34</v>
      </c>
      <c r="Q50" s="83">
        <f t="shared" si="13"/>
        <v>8034.6450000000004</v>
      </c>
      <c r="R50" s="84">
        <f t="shared" ref="R50:R58" si="35">J50*70%</f>
        <v>3145.1349999999998</v>
      </c>
      <c r="S50" s="96">
        <f t="shared" si="8"/>
        <v>1258.0540000000001</v>
      </c>
      <c r="T50" s="85">
        <f t="shared" si="14"/>
        <v>9921.7260000000006</v>
      </c>
      <c r="U50" s="17">
        <f t="shared" ref="U50:U58" si="36">Q50</f>
        <v>8034.6450000000004</v>
      </c>
      <c r="V50" s="31">
        <f t="shared" ref="V50:V58" si="37">J50*30%</f>
        <v>1347.915</v>
      </c>
      <c r="W50" s="23">
        <f t="shared" ref="W50:W58" si="38">U50+V50</f>
        <v>9382.5600000000013</v>
      </c>
      <c r="X50" s="99">
        <v>16069.29</v>
      </c>
    </row>
    <row r="51" spans="1:24" x14ac:dyDescent="0.25">
      <c r="A51" s="7">
        <v>45</v>
      </c>
      <c r="B51" s="38" t="s">
        <v>71</v>
      </c>
      <c r="C51" s="39">
        <v>45141</v>
      </c>
      <c r="D51" s="40">
        <f t="shared" si="18"/>
        <v>45141</v>
      </c>
      <c r="E51" s="103">
        <v>1100</v>
      </c>
      <c r="F51" s="32">
        <v>1100</v>
      </c>
      <c r="G51" s="41">
        <f t="shared" si="26"/>
        <v>1</v>
      </c>
      <c r="H51" s="32">
        <f>45200-1800</f>
        <v>43400</v>
      </c>
      <c r="I51" s="52">
        <f t="shared" si="19"/>
        <v>39.454545454545453</v>
      </c>
      <c r="J51" s="53">
        <v>15236.56</v>
      </c>
      <c r="K51" s="54">
        <f t="shared" si="20"/>
        <v>13.851418181818181</v>
      </c>
      <c r="L51" s="32">
        <f>15000+496.04+500</f>
        <v>15996.04</v>
      </c>
      <c r="M51" s="43">
        <f t="shared" si="30"/>
        <v>0.36857235023041479</v>
      </c>
      <c r="N51" s="15">
        <f t="shared" si="5"/>
        <v>15196.99</v>
      </c>
      <c r="O51" s="32">
        <f t="shared" si="4"/>
        <v>15236.559999999998</v>
      </c>
      <c r="P51" s="29">
        <f t="shared" si="25"/>
        <v>30433.549999999996</v>
      </c>
      <c r="Q51" s="86">
        <f t="shared" si="13"/>
        <v>7598.4949999999999</v>
      </c>
      <c r="R51" s="87">
        <f t="shared" si="35"/>
        <v>10665.591999999999</v>
      </c>
      <c r="S51" s="95">
        <f t="shared" si="8"/>
        <v>4266.2368000000006</v>
      </c>
      <c r="T51" s="82">
        <f t="shared" si="14"/>
        <v>13997.850199999999</v>
      </c>
      <c r="U51" s="19">
        <f t="shared" si="36"/>
        <v>7598.4949999999999</v>
      </c>
      <c r="V51" s="55">
        <f t="shared" si="37"/>
        <v>4570.9679999999998</v>
      </c>
      <c r="W51" s="16">
        <f t="shared" si="38"/>
        <v>12169.463</v>
      </c>
      <c r="X51" s="99">
        <v>15196.99</v>
      </c>
    </row>
    <row r="52" spans="1:24" x14ac:dyDescent="0.25">
      <c r="A52" s="6">
        <v>46</v>
      </c>
      <c r="B52" s="44" t="s">
        <v>72</v>
      </c>
      <c r="C52" s="45">
        <v>45149</v>
      </c>
      <c r="D52" s="46">
        <f t="shared" si="18"/>
        <v>45149</v>
      </c>
      <c r="E52" s="103">
        <v>1100</v>
      </c>
      <c r="F52" s="31">
        <v>1100</v>
      </c>
      <c r="G52" s="47">
        <f t="shared" si="26"/>
        <v>1</v>
      </c>
      <c r="H52" s="31">
        <f>22493-1153</f>
        <v>21340</v>
      </c>
      <c r="I52" s="48">
        <f t="shared" si="19"/>
        <v>19.399999999999999</v>
      </c>
      <c r="J52" s="31">
        <v>10612.27</v>
      </c>
      <c r="K52" s="48">
        <f t="shared" si="20"/>
        <v>9.6475181818181817</v>
      </c>
      <c r="L52" s="31">
        <f>17647.84+500</f>
        <v>18147.84</v>
      </c>
      <c r="M52" s="51">
        <f t="shared" si="30"/>
        <v>0.85041424554826617</v>
      </c>
      <c r="N52" s="76">
        <f t="shared" si="5"/>
        <v>16388.02</v>
      </c>
      <c r="O52" s="64">
        <f t="shared" si="4"/>
        <v>10612.27</v>
      </c>
      <c r="P52" s="18">
        <f t="shared" si="25"/>
        <v>27000.29</v>
      </c>
      <c r="Q52" s="83">
        <f t="shared" si="13"/>
        <v>8194.01</v>
      </c>
      <c r="R52" s="84">
        <f t="shared" si="35"/>
        <v>7428.5889999999999</v>
      </c>
      <c r="S52" s="96">
        <f t="shared" si="8"/>
        <v>2971.4356000000002</v>
      </c>
      <c r="T52" s="85">
        <f t="shared" si="14"/>
        <v>12651.163399999999</v>
      </c>
      <c r="U52" s="17">
        <f t="shared" si="36"/>
        <v>8194.01</v>
      </c>
      <c r="V52" s="31">
        <f t="shared" si="37"/>
        <v>3183.681</v>
      </c>
      <c r="W52" s="23">
        <f t="shared" si="38"/>
        <v>11377.691000000001</v>
      </c>
      <c r="X52" s="99">
        <v>16388.02</v>
      </c>
    </row>
    <row r="53" spans="1:24" x14ac:dyDescent="0.25">
      <c r="A53" s="7">
        <v>47</v>
      </c>
      <c r="B53" s="38" t="s">
        <v>73</v>
      </c>
      <c r="C53" s="39">
        <v>45157</v>
      </c>
      <c r="D53" s="40">
        <f t="shared" si="18"/>
        <v>45157</v>
      </c>
      <c r="E53" s="32">
        <v>573</v>
      </c>
      <c r="F53" s="32">
        <v>1100</v>
      </c>
      <c r="G53" s="41">
        <f t="shared" si="26"/>
        <v>0.52090909090909088</v>
      </c>
      <c r="H53" s="32">
        <f>22137.69-2053.69</f>
        <v>20084</v>
      </c>
      <c r="I53" s="52">
        <f t="shared" si="19"/>
        <v>35.05061082024433</v>
      </c>
      <c r="J53" s="53">
        <v>3252.1</v>
      </c>
      <c r="K53" s="54">
        <f t="shared" si="20"/>
        <v>5.6755671902268761</v>
      </c>
      <c r="L53" s="32">
        <f>11350+1500+150</f>
        <v>13000</v>
      </c>
      <c r="M53" s="43">
        <f t="shared" si="30"/>
        <v>0.64728141804421435</v>
      </c>
      <c r="N53" s="15">
        <f t="shared" si="5"/>
        <v>967.66</v>
      </c>
      <c r="O53" s="32">
        <f t="shared" si="4"/>
        <v>3252.0999999999995</v>
      </c>
      <c r="P53" s="29">
        <f t="shared" si="25"/>
        <v>4219.7599999999993</v>
      </c>
      <c r="Q53" s="86">
        <f t="shared" si="13"/>
        <v>483.83</v>
      </c>
      <c r="R53" s="87">
        <f t="shared" si="35"/>
        <v>2276.4699999999998</v>
      </c>
      <c r="S53" s="95">
        <f t="shared" si="8"/>
        <v>910.58800000000008</v>
      </c>
      <c r="T53" s="82">
        <f t="shared" si="14"/>
        <v>1849.7119999999995</v>
      </c>
      <c r="U53" s="19">
        <f t="shared" si="36"/>
        <v>483.83</v>
      </c>
      <c r="V53" s="55">
        <f t="shared" si="37"/>
        <v>975.62999999999988</v>
      </c>
      <c r="W53" s="16">
        <f t="shared" si="38"/>
        <v>1459.4599999999998</v>
      </c>
      <c r="X53" s="99">
        <v>967.66</v>
      </c>
    </row>
    <row r="54" spans="1:24" x14ac:dyDescent="0.25">
      <c r="A54" s="6">
        <v>48</v>
      </c>
      <c r="B54" s="44" t="s">
        <v>74</v>
      </c>
      <c r="C54" s="45">
        <v>45158</v>
      </c>
      <c r="D54" s="46">
        <f t="shared" si="18"/>
        <v>45158</v>
      </c>
      <c r="E54" s="31">
        <v>724</v>
      </c>
      <c r="F54" s="31">
        <v>1100</v>
      </c>
      <c r="G54" s="47">
        <f t="shared" si="26"/>
        <v>0.6581818181818182</v>
      </c>
      <c r="H54" s="31">
        <f>32494.32-994.32</f>
        <v>31500</v>
      </c>
      <c r="I54" s="48">
        <f t="shared" si="19"/>
        <v>43.508287292817677</v>
      </c>
      <c r="J54" s="31">
        <v>10000.82</v>
      </c>
      <c r="K54" s="48">
        <f t="shared" si="20"/>
        <v>13.813287292817678</v>
      </c>
      <c r="L54" s="31">
        <f>20000+1500</f>
        <v>21500</v>
      </c>
      <c r="M54" s="51">
        <f t="shared" si="30"/>
        <v>0.68253968253968256</v>
      </c>
      <c r="N54" s="76">
        <f t="shared" si="5"/>
        <v>382.68</v>
      </c>
      <c r="O54" s="64">
        <f t="shared" si="4"/>
        <v>10000.82</v>
      </c>
      <c r="P54" s="18">
        <f t="shared" si="25"/>
        <v>10383.5</v>
      </c>
      <c r="Q54" s="83">
        <f t="shared" si="13"/>
        <v>191.34</v>
      </c>
      <c r="R54" s="84">
        <f t="shared" si="35"/>
        <v>7000.5739999999996</v>
      </c>
      <c r="S54" s="96">
        <f t="shared" si="8"/>
        <v>2800.2296000000001</v>
      </c>
      <c r="T54" s="85">
        <f t="shared" si="14"/>
        <v>4391.6844000000001</v>
      </c>
      <c r="U54" s="17">
        <f t="shared" si="36"/>
        <v>191.34</v>
      </c>
      <c r="V54" s="31">
        <f t="shared" si="37"/>
        <v>3000.2459999999996</v>
      </c>
      <c r="W54" s="23">
        <f t="shared" si="38"/>
        <v>3191.5859999999998</v>
      </c>
      <c r="X54" s="99">
        <v>382.68</v>
      </c>
    </row>
    <row r="55" spans="1:24" x14ac:dyDescent="0.25">
      <c r="A55" s="7">
        <v>49</v>
      </c>
      <c r="B55" s="38" t="s">
        <v>75</v>
      </c>
      <c r="C55" s="39">
        <v>45165</v>
      </c>
      <c r="D55" s="40">
        <f t="shared" si="18"/>
        <v>45165</v>
      </c>
      <c r="E55" s="103">
        <v>1100</v>
      </c>
      <c r="F55" s="32">
        <v>1100</v>
      </c>
      <c r="G55" s="41">
        <f t="shared" si="26"/>
        <v>1</v>
      </c>
      <c r="H55" s="32">
        <f>73155-3435</f>
        <v>69720</v>
      </c>
      <c r="I55" s="52">
        <f t="shared" si="19"/>
        <v>63.381818181818183</v>
      </c>
      <c r="J55" s="53">
        <v>5914.5</v>
      </c>
      <c r="K55" s="54">
        <f t="shared" si="20"/>
        <v>5.3768181818181819</v>
      </c>
      <c r="L55" s="32">
        <v>20000</v>
      </c>
      <c r="M55" s="43">
        <f t="shared" si="30"/>
        <v>0.2868617326448652</v>
      </c>
      <c r="N55" s="15">
        <f t="shared" si="5"/>
        <v>17752.28</v>
      </c>
      <c r="O55" s="32">
        <f t="shared" si="4"/>
        <v>5914.5</v>
      </c>
      <c r="P55" s="29">
        <f t="shared" si="25"/>
        <v>23666.78</v>
      </c>
      <c r="Q55" s="86">
        <f t="shared" si="13"/>
        <v>8876.14</v>
      </c>
      <c r="R55" s="87">
        <f t="shared" si="35"/>
        <v>4140.1499999999996</v>
      </c>
      <c r="S55" s="95">
        <f t="shared" si="8"/>
        <v>1656.0600000000002</v>
      </c>
      <c r="T55" s="82">
        <f t="shared" si="14"/>
        <v>11360.23</v>
      </c>
      <c r="U55" s="19">
        <f t="shared" si="36"/>
        <v>8876.14</v>
      </c>
      <c r="V55" s="55">
        <f t="shared" si="37"/>
        <v>1774.35</v>
      </c>
      <c r="W55" s="16">
        <f t="shared" si="38"/>
        <v>10650.49</v>
      </c>
      <c r="X55" s="99">
        <v>17752.28</v>
      </c>
    </row>
    <row r="56" spans="1:24" x14ac:dyDescent="0.25">
      <c r="A56" s="6">
        <v>50</v>
      </c>
      <c r="B56" s="44" t="s">
        <v>77</v>
      </c>
      <c r="C56" s="45">
        <v>45183</v>
      </c>
      <c r="D56" s="46">
        <f t="shared" si="18"/>
        <v>45183</v>
      </c>
      <c r="E56" s="31">
        <v>837</v>
      </c>
      <c r="F56" s="31">
        <v>1100</v>
      </c>
      <c r="G56" s="47">
        <f t="shared" si="26"/>
        <v>0.76090909090909087</v>
      </c>
      <c r="H56" s="31">
        <v>29364.5</v>
      </c>
      <c r="I56" s="48">
        <f t="shared" si="19"/>
        <v>35.083034647550775</v>
      </c>
      <c r="J56" s="31">
        <v>10104.200000000001</v>
      </c>
      <c r="K56" s="48">
        <f t="shared" si="20"/>
        <v>12.071923536439666</v>
      </c>
      <c r="L56" s="31">
        <v>15500</v>
      </c>
      <c r="M56" s="51">
        <f t="shared" si="30"/>
        <v>0.52784825214119091</v>
      </c>
      <c r="N56" s="76">
        <f t="shared" si="5"/>
        <v>6134.19</v>
      </c>
      <c r="O56" s="64">
        <f t="shared" si="4"/>
        <v>10104.200000000001</v>
      </c>
      <c r="P56" s="18">
        <f t="shared" si="25"/>
        <v>16238.39</v>
      </c>
      <c r="Q56" s="83">
        <f t="shared" si="13"/>
        <v>3067.0949999999998</v>
      </c>
      <c r="R56" s="84">
        <f t="shared" si="35"/>
        <v>7072.9400000000005</v>
      </c>
      <c r="S56" s="96">
        <f t="shared" si="8"/>
        <v>2829.1760000000004</v>
      </c>
      <c r="T56" s="85">
        <f t="shared" si="14"/>
        <v>7310.8589999999995</v>
      </c>
      <c r="U56" s="17">
        <f t="shared" si="36"/>
        <v>3067.0949999999998</v>
      </c>
      <c r="V56" s="31">
        <f t="shared" si="37"/>
        <v>3031.26</v>
      </c>
      <c r="W56" s="23">
        <f t="shared" si="38"/>
        <v>6098.3549999999996</v>
      </c>
      <c r="X56" s="99">
        <v>6134.19</v>
      </c>
    </row>
    <row r="57" spans="1:24" x14ac:dyDescent="0.25">
      <c r="A57" s="7">
        <v>51</v>
      </c>
      <c r="B57" s="38" t="s">
        <v>78</v>
      </c>
      <c r="C57" s="39">
        <v>45185</v>
      </c>
      <c r="D57" s="40">
        <f t="shared" si="18"/>
        <v>45185</v>
      </c>
      <c r="E57" s="32">
        <v>469</v>
      </c>
      <c r="F57" s="32">
        <v>1100</v>
      </c>
      <c r="G57" s="41">
        <f t="shared" si="26"/>
        <v>0.42636363636363639</v>
      </c>
      <c r="H57" s="32">
        <v>23162</v>
      </c>
      <c r="I57" s="52">
        <f t="shared" si="19"/>
        <v>49.385927505330493</v>
      </c>
      <c r="J57" s="53">
        <v>4904.49</v>
      </c>
      <c r="K57" s="54">
        <f t="shared" si="20"/>
        <v>10.45733475479744</v>
      </c>
      <c r="L57" s="32">
        <v>13000</v>
      </c>
      <c r="M57" s="43">
        <f t="shared" si="30"/>
        <v>0.56126413953889998</v>
      </c>
      <c r="N57" s="15">
        <f t="shared" si="5"/>
        <v>2876.09</v>
      </c>
      <c r="O57" s="32">
        <f t="shared" si="4"/>
        <v>4904.49</v>
      </c>
      <c r="P57" s="29">
        <f t="shared" si="25"/>
        <v>7780.58</v>
      </c>
      <c r="Q57" s="86">
        <f t="shared" si="13"/>
        <v>1438.0450000000001</v>
      </c>
      <c r="R57" s="87">
        <f t="shared" si="35"/>
        <v>3433.1429999999996</v>
      </c>
      <c r="S57" s="95">
        <f t="shared" si="8"/>
        <v>1373.2572</v>
      </c>
      <c r="T57" s="82">
        <f t="shared" si="14"/>
        <v>3497.9308000000001</v>
      </c>
      <c r="U57" s="19">
        <f t="shared" si="36"/>
        <v>1438.0450000000001</v>
      </c>
      <c r="V57" s="55">
        <f t="shared" si="37"/>
        <v>1471.347</v>
      </c>
      <c r="W57" s="16">
        <f t="shared" si="38"/>
        <v>2909.3919999999998</v>
      </c>
      <c r="X57" s="99">
        <v>2876.09</v>
      </c>
    </row>
    <row r="58" spans="1:24" x14ac:dyDescent="0.25">
      <c r="A58" s="6">
        <v>52</v>
      </c>
      <c r="B58" s="44" t="s">
        <v>79</v>
      </c>
      <c r="C58" s="45">
        <v>45189</v>
      </c>
      <c r="D58" s="46">
        <f t="shared" si="18"/>
        <v>45189</v>
      </c>
      <c r="E58" s="64">
        <v>782</v>
      </c>
      <c r="F58" s="64">
        <v>1100</v>
      </c>
      <c r="G58" s="65">
        <f t="shared" si="26"/>
        <v>0.71090909090909093</v>
      </c>
      <c r="H58" s="64">
        <v>43554.5</v>
      </c>
      <c r="I58" s="66">
        <f t="shared" si="19"/>
        <v>55.696291560102303</v>
      </c>
      <c r="J58" s="64">
        <v>10575.07</v>
      </c>
      <c r="K58" s="50">
        <f t="shared" si="20"/>
        <v>13.523107416879794</v>
      </c>
      <c r="L58" s="64">
        <v>26500</v>
      </c>
      <c r="M58" s="70">
        <f t="shared" si="30"/>
        <v>0.60843311253716603</v>
      </c>
      <c r="N58" s="76">
        <f t="shared" si="5"/>
        <v>1789.26</v>
      </c>
      <c r="O58" s="64">
        <f t="shared" si="4"/>
        <v>10575.07</v>
      </c>
      <c r="P58" s="18">
        <f t="shared" si="25"/>
        <v>12364.33</v>
      </c>
      <c r="Q58" s="83">
        <f t="shared" si="13"/>
        <v>894.63</v>
      </c>
      <c r="R58" s="88">
        <f t="shared" si="35"/>
        <v>7402.5489999999991</v>
      </c>
      <c r="S58" s="96">
        <f t="shared" si="8"/>
        <v>2961.0196000000001</v>
      </c>
      <c r="T58" s="85">
        <f t="shared" si="14"/>
        <v>5336.1593999999986</v>
      </c>
      <c r="U58" s="69">
        <f t="shared" si="36"/>
        <v>894.63</v>
      </c>
      <c r="V58" s="68">
        <f t="shared" si="37"/>
        <v>3172.5209999999997</v>
      </c>
      <c r="W58" s="67">
        <f t="shared" si="38"/>
        <v>4067.1509999999998</v>
      </c>
      <c r="X58" s="99">
        <v>1789.26</v>
      </c>
    </row>
    <row r="59" spans="1:24" x14ac:dyDescent="0.25">
      <c r="A59" s="7">
        <v>53</v>
      </c>
      <c r="B59" s="38" t="s">
        <v>80</v>
      </c>
      <c r="C59" s="39">
        <v>45193</v>
      </c>
      <c r="D59" s="40">
        <f t="shared" si="18"/>
        <v>45193</v>
      </c>
      <c r="E59" s="103">
        <v>1101</v>
      </c>
      <c r="F59" s="32">
        <v>1100</v>
      </c>
      <c r="G59" s="41">
        <f t="shared" si="26"/>
        <v>1.000909090909091</v>
      </c>
      <c r="H59" s="32">
        <v>52793.09</v>
      </c>
      <c r="I59" s="52">
        <f t="shared" si="19"/>
        <v>47.950127157129877</v>
      </c>
      <c r="J59" s="53">
        <v>10557.83</v>
      </c>
      <c r="K59" s="54">
        <f t="shared" si="20"/>
        <v>9.589309718437784</v>
      </c>
      <c r="L59" s="32">
        <v>23500</v>
      </c>
      <c r="M59" s="43">
        <f t="shared" si="30"/>
        <v>0.44513401280356957</v>
      </c>
      <c r="N59" s="15">
        <f t="shared" si="5"/>
        <v>10238.89</v>
      </c>
      <c r="O59" s="32">
        <f t="shared" si="4"/>
        <v>10557.83</v>
      </c>
      <c r="P59" s="29">
        <f t="shared" si="25"/>
        <v>20796.72</v>
      </c>
      <c r="Q59" s="86">
        <f t="shared" si="13"/>
        <v>5119.4449999999997</v>
      </c>
      <c r="R59" s="87">
        <f t="shared" ref="R59:R72" si="39">J59*70%</f>
        <v>7390.4809999999998</v>
      </c>
      <c r="S59" s="95">
        <f t="shared" si="8"/>
        <v>2956.1924000000004</v>
      </c>
      <c r="T59" s="82">
        <f t="shared" si="14"/>
        <v>9553.7335999999996</v>
      </c>
      <c r="U59" s="19">
        <f t="shared" ref="U59:U72" si="40">Q59</f>
        <v>5119.4449999999997</v>
      </c>
      <c r="V59" s="55">
        <f t="shared" ref="V59:V72" si="41">J59*30%</f>
        <v>3167.3489999999997</v>
      </c>
      <c r="W59" s="16">
        <f t="shared" ref="W59:W72" si="42">U59+V59</f>
        <v>8286.7939999999999</v>
      </c>
      <c r="X59" s="99">
        <v>10238.89</v>
      </c>
    </row>
    <row r="60" spans="1:24" x14ac:dyDescent="0.25">
      <c r="A60" s="6">
        <v>54</v>
      </c>
      <c r="B60" s="44" t="s">
        <v>81</v>
      </c>
      <c r="C60" s="45">
        <v>45196</v>
      </c>
      <c r="D60" s="46">
        <f t="shared" si="18"/>
        <v>45196</v>
      </c>
      <c r="E60" s="103">
        <v>1105</v>
      </c>
      <c r="F60" s="31">
        <v>1100</v>
      </c>
      <c r="G60" s="47">
        <f t="shared" si="26"/>
        <v>1.0045454545454546</v>
      </c>
      <c r="H60" s="31">
        <v>42666</v>
      </c>
      <c r="I60" s="48">
        <f t="shared" si="19"/>
        <v>38.611764705882351</v>
      </c>
      <c r="J60" s="31">
        <v>8874.24</v>
      </c>
      <c r="K60" s="48">
        <f t="shared" si="20"/>
        <v>8.0309864253393659</v>
      </c>
      <c r="L60" s="31">
        <v>17768.59</v>
      </c>
      <c r="M60" s="51">
        <f t="shared" si="30"/>
        <v>0.41645783527867625</v>
      </c>
      <c r="N60" s="76">
        <f t="shared" si="5"/>
        <v>16706.91</v>
      </c>
      <c r="O60" s="64">
        <f t="shared" si="4"/>
        <v>8874.24</v>
      </c>
      <c r="P60" s="18">
        <f t="shared" si="25"/>
        <v>25581.15</v>
      </c>
      <c r="Q60" s="83">
        <f t="shared" si="13"/>
        <v>8353.4549999999999</v>
      </c>
      <c r="R60" s="84">
        <f t="shared" si="39"/>
        <v>6211.9679999999998</v>
      </c>
      <c r="S60" s="96">
        <f t="shared" si="8"/>
        <v>2484.7872000000002</v>
      </c>
      <c r="T60" s="85">
        <f t="shared" si="14"/>
        <v>12080.635799999998</v>
      </c>
      <c r="U60" s="17">
        <f t="shared" si="40"/>
        <v>8353.4549999999999</v>
      </c>
      <c r="V60" s="31">
        <f t="shared" si="41"/>
        <v>2662.2719999999999</v>
      </c>
      <c r="W60" s="23">
        <f t="shared" si="42"/>
        <v>11015.726999999999</v>
      </c>
      <c r="X60" s="99">
        <v>16706.91</v>
      </c>
    </row>
    <row r="61" spans="1:24" x14ac:dyDescent="0.25">
      <c r="A61" s="7">
        <f>A60+1</f>
        <v>55</v>
      </c>
      <c r="B61" s="38" t="s">
        <v>82</v>
      </c>
      <c r="C61" s="39">
        <v>45201</v>
      </c>
      <c r="D61" s="40">
        <f t="shared" si="18"/>
        <v>45201</v>
      </c>
      <c r="E61" s="32">
        <v>749</v>
      </c>
      <c r="F61" s="32">
        <v>1100</v>
      </c>
      <c r="G61" s="41">
        <f t="shared" si="26"/>
        <v>0.68090909090909091</v>
      </c>
      <c r="H61" s="32">
        <v>28445</v>
      </c>
      <c r="I61" s="52">
        <f t="shared" si="19"/>
        <v>37.977303070761018</v>
      </c>
      <c r="J61" s="53">
        <v>8745.91</v>
      </c>
      <c r="K61" s="54">
        <f t="shared" si="20"/>
        <v>11.676782376502002</v>
      </c>
      <c r="L61" s="32">
        <v>21500</v>
      </c>
      <c r="M61" s="43">
        <f t="shared" si="30"/>
        <v>0.75584461240991385</v>
      </c>
      <c r="N61" s="15">
        <f t="shared" si="5"/>
        <v>-1898.84</v>
      </c>
      <c r="O61" s="32">
        <f t="shared" si="4"/>
        <v>8745.91</v>
      </c>
      <c r="P61" s="29">
        <f t="shared" si="25"/>
        <v>6847.07</v>
      </c>
      <c r="Q61" s="86">
        <f t="shared" si="13"/>
        <v>-949.42</v>
      </c>
      <c r="R61" s="87">
        <f t="shared" si="39"/>
        <v>6122.1369999999997</v>
      </c>
      <c r="S61" s="95">
        <f t="shared" si="8"/>
        <v>2448.8548000000001</v>
      </c>
      <c r="T61" s="82">
        <f t="shared" si="14"/>
        <v>2723.8621999999996</v>
      </c>
      <c r="U61" s="19">
        <f t="shared" si="40"/>
        <v>-949.42</v>
      </c>
      <c r="V61" s="55">
        <f t="shared" si="41"/>
        <v>2623.7729999999997</v>
      </c>
      <c r="W61" s="16">
        <f t="shared" si="42"/>
        <v>1674.3529999999996</v>
      </c>
      <c r="X61" s="102">
        <v>-1898.84</v>
      </c>
    </row>
    <row r="62" spans="1:24" x14ac:dyDescent="0.25">
      <c r="A62" s="6">
        <f t="shared" ref="A62:A86" si="43">A61+1</f>
        <v>56</v>
      </c>
      <c r="B62" s="44" t="s">
        <v>83</v>
      </c>
      <c r="C62" s="45">
        <v>45203</v>
      </c>
      <c r="D62" s="46">
        <f t="shared" si="18"/>
        <v>45203</v>
      </c>
      <c r="E62" s="31">
        <v>613</v>
      </c>
      <c r="F62" s="31">
        <v>1100</v>
      </c>
      <c r="G62" s="47">
        <f t="shared" si="26"/>
        <v>0.55727272727272725</v>
      </c>
      <c r="H62" s="31">
        <v>24441</v>
      </c>
      <c r="I62" s="48">
        <f t="shared" si="19"/>
        <v>39.871125611745512</v>
      </c>
      <c r="J62" s="31">
        <v>8464.77</v>
      </c>
      <c r="K62" s="48">
        <f t="shared" si="20"/>
        <v>13.808760195758564</v>
      </c>
      <c r="L62" s="31">
        <v>12500</v>
      </c>
      <c r="M62" s="51">
        <f t="shared" si="30"/>
        <v>0.51143570230350643</v>
      </c>
      <c r="N62" s="76">
        <f t="shared" si="5"/>
        <v>2967.26</v>
      </c>
      <c r="O62" s="64">
        <f t="shared" si="4"/>
        <v>8464.77</v>
      </c>
      <c r="P62" s="18">
        <f t="shared" si="25"/>
        <v>11432.03</v>
      </c>
      <c r="Q62" s="83">
        <f t="shared" si="13"/>
        <v>1483.63</v>
      </c>
      <c r="R62" s="84">
        <f t="shared" si="39"/>
        <v>5925.3389999999999</v>
      </c>
      <c r="S62" s="96">
        <f t="shared" si="8"/>
        <v>2370.1356000000005</v>
      </c>
      <c r="T62" s="85">
        <f t="shared" si="14"/>
        <v>5038.8333999999995</v>
      </c>
      <c r="U62" s="17">
        <f t="shared" si="40"/>
        <v>1483.63</v>
      </c>
      <c r="V62" s="31">
        <f t="shared" si="41"/>
        <v>2539.431</v>
      </c>
      <c r="W62" s="23">
        <f t="shared" si="42"/>
        <v>4023.0610000000001</v>
      </c>
      <c r="X62" s="99">
        <v>2967.26</v>
      </c>
    </row>
    <row r="63" spans="1:24" x14ac:dyDescent="0.25">
      <c r="A63" s="7">
        <f t="shared" si="43"/>
        <v>57</v>
      </c>
      <c r="B63" s="38" t="s">
        <v>84</v>
      </c>
      <c r="C63" s="39">
        <v>45205</v>
      </c>
      <c r="D63" s="40">
        <f t="shared" si="18"/>
        <v>45205</v>
      </c>
      <c r="E63" s="32">
        <v>755</v>
      </c>
      <c r="F63" s="32">
        <v>1100</v>
      </c>
      <c r="G63" s="41">
        <f t="shared" si="26"/>
        <v>0.6863636363636364</v>
      </c>
      <c r="H63" s="32">
        <v>27986.5</v>
      </c>
      <c r="I63" s="52">
        <f t="shared" si="19"/>
        <v>37.068211920529798</v>
      </c>
      <c r="J63" s="53">
        <v>11957.09</v>
      </c>
      <c r="K63" s="54">
        <f t="shared" si="20"/>
        <v>15.837205298013245</v>
      </c>
      <c r="L63" s="32">
        <v>10500</v>
      </c>
      <c r="M63" s="43">
        <f t="shared" si="30"/>
        <v>0.37518089078662925</v>
      </c>
      <c r="N63" s="15">
        <f t="shared" si="5"/>
        <v>8407.4</v>
      </c>
      <c r="O63" s="32">
        <f t="shared" si="4"/>
        <v>11957.09</v>
      </c>
      <c r="P63" s="29">
        <f t="shared" si="25"/>
        <v>20364.489999999998</v>
      </c>
      <c r="Q63" s="86">
        <f t="shared" si="13"/>
        <v>4203.7</v>
      </c>
      <c r="R63" s="87">
        <f t="shared" si="39"/>
        <v>8369.9629999999997</v>
      </c>
      <c r="S63" s="95">
        <f t="shared" si="8"/>
        <v>3347.9852000000005</v>
      </c>
      <c r="T63" s="82">
        <f t="shared" si="14"/>
        <v>9225.6777999999995</v>
      </c>
      <c r="U63" s="19">
        <f t="shared" si="40"/>
        <v>4203.7</v>
      </c>
      <c r="V63" s="55">
        <f t="shared" si="41"/>
        <v>3587.127</v>
      </c>
      <c r="W63" s="16">
        <f t="shared" si="42"/>
        <v>7790.8269999999993</v>
      </c>
      <c r="X63" s="99">
        <v>8407.4</v>
      </c>
    </row>
    <row r="64" spans="1:24" x14ac:dyDescent="0.25">
      <c r="A64" s="6">
        <f t="shared" si="43"/>
        <v>58</v>
      </c>
      <c r="B64" s="44" t="s">
        <v>85</v>
      </c>
      <c r="C64" s="45" t="s">
        <v>86</v>
      </c>
      <c r="D64" s="46" t="s">
        <v>87</v>
      </c>
      <c r="E64" s="31">
        <v>553</v>
      </c>
      <c r="F64" s="31">
        <v>800</v>
      </c>
      <c r="G64" s="47">
        <f t="shared" si="26"/>
        <v>0.69125000000000003</v>
      </c>
      <c r="H64" s="31">
        <v>36120.5</v>
      </c>
      <c r="I64" s="48">
        <f t="shared" si="19"/>
        <v>65.317359855334544</v>
      </c>
      <c r="J64" s="31">
        <v>5725.94</v>
      </c>
      <c r="K64" s="48">
        <f t="shared" si="20"/>
        <v>10.354321880650994</v>
      </c>
      <c r="L64" s="31">
        <v>14277.12</v>
      </c>
      <c r="M64" s="51">
        <f t="shared" si="30"/>
        <v>0.3952636314558215</v>
      </c>
      <c r="N64" s="76">
        <f t="shared" si="5"/>
        <v>9206.66</v>
      </c>
      <c r="O64" s="64">
        <f t="shared" si="4"/>
        <v>5725.94</v>
      </c>
      <c r="P64" s="18">
        <f t="shared" si="25"/>
        <v>14932.599999999999</v>
      </c>
      <c r="Q64" s="83">
        <f t="shared" si="13"/>
        <v>4603.33</v>
      </c>
      <c r="R64" s="84">
        <f t="shared" si="39"/>
        <v>4008.1579999999994</v>
      </c>
      <c r="S64" s="96">
        <f t="shared" si="8"/>
        <v>1603.2632000000001</v>
      </c>
      <c r="T64" s="85">
        <f t="shared" si="14"/>
        <v>7008.224799999999</v>
      </c>
      <c r="U64" s="17">
        <f t="shared" si="40"/>
        <v>4603.33</v>
      </c>
      <c r="V64" s="31">
        <f t="shared" si="41"/>
        <v>1717.7819999999999</v>
      </c>
      <c r="W64" s="23">
        <f t="shared" si="42"/>
        <v>6321.1120000000001</v>
      </c>
      <c r="X64" s="99">
        <v>9206.66</v>
      </c>
    </row>
    <row r="65" spans="1:24" x14ac:dyDescent="0.25">
      <c r="A65" s="7">
        <f t="shared" si="43"/>
        <v>59</v>
      </c>
      <c r="B65" s="38" t="s">
        <v>88</v>
      </c>
      <c r="C65" s="39">
        <v>45208</v>
      </c>
      <c r="D65" s="40">
        <f t="shared" si="18"/>
        <v>45208</v>
      </c>
      <c r="E65" s="32">
        <v>581</v>
      </c>
      <c r="F65" s="32">
        <v>1100</v>
      </c>
      <c r="G65" s="41">
        <f t="shared" si="26"/>
        <v>0.5281818181818182</v>
      </c>
      <c r="H65" s="32">
        <v>23169.16</v>
      </c>
      <c r="I65" s="52">
        <f t="shared" si="19"/>
        <v>39.878072289156627</v>
      </c>
      <c r="J65" s="53">
        <v>5345.44</v>
      </c>
      <c r="K65" s="54">
        <f t="shared" si="20"/>
        <v>9.2004130808950073</v>
      </c>
      <c r="L65" s="32">
        <v>15000</v>
      </c>
      <c r="M65" s="43">
        <f t="shared" si="30"/>
        <v>0.64741233605361614</v>
      </c>
      <c r="N65" s="15">
        <f t="shared" si="5"/>
        <v>-3714.27</v>
      </c>
      <c r="O65" s="32">
        <f t="shared" si="4"/>
        <v>5345.44</v>
      </c>
      <c r="P65" s="29">
        <f t="shared" si="25"/>
        <v>1631.1699999999996</v>
      </c>
      <c r="Q65" s="86">
        <f t="shared" si="13"/>
        <v>-1857.135</v>
      </c>
      <c r="R65" s="87">
        <f t="shared" si="39"/>
        <v>3741.8079999999995</v>
      </c>
      <c r="S65" s="95">
        <f t="shared" si="8"/>
        <v>1496.7232000000001</v>
      </c>
      <c r="T65" s="82">
        <f t="shared" si="14"/>
        <v>387.94979999999941</v>
      </c>
      <c r="U65" s="19">
        <f t="shared" si="40"/>
        <v>-1857.135</v>
      </c>
      <c r="V65" s="55">
        <f t="shared" si="41"/>
        <v>1603.6319999999998</v>
      </c>
      <c r="W65" s="16">
        <f t="shared" si="42"/>
        <v>-253.50300000000016</v>
      </c>
      <c r="X65" s="102">
        <v>-3714.27</v>
      </c>
    </row>
    <row r="66" spans="1:24" x14ac:dyDescent="0.25">
      <c r="A66" s="6">
        <f t="shared" si="43"/>
        <v>60</v>
      </c>
      <c r="B66" s="44" t="s">
        <v>92</v>
      </c>
      <c r="C66" s="45">
        <v>45216</v>
      </c>
      <c r="D66" s="46">
        <f t="shared" si="18"/>
        <v>45216</v>
      </c>
      <c r="E66" s="103">
        <v>1208</v>
      </c>
      <c r="F66" s="31">
        <v>1100</v>
      </c>
      <c r="G66" s="47">
        <f t="shared" si="26"/>
        <v>1.0981818181818181</v>
      </c>
      <c r="H66" s="31">
        <v>45832.95</v>
      </c>
      <c r="I66" s="48">
        <f t="shared" si="19"/>
        <v>37.941183774834435</v>
      </c>
      <c r="J66" s="31">
        <v>5742.72</v>
      </c>
      <c r="K66" s="48">
        <f t="shared" si="20"/>
        <v>4.7539072847682124</v>
      </c>
      <c r="L66" s="31">
        <v>22500</v>
      </c>
      <c r="M66" s="51">
        <f t="shared" si="30"/>
        <v>0.49091319672855449</v>
      </c>
      <c r="N66" s="76">
        <f t="shared" si="5"/>
        <v>15970.01</v>
      </c>
      <c r="O66" s="64">
        <f t="shared" si="4"/>
        <v>5742.72</v>
      </c>
      <c r="P66" s="18">
        <f t="shared" si="25"/>
        <v>21712.73</v>
      </c>
      <c r="Q66" s="83">
        <f t="shared" si="13"/>
        <v>7985.0050000000001</v>
      </c>
      <c r="R66" s="84">
        <f t="shared" si="39"/>
        <v>4019.904</v>
      </c>
      <c r="S66" s="96">
        <f t="shared" si="8"/>
        <v>1607.9616000000003</v>
      </c>
      <c r="T66" s="85">
        <f t="shared" si="14"/>
        <v>10396.947399999999</v>
      </c>
      <c r="U66" s="17">
        <f t="shared" si="40"/>
        <v>7985.0050000000001</v>
      </c>
      <c r="V66" s="31">
        <f t="shared" si="41"/>
        <v>1722.816</v>
      </c>
      <c r="W66" s="23">
        <f t="shared" si="42"/>
        <v>9707.8209999999999</v>
      </c>
      <c r="X66" s="99">
        <v>15970.01</v>
      </c>
    </row>
    <row r="67" spans="1:24" x14ac:dyDescent="0.25">
      <c r="A67" s="7">
        <f t="shared" si="43"/>
        <v>61</v>
      </c>
      <c r="B67" s="38" t="s">
        <v>89</v>
      </c>
      <c r="C67" s="39">
        <v>45218</v>
      </c>
      <c r="D67" s="40">
        <f t="shared" si="18"/>
        <v>45218</v>
      </c>
      <c r="E67" s="32">
        <v>174</v>
      </c>
      <c r="F67" s="32">
        <v>400</v>
      </c>
      <c r="G67" s="41">
        <f t="shared" si="26"/>
        <v>0.435</v>
      </c>
      <c r="H67" s="32">
        <v>6434</v>
      </c>
      <c r="I67" s="52">
        <f t="shared" si="19"/>
        <v>36.977011494252871</v>
      </c>
      <c r="J67" s="53">
        <v>1773.53</v>
      </c>
      <c r="K67" s="54">
        <f t="shared" si="20"/>
        <v>10.192701149425288</v>
      </c>
      <c r="L67" s="32">
        <v>3000</v>
      </c>
      <c r="M67" s="43">
        <f t="shared" si="30"/>
        <v>0.46627292508548335</v>
      </c>
      <c r="N67" s="15">
        <f t="shared" si="5"/>
        <v>-1899.29</v>
      </c>
      <c r="O67" s="32">
        <f t="shared" si="4"/>
        <v>1773.53</v>
      </c>
      <c r="P67" s="29">
        <f t="shared" si="25"/>
        <v>-125.75999999999999</v>
      </c>
      <c r="Q67" s="86">
        <f t="shared" si="13"/>
        <v>-949.64499999999998</v>
      </c>
      <c r="R67" s="87">
        <f t="shared" si="39"/>
        <v>1241.471</v>
      </c>
      <c r="S67" s="95">
        <f t="shared" si="8"/>
        <v>496.58840000000004</v>
      </c>
      <c r="T67" s="82">
        <f t="shared" si="14"/>
        <v>-204.76240000000001</v>
      </c>
      <c r="U67" s="19">
        <f t="shared" si="40"/>
        <v>-949.64499999999998</v>
      </c>
      <c r="V67" s="55">
        <f t="shared" si="41"/>
        <v>532.05899999999997</v>
      </c>
      <c r="W67" s="16">
        <f t="shared" si="42"/>
        <v>-417.58600000000001</v>
      </c>
      <c r="X67" s="102">
        <v>-1899.29</v>
      </c>
    </row>
    <row r="68" spans="1:24" x14ac:dyDescent="0.25">
      <c r="A68" s="6">
        <f t="shared" si="43"/>
        <v>62</v>
      </c>
      <c r="B68" s="44" t="s">
        <v>90</v>
      </c>
      <c r="C68" s="45">
        <v>45221</v>
      </c>
      <c r="D68" s="46">
        <f t="shared" si="18"/>
        <v>45221</v>
      </c>
      <c r="E68" s="31">
        <v>728</v>
      </c>
      <c r="F68" s="31">
        <v>1100</v>
      </c>
      <c r="G68" s="47">
        <f t="shared" si="26"/>
        <v>0.66181818181818186</v>
      </c>
      <c r="H68" s="31">
        <v>34126</v>
      </c>
      <c r="I68" s="48">
        <f t="shared" si="19"/>
        <v>46.876373626373628</v>
      </c>
      <c r="J68" s="31">
        <v>9555.58</v>
      </c>
      <c r="K68" s="48">
        <f t="shared" si="20"/>
        <v>13.125796703296704</v>
      </c>
      <c r="L68" s="31">
        <v>22500</v>
      </c>
      <c r="M68" s="51">
        <f t="shared" si="30"/>
        <v>0.65932133856883313</v>
      </c>
      <c r="N68" s="76">
        <f t="shared" si="5"/>
        <v>925.36</v>
      </c>
      <c r="O68" s="64">
        <f t="shared" si="4"/>
        <v>9555.58</v>
      </c>
      <c r="P68" s="18">
        <f t="shared" si="25"/>
        <v>10480.94</v>
      </c>
      <c r="Q68" s="83">
        <f t="shared" si="13"/>
        <v>462.68</v>
      </c>
      <c r="R68" s="84">
        <f t="shared" si="39"/>
        <v>6688.9059999999999</v>
      </c>
      <c r="S68" s="96">
        <f t="shared" si="8"/>
        <v>2675.5624000000003</v>
      </c>
      <c r="T68" s="85">
        <f t="shared" si="14"/>
        <v>4476.0236000000004</v>
      </c>
      <c r="U68" s="17">
        <f t="shared" si="40"/>
        <v>462.68</v>
      </c>
      <c r="V68" s="31">
        <f t="shared" si="41"/>
        <v>2866.674</v>
      </c>
      <c r="W68" s="23">
        <f t="shared" si="42"/>
        <v>3329.3539999999998</v>
      </c>
      <c r="X68" s="99">
        <v>925.36</v>
      </c>
    </row>
    <row r="69" spans="1:24" x14ac:dyDescent="0.25">
      <c r="A69" s="7">
        <f t="shared" si="43"/>
        <v>63</v>
      </c>
      <c r="B69" s="38" t="s">
        <v>91</v>
      </c>
      <c r="C69" s="39">
        <v>45224</v>
      </c>
      <c r="D69" s="40">
        <f t="shared" si="18"/>
        <v>45224</v>
      </c>
      <c r="E69" s="103">
        <v>1115</v>
      </c>
      <c r="F69" s="32">
        <v>1100</v>
      </c>
      <c r="G69" s="41">
        <f t="shared" si="26"/>
        <v>1.0136363636363637</v>
      </c>
      <c r="H69" s="32">
        <v>41025</v>
      </c>
      <c r="I69" s="52">
        <f t="shared" si="19"/>
        <v>36.793721973094172</v>
      </c>
      <c r="J69" s="53">
        <v>3769.01</v>
      </c>
      <c r="K69" s="54">
        <f t="shared" si="20"/>
        <v>3.3802780269058297</v>
      </c>
      <c r="L69" s="32">
        <v>16230.53</v>
      </c>
      <c r="M69" s="43">
        <f t="shared" si="30"/>
        <v>0.39562535039609997</v>
      </c>
      <c r="N69" s="15">
        <f>Q69+U69</f>
        <v>19611.23</v>
      </c>
      <c r="O69" s="32">
        <f>R69+V69</f>
        <v>3769.0099999999998</v>
      </c>
      <c r="P69" s="29">
        <f>N69+O69</f>
        <v>23380.239999999998</v>
      </c>
      <c r="Q69" s="86">
        <f t="shared" si="13"/>
        <v>9805.6149999999998</v>
      </c>
      <c r="R69" s="87">
        <f t="shared" si="39"/>
        <v>2638.3069999999998</v>
      </c>
      <c r="S69" s="95">
        <f t="shared" si="8"/>
        <v>1055.3228000000001</v>
      </c>
      <c r="T69" s="82">
        <f t="shared" si="14"/>
        <v>11388.599199999999</v>
      </c>
      <c r="U69" s="19">
        <f t="shared" si="40"/>
        <v>9805.6149999999998</v>
      </c>
      <c r="V69" s="55">
        <f t="shared" si="41"/>
        <v>1130.703</v>
      </c>
      <c r="W69" s="16">
        <f t="shared" si="42"/>
        <v>10936.317999999999</v>
      </c>
      <c r="X69" s="100">
        <v>19611.23</v>
      </c>
    </row>
    <row r="70" spans="1:24" x14ac:dyDescent="0.25">
      <c r="A70" s="6">
        <f t="shared" si="43"/>
        <v>64</v>
      </c>
      <c r="B70" s="44" t="s">
        <v>93</v>
      </c>
      <c r="C70" s="45">
        <v>45232</v>
      </c>
      <c r="D70" s="46">
        <f t="shared" si="18"/>
        <v>45232</v>
      </c>
      <c r="E70" s="31">
        <v>369</v>
      </c>
      <c r="F70" s="31">
        <v>1100</v>
      </c>
      <c r="G70" s="47">
        <f t="shared" si="26"/>
        <v>0.33545454545454545</v>
      </c>
      <c r="H70" s="31">
        <v>12228</v>
      </c>
      <c r="I70" s="48">
        <f t="shared" si="19"/>
        <v>33.138211382113823</v>
      </c>
      <c r="J70" s="31">
        <v>5879.18</v>
      </c>
      <c r="K70" s="48">
        <f t="shared" si="20"/>
        <v>15.932737127371274</v>
      </c>
      <c r="L70" s="31">
        <v>7500</v>
      </c>
      <c r="M70" s="51">
        <f t="shared" si="30"/>
        <v>0.61334641805691859</v>
      </c>
      <c r="N70" s="76">
        <f t="shared" ref="N70:N86" si="44">Q70+U70</f>
        <v>-2689.96</v>
      </c>
      <c r="O70" s="64">
        <f t="shared" ref="O70:O86" si="45">R70+V70</f>
        <v>5879.18</v>
      </c>
      <c r="P70" s="18">
        <f t="shared" si="25"/>
        <v>3189.2200000000003</v>
      </c>
      <c r="Q70" s="83">
        <f t="shared" si="13"/>
        <v>-1344.98</v>
      </c>
      <c r="R70" s="84">
        <f t="shared" si="39"/>
        <v>4115.4260000000004</v>
      </c>
      <c r="S70" s="96">
        <f t="shared" si="8"/>
        <v>1646.1704000000002</v>
      </c>
      <c r="T70" s="85">
        <f t="shared" si="14"/>
        <v>1124.2756000000002</v>
      </c>
      <c r="U70" s="17">
        <f t="shared" si="40"/>
        <v>-1344.98</v>
      </c>
      <c r="V70" s="31">
        <f t="shared" si="41"/>
        <v>1763.7540000000001</v>
      </c>
      <c r="W70" s="23">
        <f t="shared" si="42"/>
        <v>418.77400000000011</v>
      </c>
      <c r="X70" s="102">
        <v>-2689.96</v>
      </c>
    </row>
    <row r="71" spans="1:24" x14ac:dyDescent="0.25">
      <c r="A71" s="7">
        <f t="shared" si="43"/>
        <v>65</v>
      </c>
      <c r="B71" s="38" t="s">
        <v>94</v>
      </c>
      <c r="C71" s="39">
        <v>45234</v>
      </c>
      <c r="D71" s="40">
        <f t="shared" si="18"/>
        <v>45234</v>
      </c>
      <c r="E71" s="32">
        <v>908</v>
      </c>
      <c r="F71" s="32">
        <v>1100</v>
      </c>
      <c r="G71" s="41">
        <f t="shared" si="26"/>
        <v>0.82545454545454544</v>
      </c>
      <c r="H71" s="32">
        <v>32475</v>
      </c>
      <c r="I71" s="52">
        <f t="shared" si="19"/>
        <v>35.765418502202643</v>
      </c>
      <c r="J71" s="53">
        <v>22680.94</v>
      </c>
      <c r="K71" s="54">
        <f t="shared" si="20"/>
        <v>24.979008810572687</v>
      </c>
      <c r="L71" s="32">
        <v>23819</v>
      </c>
      <c r="M71" s="43">
        <f t="shared" si="30"/>
        <v>0.73345650500384907</v>
      </c>
      <c r="N71" s="15">
        <f t="shared" si="44"/>
        <v>-1490.61</v>
      </c>
      <c r="O71" s="32">
        <f t="shared" si="45"/>
        <v>22680.939999999995</v>
      </c>
      <c r="P71" s="29">
        <f t="shared" si="25"/>
        <v>21190.329999999994</v>
      </c>
      <c r="Q71" s="86">
        <f t="shared" si="13"/>
        <v>-745.30499999999995</v>
      </c>
      <c r="R71" s="87">
        <f t="shared" si="39"/>
        <v>15876.657999999998</v>
      </c>
      <c r="S71" s="95">
        <f t="shared" si="8"/>
        <v>6350.6632</v>
      </c>
      <c r="T71" s="82">
        <f t="shared" si="14"/>
        <v>8780.6897999999965</v>
      </c>
      <c r="U71" s="19">
        <f t="shared" si="40"/>
        <v>-745.30499999999995</v>
      </c>
      <c r="V71" s="55">
        <f t="shared" si="41"/>
        <v>6804.2819999999992</v>
      </c>
      <c r="W71" s="16">
        <f t="shared" si="42"/>
        <v>6058.976999999999</v>
      </c>
      <c r="X71" s="102">
        <v>-1490.61</v>
      </c>
    </row>
    <row r="72" spans="1:24" x14ac:dyDescent="0.25">
      <c r="A72" s="6">
        <f t="shared" si="43"/>
        <v>66</v>
      </c>
      <c r="B72" s="44" t="s">
        <v>95</v>
      </c>
      <c r="C72" s="45">
        <v>45239</v>
      </c>
      <c r="D72" s="46">
        <f t="shared" si="18"/>
        <v>45239</v>
      </c>
      <c r="E72" s="31">
        <v>898</v>
      </c>
      <c r="F72" s="31">
        <v>1100</v>
      </c>
      <c r="G72" s="47">
        <f t="shared" si="26"/>
        <v>0.8163636363636364</v>
      </c>
      <c r="H72" s="31">
        <v>34678</v>
      </c>
      <c r="I72" s="48">
        <f t="shared" si="19"/>
        <v>38.616926503340757</v>
      </c>
      <c r="J72" s="31">
        <v>10722.67</v>
      </c>
      <c r="K72" s="48">
        <f t="shared" si="20"/>
        <v>11.940612472160357</v>
      </c>
      <c r="L72" s="31">
        <v>15000</v>
      </c>
      <c r="M72" s="51">
        <f t="shared" si="30"/>
        <v>0.43255089682219272</v>
      </c>
      <c r="N72" s="76">
        <f t="shared" si="44"/>
        <v>11768.95</v>
      </c>
      <c r="O72" s="64">
        <f t="shared" si="45"/>
        <v>10722.67</v>
      </c>
      <c r="P72" s="18">
        <f t="shared" si="25"/>
        <v>22491.620000000003</v>
      </c>
      <c r="Q72" s="83">
        <f t="shared" si="13"/>
        <v>5884.4750000000004</v>
      </c>
      <c r="R72" s="84">
        <f t="shared" si="39"/>
        <v>7505.8689999999997</v>
      </c>
      <c r="S72" s="96">
        <f t="shared" ref="S72:S86" si="46">J72*0.28</f>
        <v>3002.3476000000005</v>
      </c>
      <c r="T72" s="85">
        <f t="shared" si="14"/>
        <v>10387.9964</v>
      </c>
      <c r="U72" s="17">
        <f t="shared" si="40"/>
        <v>5884.4750000000004</v>
      </c>
      <c r="V72" s="31">
        <f t="shared" si="41"/>
        <v>3216.8009999999999</v>
      </c>
      <c r="W72" s="23">
        <f t="shared" si="42"/>
        <v>9101.2759999999998</v>
      </c>
      <c r="X72" s="100">
        <v>11768.95</v>
      </c>
    </row>
    <row r="73" spans="1:24" x14ac:dyDescent="0.25">
      <c r="A73" s="7">
        <f t="shared" si="43"/>
        <v>67</v>
      </c>
      <c r="B73" s="38" t="s">
        <v>96</v>
      </c>
      <c r="C73" s="39">
        <v>45240</v>
      </c>
      <c r="D73" s="40">
        <f t="shared" si="18"/>
        <v>45240</v>
      </c>
      <c r="E73" s="32">
        <v>161</v>
      </c>
      <c r="F73" s="32">
        <v>400</v>
      </c>
      <c r="G73" s="41">
        <f t="shared" si="26"/>
        <v>0.40250000000000002</v>
      </c>
      <c r="H73" s="32">
        <v>3248.5</v>
      </c>
      <c r="I73" s="52">
        <f t="shared" si="19"/>
        <v>20.177018633540374</v>
      </c>
      <c r="J73" s="53">
        <v>1237.1500000000001</v>
      </c>
      <c r="K73" s="54">
        <f t="shared" si="20"/>
        <v>7.6841614906832305</v>
      </c>
      <c r="L73" s="32">
        <v>3400</v>
      </c>
      <c r="M73" s="43">
        <f t="shared" si="30"/>
        <v>1.0466369093427736</v>
      </c>
      <c r="N73" s="15">
        <f t="shared" si="44"/>
        <v>-3544.38</v>
      </c>
      <c r="O73" s="32">
        <f t="shared" si="45"/>
        <v>1237.1500000000001</v>
      </c>
      <c r="P73" s="29">
        <f t="shared" si="25"/>
        <v>-2307.23</v>
      </c>
      <c r="Q73" s="86">
        <f t="shared" si="13"/>
        <v>-1772.19</v>
      </c>
      <c r="R73" s="87">
        <f t="shared" ref="R73:R79" si="47">J73*70%</f>
        <v>866.005</v>
      </c>
      <c r="S73" s="95">
        <f t="shared" si="46"/>
        <v>346.40200000000004</v>
      </c>
      <c r="T73" s="82">
        <f t="shared" si="14"/>
        <v>-1252.587</v>
      </c>
      <c r="U73" s="19">
        <f t="shared" ref="U73:U79" si="48">Q73</f>
        <v>-1772.19</v>
      </c>
      <c r="V73" s="55">
        <f t="shared" ref="V73:V79" si="49">J73*30%</f>
        <v>371.14500000000004</v>
      </c>
      <c r="W73" s="16">
        <f t="shared" ref="W73:W79" si="50">U73+V73</f>
        <v>-1401.0450000000001</v>
      </c>
      <c r="X73" s="102">
        <v>-3544.38</v>
      </c>
    </row>
    <row r="74" spans="1:24" x14ac:dyDescent="0.25">
      <c r="A74" s="6">
        <f t="shared" si="43"/>
        <v>68</v>
      </c>
      <c r="B74" s="44" t="s">
        <v>97</v>
      </c>
      <c r="C74" s="45">
        <v>45241</v>
      </c>
      <c r="D74" s="46">
        <f t="shared" si="18"/>
        <v>45241</v>
      </c>
      <c r="E74" s="31">
        <v>1035</v>
      </c>
      <c r="F74" s="31">
        <v>1100</v>
      </c>
      <c r="G74" s="47">
        <f t="shared" si="26"/>
        <v>0.94090909090909092</v>
      </c>
      <c r="H74" s="31">
        <v>37030</v>
      </c>
      <c r="I74" s="48">
        <f t="shared" si="19"/>
        <v>35.777777777777779</v>
      </c>
      <c r="J74" s="31">
        <v>13121.56</v>
      </c>
      <c r="K74" s="48">
        <f t="shared" si="20"/>
        <v>12.677835748792271</v>
      </c>
      <c r="L74" s="31">
        <v>16500</v>
      </c>
      <c r="M74" s="51">
        <f t="shared" si="30"/>
        <v>0.44558466108560629</v>
      </c>
      <c r="N74" s="76">
        <f t="shared" si="44"/>
        <v>11739.17</v>
      </c>
      <c r="O74" s="64">
        <f t="shared" si="45"/>
        <v>13121.559999999998</v>
      </c>
      <c r="P74" s="18">
        <f t="shared" si="25"/>
        <v>24860.729999999996</v>
      </c>
      <c r="Q74" s="83">
        <f t="shared" ref="Q74:Q86" si="51">X74*0.5</f>
        <v>5869.585</v>
      </c>
      <c r="R74" s="84">
        <f t="shared" si="47"/>
        <v>9185.0919999999987</v>
      </c>
      <c r="S74" s="96">
        <f t="shared" si="46"/>
        <v>3674.0368000000003</v>
      </c>
      <c r="T74" s="85">
        <f t="shared" si="14"/>
        <v>11380.6402</v>
      </c>
      <c r="U74" s="17">
        <f t="shared" si="48"/>
        <v>5869.585</v>
      </c>
      <c r="V74" s="31">
        <f t="shared" si="49"/>
        <v>3936.4679999999998</v>
      </c>
      <c r="W74" s="23">
        <f t="shared" si="50"/>
        <v>9806.0529999999999</v>
      </c>
      <c r="X74" s="100">
        <v>11739.17</v>
      </c>
    </row>
    <row r="75" spans="1:24" x14ac:dyDescent="0.25">
      <c r="A75" s="7">
        <f t="shared" si="43"/>
        <v>69</v>
      </c>
      <c r="B75" s="38" t="s">
        <v>98</v>
      </c>
      <c r="C75" s="39">
        <v>45243</v>
      </c>
      <c r="D75" s="40">
        <f t="shared" si="18"/>
        <v>45243</v>
      </c>
      <c r="E75" s="32">
        <v>682</v>
      </c>
      <c r="F75" s="32">
        <v>1100</v>
      </c>
      <c r="G75" s="41">
        <f t="shared" si="26"/>
        <v>0.62</v>
      </c>
      <c r="H75" s="32">
        <v>32494.5</v>
      </c>
      <c r="I75" s="52">
        <f t="shared" si="19"/>
        <v>47.645894428152495</v>
      </c>
      <c r="J75" s="53">
        <v>4149.6400000000003</v>
      </c>
      <c r="K75" s="54">
        <f t="shared" si="20"/>
        <v>6.0845161290322585</v>
      </c>
      <c r="L75" s="32">
        <v>16500</v>
      </c>
      <c r="M75" s="43">
        <f t="shared" si="30"/>
        <v>0.50777823939435907</v>
      </c>
      <c r="N75" s="15">
        <f t="shared" si="44"/>
        <v>997.71</v>
      </c>
      <c r="O75" s="32">
        <f t="shared" si="45"/>
        <v>4149.6400000000003</v>
      </c>
      <c r="P75" s="29">
        <f t="shared" si="25"/>
        <v>5147.3500000000004</v>
      </c>
      <c r="Q75" s="86">
        <f t="shared" si="51"/>
        <v>498.85500000000002</v>
      </c>
      <c r="R75" s="87">
        <f t="shared" si="47"/>
        <v>2904.748</v>
      </c>
      <c r="S75" s="95">
        <f t="shared" si="46"/>
        <v>1161.8992000000003</v>
      </c>
      <c r="T75" s="82">
        <f t="shared" ref="T75:T86" si="52">Q75+R75-S75</f>
        <v>2241.7037999999998</v>
      </c>
      <c r="U75" s="19">
        <f t="shared" si="48"/>
        <v>498.85500000000002</v>
      </c>
      <c r="V75" s="55">
        <f t="shared" si="49"/>
        <v>1244.8920000000001</v>
      </c>
      <c r="W75" s="16">
        <f t="shared" si="50"/>
        <v>1743.7470000000001</v>
      </c>
      <c r="X75" s="100">
        <v>997.71</v>
      </c>
    </row>
    <row r="76" spans="1:24" x14ac:dyDescent="0.25">
      <c r="A76" s="6">
        <f t="shared" si="43"/>
        <v>70</v>
      </c>
      <c r="B76" s="44" t="s">
        <v>99</v>
      </c>
      <c r="C76" s="45">
        <v>45247</v>
      </c>
      <c r="D76" s="46">
        <f t="shared" si="18"/>
        <v>45247</v>
      </c>
      <c r="E76" s="31">
        <v>982</v>
      </c>
      <c r="F76" s="31">
        <v>1100</v>
      </c>
      <c r="G76" s="47">
        <f t="shared" si="26"/>
        <v>0.8927272727272727</v>
      </c>
      <c r="H76" s="31">
        <v>38810</v>
      </c>
      <c r="I76" s="48">
        <f t="shared" si="19"/>
        <v>39.521384928716905</v>
      </c>
      <c r="J76" s="31">
        <v>12888.65</v>
      </c>
      <c r="K76" s="48">
        <f t="shared" si="20"/>
        <v>13.12489816700611</v>
      </c>
      <c r="L76" s="31">
        <v>20500</v>
      </c>
      <c r="M76" s="51">
        <f t="shared" si="30"/>
        <v>0.52821437773769642</v>
      </c>
      <c r="N76" s="76">
        <f t="shared" si="44"/>
        <v>7747.69</v>
      </c>
      <c r="O76" s="64">
        <f t="shared" si="45"/>
        <v>12888.649999999998</v>
      </c>
      <c r="P76" s="18">
        <f t="shared" si="25"/>
        <v>20636.339999999997</v>
      </c>
      <c r="Q76" s="83">
        <f t="shared" si="51"/>
        <v>3873.8449999999998</v>
      </c>
      <c r="R76" s="84">
        <f t="shared" si="47"/>
        <v>9022.0549999999985</v>
      </c>
      <c r="S76" s="96">
        <f t="shared" si="46"/>
        <v>3608.8220000000001</v>
      </c>
      <c r="T76" s="85">
        <f t="shared" si="52"/>
        <v>9287.0779999999977</v>
      </c>
      <c r="U76" s="17">
        <f t="shared" si="48"/>
        <v>3873.8449999999998</v>
      </c>
      <c r="V76" s="31">
        <f t="shared" si="49"/>
        <v>3866.5949999999998</v>
      </c>
      <c r="W76" s="23">
        <f t="shared" si="50"/>
        <v>7740.44</v>
      </c>
      <c r="X76" s="100">
        <v>7747.69</v>
      </c>
    </row>
    <row r="77" spans="1:24" x14ac:dyDescent="0.25">
      <c r="A77" s="7">
        <f t="shared" si="43"/>
        <v>71</v>
      </c>
      <c r="B77" s="38" t="s">
        <v>100</v>
      </c>
      <c r="C77" s="39">
        <v>45248</v>
      </c>
      <c r="D77" s="40">
        <f t="shared" si="18"/>
        <v>45248</v>
      </c>
      <c r="E77" s="32">
        <v>207</v>
      </c>
      <c r="F77" s="32">
        <v>400</v>
      </c>
      <c r="G77" s="41">
        <f t="shared" si="26"/>
        <v>0.51749999999999996</v>
      </c>
      <c r="H77" s="32">
        <v>10129</v>
      </c>
      <c r="I77" s="52">
        <f t="shared" si="19"/>
        <v>48.932367149758456</v>
      </c>
      <c r="J77" s="53">
        <v>3891.1</v>
      </c>
      <c r="K77" s="54">
        <f t="shared" si="20"/>
        <v>18.7975845410628</v>
      </c>
      <c r="L77" s="32">
        <v>7500</v>
      </c>
      <c r="M77" s="43">
        <f t="shared" si="30"/>
        <v>0.74044821798795535</v>
      </c>
      <c r="N77" s="15">
        <f t="shared" si="44"/>
        <v>-2901.14</v>
      </c>
      <c r="O77" s="32">
        <f t="shared" si="45"/>
        <v>3891.1</v>
      </c>
      <c r="P77" s="29">
        <f t="shared" si="25"/>
        <v>989.96</v>
      </c>
      <c r="Q77" s="86">
        <f t="shared" si="51"/>
        <v>-1450.57</v>
      </c>
      <c r="R77" s="87">
        <f t="shared" si="47"/>
        <v>2723.77</v>
      </c>
      <c r="S77" s="95">
        <f t="shared" si="46"/>
        <v>1089.508</v>
      </c>
      <c r="T77" s="82">
        <f t="shared" si="52"/>
        <v>183.69200000000001</v>
      </c>
      <c r="U77" s="19">
        <f t="shared" si="48"/>
        <v>-1450.57</v>
      </c>
      <c r="V77" s="55">
        <f t="shared" si="49"/>
        <v>1167.33</v>
      </c>
      <c r="W77" s="16">
        <f t="shared" si="50"/>
        <v>-283.24</v>
      </c>
      <c r="X77" s="102">
        <v>-2901.14</v>
      </c>
    </row>
    <row r="78" spans="1:24" x14ac:dyDescent="0.25">
      <c r="A78" s="6">
        <f t="shared" si="43"/>
        <v>72</v>
      </c>
      <c r="B78" s="44" t="s">
        <v>101</v>
      </c>
      <c r="C78" s="45">
        <v>45255</v>
      </c>
      <c r="D78" s="46">
        <f t="shared" si="18"/>
        <v>45255</v>
      </c>
      <c r="E78" s="103">
        <v>1115</v>
      </c>
      <c r="F78" s="31">
        <v>1100</v>
      </c>
      <c r="G78" s="47">
        <f t="shared" si="26"/>
        <v>1.0136363636363637</v>
      </c>
      <c r="H78" s="31">
        <v>49806</v>
      </c>
      <c r="I78" s="48">
        <f t="shared" si="19"/>
        <v>44.669058295964128</v>
      </c>
      <c r="J78" s="31">
        <v>13026.13</v>
      </c>
      <c r="K78" s="48">
        <f t="shared" si="20"/>
        <v>11.682627802690583</v>
      </c>
      <c r="L78" s="31">
        <v>14200</v>
      </c>
      <c r="M78" s="51">
        <f t="shared" si="30"/>
        <v>0.2851062121029595</v>
      </c>
      <c r="N78" s="76">
        <f t="shared" si="44"/>
        <v>22840.240000000002</v>
      </c>
      <c r="O78" s="64">
        <f t="shared" si="45"/>
        <v>13026.13</v>
      </c>
      <c r="P78" s="18">
        <f t="shared" si="25"/>
        <v>35866.370000000003</v>
      </c>
      <c r="Q78" s="83">
        <f t="shared" si="51"/>
        <v>11420.12</v>
      </c>
      <c r="R78" s="84">
        <f t="shared" si="47"/>
        <v>9118.2909999999993</v>
      </c>
      <c r="S78" s="96">
        <f t="shared" si="46"/>
        <v>3647.3164000000002</v>
      </c>
      <c r="T78" s="85">
        <f t="shared" si="52"/>
        <v>16891.0946</v>
      </c>
      <c r="U78" s="17">
        <f t="shared" si="48"/>
        <v>11420.12</v>
      </c>
      <c r="V78" s="31">
        <f t="shared" si="49"/>
        <v>3907.8389999999995</v>
      </c>
      <c r="W78" s="23">
        <f t="shared" si="50"/>
        <v>15327.959000000001</v>
      </c>
      <c r="X78" s="100">
        <v>22840.240000000002</v>
      </c>
    </row>
    <row r="79" spans="1:24" x14ac:dyDescent="0.25">
      <c r="A79" s="7">
        <f t="shared" si="43"/>
        <v>73</v>
      </c>
      <c r="B79" s="38" t="s">
        <v>102</v>
      </c>
      <c r="C79" s="39">
        <v>45257</v>
      </c>
      <c r="D79" s="40">
        <f t="shared" si="18"/>
        <v>45257</v>
      </c>
      <c r="E79" s="32">
        <v>504</v>
      </c>
      <c r="F79" s="32">
        <v>1100</v>
      </c>
      <c r="G79" s="41">
        <f t="shared" si="26"/>
        <v>0.45818181818181819</v>
      </c>
      <c r="H79" s="32">
        <v>24572</v>
      </c>
      <c r="I79" s="52">
        <f t="shared" si="19"/>
        <v>48.753968253968253</v>
      </c>
      <c r="J79" s="53">
        <v>5724.65</v>
      </c>
      <c r="K79" s="54">
        <f t="shared" si="20"/>
        <v>11.358432539682539</v>
      </c>
      <c r="L79" s="32">
        <v>31000</v>
      </c>
      <c r="M79" s="43">
        <f t="shared" si="30"/>
        <v>1.2615985674751751</v>
      </c>
      <c r="N79" s="15">
        <f t="shared" si="44"/>
        <v>-14597.85</v>
      </c>
      <c r="O79" s="32">
        <f t="shared" si="45"/>
        <v>5724.65</v>
      </c>
      <c r="P79" s="29">
        <f t="shared" si="25"/>
        <v>-8873.2000000000007</v>
      </c>
      <c r="Q79" s="86">
        <f t="shared" si="51"/>
        <v>-7298.9250000000002</v>
      </c>
      <c r="R79" s="87">
        <f t="shared" si="47"/>
        <v>4007.2549999999997</v>
      </c>
      <c r="S79" s="95">
        <f t="shared" si="46"/>
        <v>1602.902</v>
      </c>
      <c r="T79" s="82">
        <f t="shared" si="52"/>
        <v>-4894.5720000000001</v>
      </c>
      <c r="U79" s="19">
        <f t="shared" si="48"/>
        <v>-7298.9250000000002</v>
      </c>
      <c r="V79" s="55">
        <f t="shared" si="49"/>
        <v>1717.3949999999998</v>
      </c>
      <c r="W79" s="16">
        <f t="shared" si="50"/>
        <v>-5581.5300000000007</v>
      </c>
      <c r="X79" s="102">
        <v>-14597.85</v>
      </c>
    </row>
    <row r="80" spans="1:24" x14ac:dyDescent="0.25">
      <c r="A80" s="6">
        <f t="shared" si="43"/>
        <v>74</v>
      </c>
      <c r="B80" s="44" t="s">
        <v>103</v>
      </c>
      <c r="C80" s="45">
        <v>45262</v>
      </c>
      <c r="D80" s="46">
        <f t="shared" si="18"/>
        <v>45262</v>
      </c>
      <c r="E80" s="31">
        <v>813</v>
      </c>
      <c r="F80" s="31">
        <v>1100</v>
      </c>
      <c r="G80" s="47">
        <f t="shared" si="26"/>
        <v>0.73909090909090913</v>
      </c>
      <c r="H80" s="31">
        <v>30147</v>
      </c>
      <c r="I80" s="48">
        <f t="shared" si="19"/>
        <v>37.081180811808117</v>
      </c>
      <c r="J80" s="31">
        <v>11833.93</v>
      </c>
      <c r="K80" s="48">
        <f t="shared" si="20"/>
        <v>14.555879458794589</v>
      </c>
      <c r="L80" s="31">
        <v>11267.63</v>
      </c>
      <c r="M80" s="51">
        <f t="shared" si="30"/>
        <v>0.37375626098782627</v>
      </c>
      <c r="N80" s="76">
        <f t="shared" si="44"/>
        <v>9925.8700000000008</v>
      </c>
      <c r="O80" s="64">
        <f t="shared" si="45"/>
        <v>11833.93</v>
      </c>
      <c r="P80" s="18">
        <f t="shared" si="25"/>
        <v>21759.800000000003</v>
      </c>
      <c r="Q80" s="83">
        <f t="shared" si="51"/>
        <v>4962.9350000000004</v>
      </c>
      <c r="R80" s="84">
        <f t="shared" ref="R80:R81" si="53">J80*70%</f>
        <v>8283.7510000000002</v>
      </c>
      <c r="S80" s="96">
        <f t="shared" si="46"/>
        <v>3313.5004000000004</v>
      </c>
      <c r="T80" s="85">
        <f t="shared" si="52"/>
        <v>9933.1856000000007</v>
      </c>
      <c r="U80" s="17">
        <f t="shared" ref="U80:U81" si="54">Q80</f>
        <v>4962.9350000000004</v>
      </c>
      <c r="V80" s="31">
        <f t="shared" ref="V80:V81" si="55">J80*30%</f>
        <v>3550.1790000000001</v>
      </c>
      <c r="W80" s="23">
        <f t="shared" ref="W80:W81" si="56">U80+V80</f>
        <v>8513.1140000000014</v>
      </c>
      <c r="X80" s="100">
        <v>9925.8700000000008</v>
      </c>
    </row>
    <row r="81" spans="1:24" x14ac:dyDescent="0.25">
      <c r="A81" s="7">
        <f t="shared" si="43"/>
        <v>75</v>
      </c>
      <c r="B81" s="38" t="s">
        <v>104</v>
      </c>
      <c r="C81" s="39">
        <v>45265</v>
      </c>
      <c r="D81" s="40">
        <f t="shared" si="18"/>
        <v>45265</v>
      </c>
      <c r="E81" s="103">
        <v>1115</v>
      </c>
      <c r="F81" s="32">
        <v>1100</v>
      </c>
      <c r="G81" s="41">
        <f t="shared" si="26"/>
        <v>1.0136363636363637</v>
      </c>
      <c r="H81" s="32">
        <v>35915</v>
      </c>
      <c r="I81" s="52">
        <f t="shared" si="19"/>
        <v>32.210762331838566</v>
      </c>
      <c r="J81" s="53">
        <v>9864.2000000000007</v>
      </c>
      <c r="K81" s="54">
        <f t="shared" si="20"/>
        <v>8.8468161434977581</v>
      </c>
      <c r="L81" s="32">
        <v>15649.92</v>
      </c>
      <c r="M81" s="43">
        <f t="shared" si="30"/>
        <v>0.43574885145482389</v>
      </c>
      <c r="N81" s="15">
        <f t="shared" si="44"/>
        <v>8113.24</v>
      </c>
      <c r="O81" s="32">
        <f t="shared" si="45"/>
        <v>9864.2000000000007</v>
      </c>
      <c r="P81" s="29">
        <f t="shared" si="25"/>
        <v>17977.440000000002</v>
      </c>
      <c r="Q81" s="86">
        <f t="shared" si="51"/>
        <v>4056.62</v>
      </c>
      <c r="R81" s="87">
        <f t="shared" si="53"/>
        <v>6904.9400000000005</v>
      </c>
      <c r="S81" s="95">
        <f t="shared" si="46"/>
        <v>2761.9760000000006</v>
      </c>
      <c r="T81" s="82">
        <f t="shared" si="52"/>
        <v>8199.5840000000007</v>
      </c>
      <c r="U81" s="19">
        <f t="shared" si="54"/>
        <v>4056.62</v>
      </c>
      <c r="V81" s="55">
        <f t="shared" si="55"/>
        <v>2959.26</v>
      </c>
      <c r="W81" s="16">
        <f t="shared" si="56"/>
        <v>7015.88</v>
      </c>
      <c r="X81" s="100">
        <v>8113.24</v>
      </c>
    </row>
    <row r="82" spans="1:24" x14ac:dyDescent="0.25">
      <c r="A82" s="6">
        <f t="shared" si="43"/>
        <v>76</v>
      </c>
      <c r="B82" s="44" t="s">
        <v>105</v>
      </c>
      <c r="C82" s="45">
        <v>45267</v>
      </c>
      <c r="D82" s="46">
        <f t="shared" si="18"/>
        <v>45267</v>
      </c>
      <c r="E82" s="31">
        <v>527</v>
      </c>
      <c r="F82" s="31">
        <v>1100</v>
      </c>
      <c r="G82" s="47">
        <f t="shared" si="26"/>
        <v>0.47909090909090907</v>
      </c>
      <c r="H82" s="31">
        <v>19291</v>
      </c>
      <c r="I82" s="48">
        <f t="shared" si="19"/>
        <v>36.605313092979124</v>
      </c>
      <c r="J82" s="31">
        <v>5008.04</v>
      </c>
      <c r="K82" s="48">
        <f t="shared" si="20"/>
        <v>9.502922201138519</v>
      </c>
      <c r="L82" s="31">
        <v>12500</v>
      </c>
      <c r="M82" s="51">
        <f t="shared" si="30"/>
        <v>0.64797055621792543</v>
      </c>
      <c r="N82" s="76">
        <f t="shared" si="44"/>
        <v>-1421.59</v>
      </c>
      <c r="O82" s="64">
        <f t="shared" si="45"/>
        <v>5008.04</v>
      </c>
      <c r="P82" s="18">
        <f t="shared" si="25"/>
        <v>3586.45</v>
      </c>
      <c r="Q82" s="83">
        <f t="shared" si="51"/>
        <v>-710.79499999999996</v>
      </c>
      <c r="R82" s="84">
        <f t="shared" ref="R82" si="57">J82*70%</f>
        <v>3505.6279999999997</v>
      </c>
      <c r="S82" s="96">
        <f t="shared" si="46"/>
        <v>1402.2512000000002</v>
      </c>
      <c r="T82" s="85">
        <f t="shared" si="52"/>
        <v>1392.5817999999995</v>
      </c>
      <c r="U82" s="17">
        <f t="shared" ref="U82" si="58">Q82</f>
        <v>-710.79499999999996</v>
      </c>
      <c r="V82" s="31">
        <f t="shared" ref="V82" si="59">J82*30%</f>
        <v>1502.412</v>
      </c>
      <c r="W82" s="23">
        <f t="shared" ref="W82" si="60">U82+V82</f>
        <v>791.61700000000008</v>
      </c>
      <c r="X82" s="102">
        <v>-1421.59</v>
      </c>
    </row>
    <row r="83" spans="1:24" x14ac:dyDescent="0.25">
      <c r="A83" s="7">
        <f t="shared" si="43"/>
        <v>77</v>
      </c>
      <c r="B83" s="38" t="s">
        <v>106</v>
      </c>
      <c r="C83" s="39">
        <v>45268</v>
      </c>
      <c r="D83" s="40">
        <f t="shared" si="18"/>
        <v>45268</v>
      </c>
      <c r="E83" s="103">
        <v>1115</v>
      </c>
      <c r="F83" s="32">
        <v>1100</v>
      </c>
      <c r="G83" s="41">
        <f t="shared" si="26"/>
        <v>1.0136363636363637</v>
      </c>
      <c r="H83" s="32">
        <v>82908</v>
      </c>
      <c r="I83" s="52">
        <f t="shared" si="19"/>
        <v>74.356950672645738</v>
      </c>
      <c r="J83" s="53">
        <v>12640.77</v>
      </c>
      <c r="K83" s="54">
        <f t="shared" si="20"/>
        <v>11.337013452914798</v>
      </c>
      <c r="L83" s="32">
        <v>28182.240000000002</v>
      </c>
      <c r="M83" s="43">
        <f t="shared" si="30"/>
        <v>0.3399218410768563</v>
      </c>
      <c r="N83" s="15">
        <f t="shared" si="44"/>
        <v>22169.66</v>
      </c>
      <c r="O83" s="32">
        <f t="shared" si="45"/>
        <v>12640.769999999999</v>
      </c>
      <c r="P83" s="29">
        <f t="shared" si="25"/>
        <v>34810.43</v>
      </c>
      <c r="Q83" s="86">
        <f t="shared" si="51"/>
        <v>11084.83</v>
      </c>
      <c r="R83" s="87">
        <f t="shared" ref="R83:R86" si="61">J83*70%</f>
        <v>8848.5389999999989</v>
      </c>
      <c r="S83" s="95">
        <f t="shared" si="46"/>
        <v>3539.4156000000003</v>
      </c>
      <c r="T83" s="82">
        <f t="shared" si="52"/>
        <v>16393.953399999999</v>
      </c>
      <c r="U83" s="19">
        <f t="shared" ref="U83:U86" si="62">Q83</f>
        <v>11084.83</v>
      </c>
      <c r="V83" s="55">
        <f t="shared" ref="V83:V86" si="63">J83*30%</f>
        <v>3792.2309999999998</v>
      </c>
      <c r="W83" s="16">
        <f t="shared" ref="W83:W86" si="64">U83+V83</f>
        <v>14877.061</v>
      </c>
      <c r="X83" s="100">
        <v>22169.66</v>
      </c>
    </row>
    <row r="84" spans="1:24" x14ac:dyDescent="0.25">
      <c r="A84" s="6">
        <f t="shared" si="43"/>
        <v>78</v>
      </c>
      <c r="B84" s="44" t="s">
        <v>107</v>
      </c>
      <c r="C84" s="45">
        <v>45269</v>
      </c>
      <c r="D84" s="46">
        <f t="shared" si="18"/>
        <v>45269</v>
      </c>
      <c r="E84" s="31">
        <v>967</v>
      </c>
      <c r="F84" s="31">
        <v>1100</v>
      </c>
      <c r="G84" s="47">
        <f t="shared" si="26"/>
        <v>0.87909090909090915</v>
      </c>
      <c r="H84" s="31">
        <v>31743.5</v>
      </c>
      <c r="I84" s="48">
        <f t="shared" si="19"/>
        <v>32.826783867631853</v>
      </c>
      <c r="J84" s="31">
        <v>17230.310000000001</v>
      </c>
      <c r="K84" s="48">
        <f t="shared" si="20"/>
        <v>17.818314374353672</v>
      </c>
      <c r="L84" s="31">
        <v>15500</v>
      </c>
      <c r="M84" s="51">
        <f t="shared" si="30"/>
        <v>0.48828894104304821</v>
      </c>
      <c r="N84" s="76">
        <f t="shared" si="44"/>
        <v>7377.93</v>
      </c>
      <c r="O84" s="64">
        <f t="shared" si="45"/>
        <v>17230.310000000001</v>
      </c>
      <c r="P84" s="18">
        <f t="shared" si="25"/>
        <v>24608.240000000002</v>
      </c>
      <c r="Q84" s="83">
        <f t="shared" si="51"/>
        <v>3688.9650000000001</v>
      </c>
      <c r="R84" s="84">
        <f t="shared" si="61"/>
        <v>12061.217000000001</v>
      </c>
      <c r="S84" s="96">
        <f t="shared" si="46"/>
        <v>4824.4868000000006</v>
      </c>
      <c r="T84" s="85">
        <f t="shared" si="52"/>
        <v>10925.6952</v>
      </c>
      <c r="U84" s="17">
        <f t="shared" si="62"/>
        <v>3688.9650000000001</v>
      </c>
      <c r="V84" s="31">
        <f t="shared" si="63"/>
        <v>5169.0929999999998</v>
      </c>
      <c r="W84" s="23">
        <f t="shared" si="64"/>
        <v>8858.0580000000009</v>
      </c>
      <c r="X84" s="100">
        <v>7377.93</v>
      </c>
    </row>
    <row r="85" spans="1:24" x14ac:dyDescent="0.25">
      <c r="A85" s="7">
        <f t="shared" si="43"/>
        <v>79</v>
      </c>
      <c r="B85" s="38" t="s">
        <v>108</v>
      </c>
      <c r="C85" s="39">
        <v>45277</v>
      </c>
      <c r="D85" s="40">
        <f t="shared" si="18"/>
        <v>45277</v>
      </c>
      <c r="E85" s="103">
        <v>1115</v>
      </c>
      <c r="F85" s="32">
        <v>1100</v>
      </c>
      <c r="G85" s="41">
        <f t="shared" si="26"/>
        <v>1.0136363636363637</v>
      </c>
      <c r="H85" s="32">
        <v>41891</v>
      </c>
      <c r="I85" s="52">
        <f t="shared" si="19"/>
        <v>37.570403587443948</v>
      </c>
      <c r="J85" s="53">
        <v>14423.72</v>
      </c>
      <c r="K85" s="54">
        <f t="shared" si="20"/>
        <v>12.936071748878923</v>
      </c>
      <c r="L85" s="32">
        <v>25500</v>
      </c>
      <c r="M85" s="43">
        <f t="shared" si="30"/>
        <v>0.60872263732066556</v>
      </c>
      <c r="N85" s="15">
        <f t="shared" si="44"/>
        <v>7819.2</v>
      </c>
      <c r="O85" s="32">
        <f t="shared" si="45"/>
        <v>14423.72</v>
      </c>
      <c r="P85" s="29">
        <f t="shared" si="25"/>
        <v>22242.92</v>
      </c>
      <c r="Q85" s="86">
        <f t="shared" si="51"/>
        <v>3909.6</v>
      </c>
      <c r="R85" s="87">
        <f t="shared" si="61"/>
        <v>10096.603999999999</v>
      </c>
      <c r="S85" s="95">
        <f t="shared" si="46"/>
        <v>4038.6416000000004</v>
      </c>
      <c r="T85" s="82">
        <f t="shared" si="52"/>
        <v>9967.5623999999989</v>
      </c>
      <c r="U85" s="19">
        <f t="shared" si="62"/>
        <v>3909.6</v>
      </c>
      <c r="V85" s="55">
        <f t="shared" si="63"/>
        <v>4327.116</v>
      </c>
      <c r="W85" s="16">
        <f t="shared" si="64"/>
        <v>8236.7160000000003</v>
      </c>
      <c r="X85" s="100">
        <v>7819.2</v>
      </c>
    </row>
    <row r="86" spans="1:24" ht="15.75" thickBot="1" x14ac:dyDescent="0.3">
      <c r="A86" s="6">
        <f t="shared" si="43"/>
        <v>80</v>
      </c>
      <c r="B86" s="71" t="s">
        <v>109</v>
      </c>
      <c r="C86" s="72">
        <v>45290</v>
      </c>
      <c r="D86" s="73">
        <f t="shared" ref="D86" si="65">C86</f>
        <v>45290</v>
      </c>
      <c r="E86" s="74">
        <v>1023</v>
      </c>
      <c r="F86" s="74">
        <v>1100</v>
      </c>
      <c r="G86" s="79">
        <f t="shared" si="26"/>
        <v>0.93</v>
      </c>
      <c r="H86" s="74">
        <v>42816.4</v>
      </c>
      <c r="I86" s="75">
        <f t="shared" ref="I86" si="66">IFERROR(H86/E86,"")</f>
        <v>41.853763440860213</v>
      </c>
      <c r="J86" s="74">
        <v>26651.67</v>
      </c>
      <c r="K86" s="75">
        <f t="shared" ref="K86" si="67">IFERROR(J86/E86,"")</f>
        <v>26.052463343108503</v>
      </c>
      <c r="L86" s="74">
        <v>35150</v>
      </c>
      <c r="M86" s="119">
        <f t="shared" si="30"/>
        <v>0.82094711372277906</v>
      </c>
      <c r="N86" s="120">
        <f t="shared" si="44"/>
        <v>-15629.38</v>
      </c>
      <c r="O86" s="121">
        <f t="shared" si="45"/>
        <v>26651.67</v>
      </c>
      <c r="P86" s="122">
        <f t="shared" si="25"/>
        <v>11022.289999999999</v>
      </c>
      <c r="Q86" s="89">
        <f t="shared" si="51"/>
        <v>-7814.69</v>
      </c>
      <c r="R86" s="90">
        <f t="shared" si="61"/>
        <v>18656.168999999998</v>
      </c>
      <c r="S86" s="97">
        <f t="shared" si="46"/>
        <v>7462.4675999999999</v>
      </c>
      <c r="T86" s="91">
        <f t="shared" si="52"/>
        <v>3379.0113999999994</v>
      </c>
      <c r="U86" s="77">
        <f t="shared" si="62"/>
        <v>-7814.69</v>
      </c>
      <c r="V86" s="74">
        <f t="shared" si="63"/>
        <v>7995.5009999999993</v>
      </c>
      <c r="W86" s="78">
        <f t="shared" si="64"/>
        <v>180.81099999999969</v>
      </c>
      <c r="X86" s="102">
        <v>-15629.38</v>
      </c>
    </row>
  </sheetData>
  <sortState xmlns:xlrd2="http://schemas.microsoft.com/office/spreadsheetml/2017/richdata2" ref="B7:W18">
    <sortCondition ref="C7:C18"/>
  </sortState>
  <mergeCells count="6">
    <mergeCell ref="Q2:T2"/>
    <mergeCell ref="U2:W2"/>
    <mergeCell ref="B2:M2"/>
    <mergeCell ref="N2:P2"/>
    <mergeCell ref="N1:P1"/>
    <mergeCell ref="Q1:W1"/>
  </mergeCells>
  <printOptions horizontalCentered="1"/>
  <pageMargins left="0.25" right="0.25" top="0.75" bottom="0.75" header="0.3" footer="0.3"/>
  <pageSetup fitToHeight="0" orientation="landscape" r:id="rId1"/>
  <headerFooter>
    <oddFooter>&amp;L&amp;X(1)&amp;X AEG/React shows&amp;R&amp;P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Theatre</vt:lpstr>
      <vt:lpstr>Theatre!Print_Area</vt:lpstr>
      <vt:lpstr>Theatre!Print_Titles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Ott</dc:creator>
  <cp:lastModifiedBy>Dawn Orebaugh</cp:lastModifiedBy>
  <cp:lastPrinted>2023-08-28T16:13:30Z</cp:lastPrinted>
  <dcterms:created xsi:type="dcterms:W3CDTF">2019-03-04T20:21:35Z</dcterms:created>
  <dcterms:modified xsi:type="dcterms:W3CDTF">2025-01-23T19:41:02Z</dcterms:modified>
</cp:coreProperties>
</file>