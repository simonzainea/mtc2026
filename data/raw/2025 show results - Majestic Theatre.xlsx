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atre" sheetId="1" r:id="rId4"/>
  </sheets>
  <definedNames/>
  <calcPr/>
  <extLst>
    <ext uri="GoogleSheetsCustomDataVersion2">
      <go:sheetsCustomData xmlns:go="http://customooxmlschemas.google.com/" r:id="rId5" roundtripDataChecksum="D/tkguTjtmyhMWN+L+xLsIkKeXlmt8SJL3iodDP9iOY="/>
    </ext>
  </extLst>
</workbook>
</file>

<file path=xl/sharedStrings.xml><?xml version="1.0" encoding="utf-8"?>
<sst xmlns="http://schemas.openxmlformats.org/spreadsheetml/2006/main" count="114" uniqueCount="111">
  <si>
    <t>VENUE TOTAL</t>
  </si>
  <si>
    <t>PARTNER SPLIT</t>
  </si>
  <si>
    <t>***MAJESTIC THEATRE RESULTS***</t>
  </si>
  <si>
    <t>MTC Inc</t>
  </si>
  <si>
    <t>MAJESTIC THEATRE</t>
  </si>
  <si>
    <t xml:space="preserve">AEG </t>
  </si>
  <si>
    <t>Name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</si>
  <si>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</si>
  <si>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</si>
  <si>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</si>
  <si>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</si>
  <si>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</si>
  <si>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</si>
  <si>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</si>
  <si>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</si>
  <si>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</si>
  <si>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</si>
  <si>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</si>
  <si>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</si>
  <si>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100%</t>
  </si>
  <si>
    <t>Show Gross Proceeds (before COGS, Labor, &amp; Facility Costs)</t>
  </si>
  <si>
    <t>Bar Sales 70%</t>
  </si>
  <si>
    <t>Bar  COGS, Labor &amp; Facility Costs 28%</t>
  </si>
  <si>
    <t>Show Gross Proceeds</t>
  </si>
  <si>
    <t>Bar Sales 30%</t>
  </si>
  <si>
    <t>INPUT - Total Gate Settlement</t>
  </si>
  <si>
    <t>TOTALS</t>
  </si>
  <si>
    <t>AVERAGES</t>
  </si>
  <si>
    <t>Level Up</t>
  </si>
  <si>
    <t>2Hollis</t>
  </si>
  <si>
    <t>Guster</t>
  </si>
  <si>
    <t>Kerry King</t>
  </si>
  <si>
    <t>Tim Heidecker (moved to Magic Stick)</t>
  </si>
  <si>
    <t>Soccer Mommy</t>
  </si>
  <si>
    <t>070 Shake</t>
  </si>
  <si>
    <t>Eric Bellinger (moved to Magic Stick)</t>
  </si>
  <si>
    <t>Pink Sweat$</t>
  </si>
  <si>
    <t>D'Yadrian Harding</t>
  </si>
  <si>
    <t>Daily Bread</t>
  </si>
  <si>
    <t>Paris Paloma</t>
  </si>
  <si>
    <t>Alcest</t>
  </si>
  <si>
    <t>Mayhem</t>
  </si>
  <si>
    <t>MXMTOON</t>
  </si>
  <si>
    <t>Anberlin</t>
  </si>
  <si>
    <t>Maoli</t>
  </si>
  <si>
    <t>Ninja Sex Party</t>
  </si>
  <si>
    <t>Bayside 4.9 &amp; 4.10 TWO NIGHTS</t>
  </si>
  <si>
    <t>G-Eazy</t>
  </si>
  <si>
    <t>OsamaSon</t>
  </si>
  <si>
    <t>Chelsea Grin</t>
  </si>
  <si>
    <t>Soul Coughing</t>
  </si>
  <si>
    <t>Wild Rivers</t>
  </si>
  <si>
    <t>OK GO!</t>
  </si>
  <si>
    <t>Arch Enemy</t>
  </si>
  <si>
    <t>Maribou State</t>
  </si>
  <si>
    <t>Durand Bernarr</t>
  </si>
  <si>
    <t>Juno Birch</t>
  </si>
  <si>
    <t>The Damned</t>
  </si>
  <si>
    <t>Obituary</t>
  </si>
  <si>
    <t>Lucius</t>
  </si>
  <si>
    <t>Superheaven</t>
  </si>
  <si>
    <t>Nekrogoblikon</t>
  </si>
  <si>
    <t>grentperez</t>
  </si>
  <si>
    <t>Livingston</t>
  </si>
  <si>
    <t>The Menzingers</t>
  </si>
  <si>
    <t>Panchinko</t>
  </si>
  <si>
    <t>Orion Sun</t>
  </si>
  <si>
    <t>Hung up on a Dream</t>
  </si>
  <si>
    <t>JCW wrestling</t>
  </si>
  <si>
    <t>Fitz and the Tantrums</t>
  </si>
  <si>
    <t>BUNT</t>
  </si>
  <si>
    <t>Momma</t>
  </si>
  <si>
    <t>The Brian Jonestown Massacre</t>
  </si>
  <si>
    <t>James</t>
  </si>
  <si>
    <t>The 502s</t>
  </si>
  <si>
    <t>Nation of Language</t>
  </si>
  <si>
    <t>Samantha Bee</t>
  </si>
  <si>
    <t>SG Lewis</t>
  </si>
  <si>
    <t>Deltron 3030</t>
  </si>
  <si>
    <t>Gottmik</t>
  </si>
  <si>
    <t>Mountain Goats</t>
  </si>
  <si>
    <t>Noah Cyrus</t>
  </si>
  <si>
    <t>Iniko</t>
  </si>
  <si>
    <t>The Rapture</t>
  </si>
  <si>
    <t>Rico Nasty</t>
  </si>
  <si>
    <t>Evil Dead</t>
  </si>
  <si>
    <t>Lecrae</t>
  </si>
  <si>
    <t>Don Was</t>
  </si>
  <si>
    <t>ALY &amp; AJ</t>
  </si>
  <si>
    <t>Geese</t>
  </si>
  <si>
    <t>Sons of the East</t>
  </si>
  <si>
    <t>Sir Chloe</t>
  </si>
  <si>
    <t>Joey Valence &amp; Brae</t>
  </si>
  <si>
    <t>Lukas Nelson</t>
  </si>
  <si>
    <t>Borns</t>
  </si>
  <si>
    <t>Welcome to Night Vale</t>
  </si>
  <si>
    <t>Knox</t>
  </si>
  <si>
    <t>Grandson</t>
  </si>
  <si>
    <t>Michigander</t>
  </si>
  <si>
    <t>Thrice</t>
  </si>
  <si>
    <t>Sunami</t>
  </si>
  <si>
    <t>Minus the Bear</t>
  </si>
  <si>
    <t xml:space="preserve">Psychedlic Porn Crumpets </t>
  </si>
  <si>
    <t xml:space="preserve">Wednesday </t>
  </si>
  <si>
    <t>Memphis May Fire</t>
  </si>
  <si>
    <t>Monaleo</t>
  </si>
  <si>
    <t>Elovators</t>
  </si>
  <si>
    <t>PVRIS</t>
  </si>
  <si>
    <t>Earl Sweatshirt</t>
  </si>
  <si>
    <t>Shakey Graves</t>
  </si>
  <si>
    <t>Griz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</si>
</sst>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m/d/yy"/>
    <numFmt numFmtId="169" formatCode="ddd"/>
    <numFmt numFmtId="170" formatCode="_(* #,##0_);_(* \(#,##0\);_(* &quot;-&quot;_);_(@_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b/>
      <sz val="11.0"/>
      <color rgb="FFFF0000"/>
      <name val="Times New Roman"/>
    </font>
    <font>
      <b/>
      <sz val="11.0"/>
      <color rgb="FFFF0000"/>
      <name val="Calibri"/>
    </font>
    <font>
      <sz val="10.0"/>
      <color theme="1"/>
      <name val="Times New Roman"/>
    </font>
    <font>
      <sz val="10.0"/>
      <color rgb="FFFF0000"/>
      <name val="Times New Roman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F7474"/>
        <bgColor rgb="FFFF7474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0" fillId="0" fontId="4" numFmtId="0" xfId="0" applyFont="1"/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4" fillId="7" fontId="5" numFmtId="0" xfId="0" applyAlignment="1" applyBorder="1" applyFill="1" applyFont="1">
      <alignment horizontal="center" shrinkToFit="0" wrapText="1"/>
    </xf>
    <xf borderId="5" fillId="7" fontId="5" numFmtId="0" xfId="0" applyAlignment="1" applyBorder="1" applyFont="1">
      <alignment horizontal="center" shrinkToFit="0" wrapText="1"/>
    </xf>
    <xf borderId="5" fillId="7" fontId="5" numFmtId="164" xfId="0" applyAlignment="1" applyBorder="1" applyFont="1" applyNumberFormat="1">
      <alignment horizontal="center" shrinkToFit="0" wrapText="1"/>
    </xf>
    <xf borderId="6" fillId="7" fontId="5" numFmtId="0" xfId="0" applyAlignment="1" applyBorder="1" applyFont="1">
      <alignment horizontal="center" shrinkToFit="0" wrapText="1"/>
    </xf>
    <xf borderId="7" fillId="7" fontId="5" numFmtId="0" xfId="0" applyAlignment="1" applyBorder="1" applyFont="1">
      <alignment horizontal="center" shrinkToFit="0" wrapText="1"/>
    </xf>
    <xf borderId="8" fillId="7" fontId="5" numFmtId="0" xfId="0" applyAlignment="1" applyBorder="1" applyFont="1">
      <alignment horizontal="center" shrinkToFit="0" wrapText="1"/>
    </xf>
    <xf borderId="9" fillId="7" fontId="5" numFmtId="0" xfId="0" applyAlignment="1" applyBorder="1" applyFont="1">
      <alignment horizontal="center" shrinkToFit="0" wrapText="1"/>
    </xf>
    <xf borderId="10" fillId="7" fontId="6" numFmtId="0" xfId="0" applyAlignment="1" applyBorder="1" applyFont="1">
      <alignment horizontal="center" shrinkToFit="0" wrapText="1"/>
    </xf>
    <xf borderId="11" fillId="0" fontId="4" numFmtId="165" xfId="0" applyAlignment="1" applyBorder="1" applyFont="1" applyNumberFormat="1">
      <alignment horizontal="center" shrinkToFit="0" wrapText="1"/>
    </xf>
    <xf borderId="12" fillId="4" fontId="5" numFmtId="0" xfId="0" applyBorder="1" applyFont="1"/>
    <xf borderId="13" fillId="4" fontId="4" numFmtId="0" xfId="0" applyBorder="1" applyFont="1"/>
    <xf borderId="13" fillId="4" fontId="5" numFmtId="164" xfId="0" applyBorder="1" applyFont="1" applyNumberFormat="1"/>
    <xf borderId="13" fillId="2" fontId="5" numFmtId="164" xfId="0" applyBorder="1" applyFont="1" applyNumberFormat="1"/>
    <xf borderId="13" fillId="4" fontId="5" numFmtId="166" xfId="0" applyBorder="1" applyFont="1" applyNumberFormat="1"/>
    <xf borderId="14" fillId="2" fontId="5" numFmtId="166" xfId="0" applyBorder="1" applyFont="1" applyNumberFormat="1"/>
    <xf borderId="12" fillId="4" fontId="5" numFmtId="166" xfId="0" applyBorder="1" applyFont="1" applyNumberFormat="1"/>
    <xf borderId="14" fillId="4" fontId="5" numFmtId="166" xfId="0" applyBorder="1" applyFont="1" applyNumberFormat="1"/>
    <xf borderId="13" fillId="4" fontId="6" numFmtId="166" xfId="0" applyBorder="1" applyFont="1" applyNumberFormat="1"/>
    <xf borderId="13" fillId="4" fontId="5" numFmtId="10" xfId="0" applyBorder="1" applyFont="1" applyNumberFormat="1"/>
    <xf borderId="13" fillId="4" fontId="5" numFmtId="167" xfId="0" applyBorder="1" applyFont="1" applyNumberFormat="1"/>
    <xf borderId="14" fillId="4" fontId="5" numFmtId="10" xfId="0" applyBorder="1" applyFont="1" applyNumberFormat="1"/>
    <xf borderId="15" fillId="0" fontId="4" numFmtId="0" xfId="0" applyBorder="1" applyFont="1"/>
    <xf borderId="16" fillId="0" fontId="4" numFmtId="0" xfId="0" applyBorder="1" applyFont="1"/>
    <xf borderId="16" fillId="0" fontId="4" numFmtId="165" xfId="0" applyBorder="1" applyFont="1" applyNumberFormat="1"/>
    <xf borderId="16" fillId="0" fontId="4" numFmtId="164" xfId="0" applyBorder="1" applyFont="1" applyNumberFormat="1"/>
    <xf borderId="17" fillId="0" fontId="4" numFmtId="165" xfId="0" applyBorder="1" applyFont="1" applyNumberFormat="1"/>
    <xf borderId="15" fillId="0" fontId="4" numFmtId="165" xfId="0" applyBorder="1" applyFont="1" applyNumberFormat="1"/>
    <xf borderId="16" fillId="0" fontId="7" numFmtId="165" xfId="0" applyBorder="1" applyFont="1" applyNumberFormat="1"/>
    <xf borderId="18" fillId="7" fontId="8" numFmtId="0" xfId="0" applyBorder="1" applyFont="1"/>
    <xf borderId="19" fillId="7" fontId="8" numFmtId="0" xfId="0" applyBorder="1" applyFont="1"/>
    <xf borderId="18" fillId="7" fontId="8" numFmtId="168" xfId="0" applyAlignment="1" applyBorder="1" applyFont="1" applyNumberFormat="1">
      <alignment horizontal="center"/>
    </xf>
    <xf borderId="18" fillId="7" fontId="8" numFmtId="169" xfId="0" applyAlignment="1" applyBorder="1" applyFont="1" applyNumberFormat="1">
      <alignment horizontal="center"/>
    </xf>
    <xf borderId="18" fillId="7" fontId="8" numFmtId="164" xfId="0" applyBorder="1" applyFont="1" applyNumberFormat="1"/>
    <xf borderId="18" fillId="7" fontId="8" numFmtId="9" xfId="0" applyBorder="1" applyFont="1" applyNumberFormat="1"/>
    <xf borderId="18" fillId="7" fontId="8" numFmtId="166" xfId="0" applyBorder="1" applyFont="1" applyNumberFormat="1"/>
    <xf borderId="18" fillId="7" fontId="8" numFmtId="167" xfId="0" applyBorder="1" applyFont="1" applyNumberFormat="1"/>
    <xf borderId="20" fillId="7" fontId="8" numFmtId="9" xfId="0" applyBorder="1" applyFont="1" applyNumberFormat="1"/>
    <xf borderId="19" fillId="7" fontId="8" numFmtId="166" xfId="0" applyBorder="1" applyFont="1" applyNumberFormat="1"/>
    <xf borderId="20" fillId="7" fontId="8" numFmtId="166" xfId="0" applyBorder="1" applyFont="1" applyNumberFormat="1"/>
    <xf borderId="19" fillId="7" fontId="8" numFmtId="170" xfId="0" applyBorder="1" applyFont="1" applyNumberFormat="1"/>
    <xf borderId="18" fillId="7" fontId="8" numFmtId="170" xfId="0" applyBorder="1" applyFont="1" applyNumberFormat="1"/>
    <xf borderId="18" fillId="7" fontId="9" numFmtId="170" xfId="0" applyBorder="1" applyFont="1" applyNumberFormat="1"/>
    <xf borderId="20" fillId="7" fontId="8" numFmtId="170" xfId="0" applyBorder="1" applyFont="1" applyNumberFormat="1"/>
    <xf borderId="0" fillId="0" fontId="4" numFmtId="165" xfId="0" applyFont="1" applyNumberFormat="1"/>
    <xf borderId="0" fillId="0" fontId="8" numFmtId="0" xfId="0" applyFont="1"/>
    <xf borderId="21" fillId="0" fontId="8" numFmtId="0" xfId="0" applyBorder="1" applyFont="1"/>
    <xf borderId="0" fillId="0" fontId="8" numFmtId="168" xfId="0" applyAlignment="1" applyFont="1" applyNumberFormat="1">
      <alignment horizontal="center"/>
    </xf>
    <xf borderId="0" fillId="0" fontId="8" numFmtId="169" xfId="0" applyAlignment="1" applyFont="1" applyNumberFormat="1">
      <alignment horizontal="center"/>
    </xf>
    <xf borderId="0" fillId="0" fontId="8" numFmtId="164" xfId="0" applyFont="1" applyNumberFormat="1"/>
    <xf borderId="0" fillId="0" fontId="8" numFmtId="9" xfId="0" applyFont="1" applyNumberFormat="1"/>
    <xf borderId="0" fillId="0" fontId="8" numFmtId="165" xfId="0" applyFont="1" applyNumberFormat="1"/>
    <xf borderId="22" fillId="0" fontId="8" numFmtId="9" xfId="0" applyBorder="1" applyFont="1" applyNumberFormat="1"/>
    <xf borderId="21" fillId="0" fontId="8" numFmtId="164" xfId="0" applyBorder="1" applyFont="1" applyNumberFormat="1"/>
    <xf borderId="22" fillId="0" fontId="8" numFmtId="164" xfId="0" applyBorder="1" applyFont="1" applyNumberFormat="1"/>
    <xf borderId="21" fillId="0" fontId="8" numFmtId="170" xfId="0" applyBorder="1" applyFont="1" applyNumberFormat="1"/>
    <xf borderId="0" fillId="0" fontId="8" numFmtId="170" xfId="0" applyFont="1" applyNumberFormat="1"/>
    <xf borderId="0" fillId="0" fontId="9" numFmtId="170" xfId="0" applyFont="1" applyNumberFormat="1"/>
    <xf borderId="22" fillId="0" fontId="8" numFmtId="170" xfId="0" applyBorder="1" applyFont="1" applyNumberFormat="1"/>
    <xf borderId="18" fillId="7" fontId="8" numFmtId="165" xfId="0" applyBorder="1" applyFont="1" applyNumberFormat="1"/>
    <xf borderId="19" fillId="7" fontId="8" numFmtId="164" xfId="0" applyBorder="1" applyFont="1" applyNumberFormat="1"/>
    <xf borderId="20" fillId="7" fontId="8" numFmtId="164" xfId="0" applyBorder="1" applyFont="1" applyNumberFormat="1"/>
    <xf borderId="18" fillId="8" fontId="4" numFmtId="165" xfId="0" applyBorder="1" applyFill="1" applyFont="1" applyNumberFormat="1"/>
    <xf borderId="0" fillId="0" fontId="1" numFmtId="165" xfId="0" applyFont="1" applyNumberFormat="1"/>
    <xf borderId="21" fillId="0" fontId="8" numFmtId="0" xfId="0" applyAlignment="1" applyBorder="1" applyFont="1">
      <alignment readingOrder="0"/>
    </xf>
    <xf borderId="0" fillId="0" fontId="8" numFmtId="168" xfId="0" applyAlignment="1" applyFont="1" applyNumberForma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19" fillId="7" fontId="8" numFmtId="0" xfId="0" applyAlignment="1" applyBorder="1" applyFont="1">
      <alignment readingOrder="0"/>
    </xf>
    <xf borderId="18" fillId="7" fontId="8" numFmtId="168" xfId="0" applyAlignment="1" applyBorder="1" applyFont="1" applyNumberFormat="1">
      <alignment horizontal="center" readingOrder="0"/>
    </xf>
    <xf borderId="18" fillId="7" fontId="8" numFmtId="164" xfId="0" applyAlignment="1" applyBorder="1" applyFont="1" applyNumberFormat="1">
      <alignment readingOrder="0"/>
    </xf>
    <xf borderId="23" fillId="7" fontId="8" numFmtId="0" xfId="0" applyAlignment="1" applyBorder="1" applyFont="1">
      <alignment readingOrder="0"/>
    </xf>
    <xf borderId="24" fillId="7" fontId="8" numFmtId="168" xfId="0" applyAlignment="1" applyBorder="1" applyFont="1" applyNumberFormat="1">
      <alignment horizontal="center" readingOrder="0"/>
    </xf>
    <xf borderId="24" fillId="7" fontId="8" numFmtId="169" xfId="0" applyAlignment="1" applyBorder="1" applyFont="1" applyNumberFormat="1">
      <alignment horizontal="center"/>
    </xf>
    <xf borderId="24" fillId="7" fontId="8" numFmtId="164" xfId="0" applyAlignment="1" applyBorder="1" applyFont="1" applyNumberFormat="1">
      <alignment readingOrder="0"/>
    </xf>
    <xf borderId="24" fillId="7" fontId="8" numFmtId="164" xfId="0" applyBorder="1" applyFont="1" applyNumberFormat="1"/>
    <xf borderId="24" fillId="7" fontId="8" numFmtId="9" xfId="0" applyBorder="1" applyFont="1" applyNumberFormat="1"/>
    <xf borderId="24" fillId="7" fontId="8" numFmtId="165" xfId="0" applyBorder="1" applyFont="1" applyNumberFormat="1"/>
    <xf borderId="25" fillId="7" fontId="8" numFmtId="9" xfId="0" applyBorder="1" applyFont="1" applyNumberFormat="1"/>
    <xf borderId="23" fillId="7" fontId="8" numFmtId="164" xfId="0" applyBorder="1" applyFont="1" applyNumberFormat="1"/>
    <xf borderId="25" fillId="7" fontId="8" numFmtId="164" xfId="0" applyBorder="1" applyFont="1" applyNumberFormat="1"/>
    <xf borderId="23" fillId="7" fontId="8" numFmtId="170" xfId="0" applyBorder="1" applyFont="1" applyNumberFormat="1"/>
    <xf borderId="24" fillId="7" fontId="8" numFmtId="170" xfId="0" applyBorder="1" applyFont="1" applyNumberFormat="1"/>
    <xf borderId="24" fillId="7" fontId="9" numFmtId="170" xfId="0" applyBorder="1" applyFont="1" applyNumberFormat="1"/>
    <xf borderId="25" fillId="7" fontId="8" numFmtId="170" xfId="0" applyBorder="1" applyFont="1" applyNumberFormat="1"/>
    <xf borderId="26" fillId="0" fontId="4" numFmtId="165" xfId="0" applyAlignment="1" applyBorder="1" applyFont="1" applyNumberFormat="1">
      <alignment readingOrder="0"/>
    </xf>
    <xf borderId="0" fillId="0" fontId="1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heatr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7:X89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heat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34.29"/>
    <col customWidth="1" min="3" max="3" width="8.14"/>
    <col customWidth="1" min="4" max="4" width="6.0"/>
    <col customWidth="1" min="5" max="6" width="8.71"/>
    <col customWidth="1" min="7" max="7" width="9.29"/>
    <col customWidth="1" min="8" max="8" width="12.43"/>
    <col customWidth="1" min="9" max="9" width="10.86"/>
    <col customWidth="1" min="10" max="10" width="11.0"/>
    <col customWidth="1" min="11" max="11" width="9.71"/>
    <col customWidth="1" min="12" max="12" width="12.71"/>
    <col customWidth="1" min="13" max="13" width="9.14"/>
    <col customWidth="1" min="14" max="14" width="11.71"/>
    <col customWidth="1" min="15" max="15" width="11.0"/>
    <col customWidth="1" min="16" max="16" width="13.71"/>
    <col customWidth="1" min="17" max="17" width="12.29"/>
    <col customWidth="1" min="18" max="19" width="11.0"/>
    <col customWidth="1" min="20" max="20" width="11.29"/>
    <col customWidth="1" min="21" max="21" width="12.14"/>
    <col customWidth="1" min="22" max="22" width="11.0"/>
    <col customWidth="1" min="23" max="23" width="11.29"/>
    <col customWidth="1" min="24" max="24" width="11.43"/>
    <col customWidth="1" min="25" max="25" width="11.0"/>
    <col customWidth="1" min="26" max="26" width="10.43"/>
  </cols>
  <sheetData>
    <row r="1">
      <c r="M1" s="1"/>
      <c r="N1" s="2" t="s">
        <v>0</v>
      </c>
      <c r="O1" s="3"/>
      <c r="P1" s="4"/>
      <c r="Q1" s="5" t="s">
        <v>1</v>
      </c>
      <c r="R1" s="3"/>
      <c r="S1" s="3"/>
      <c r="T1" s="3"/>
      <c r="U1" s="3"/>
      <c r="V1" s="3"/>
      <c r="W1" s="4"/>
      <c r="X1" s="6"/>
    </row>
    <row r="2">
      <c r="B2" s="7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3</v>
      </c>
      <c r="O2" s="3"/>
      <c r="P2" s="4"/>
      <c r="Q2" s="8" t="s">
        <v>4</v>
      </c>
      <c r="R2" s="3"/>
      <c r="S2" s="3"/>
      <c r="T2" s="4"/>
      <c r="U2" s="9" t="s">
        <v>5</v>
      </c>
      <c r="V2" s="3"/>
      <c r="W2" s="4"/>
      <c r="X2" s="6"/>
    </row>
    <row r="3">
      <c r="B3" s="10" t="s">
        <v>6</v>
      </c>
      <c r="C3" s="11" t="s">
        <v>7</v>
      </c>
      <c r="D3" s="11" t="s">
        <v>8</v>
      </c>
      <c r="E3" s="12" t="s">
        <v>9</v>
      </c>
      <c r="F3" s="12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3" t="s">
        <v>17</v>
      </c>
      <c r="N3" s="14" t="s">
        <v>18</v>
      </c>
      <c r="O3" s="15" t="s">
        <v>19</v>
      </c>
      <c r="P3" s="16" t="s">
        <v>20</v>
      </c>
      <c r="Q3" s="14" t="s">
        <v>18</v>
      </c>
      <c r="R3" s="15" t="s">
        <v>21</v>
      </c>
      <c r="S3" s="17" t="s">
        <v>22</v>
      </c>
      <c r="T3" s="16" t="s">
        <v>23</v>
      </c>
      <c r="U3" s="14" t="s">
        <v>18</v>
      </c>
      <c r="V3" s="15" t="s">
        <v>24</v>
      </c>
      <c r="W3" s="16" t="s">
        <v>23</v>
      </c>
      <c r="X3" s="18" t="s">
        <v>25</v>
      </c>
    </row>
    <row r="4">
      <c r="B4" s="19" t="s">
        <v>26</v>
      </c>
      <c r="C4" s="20"/>
      <c r="D4" s="20"/>
      <c r="E4" s="21">
        <f t="shared" ref="E4:F4" si="1">SUM(E7:E84)</f>
        <v>52544</v>
      </c>
      <c r="F4" s="21">
        <f t="shared" si="1"/>
        <v>85500</v>
      </c>
      <c r="G4" s="22"/>
      <c r="H4" s="23">
        <f>SUM(H7:H84)</f>
        <v>2371590.73</v>
      </c>
      <c r="I4" s="22"/>
      <c r="J4" s="23">
        <f>SUM(J7:J84)</f>
        <v>580470.58</v>
      </c>
      <c r="K4" s="22"/>
      <c r="L4" s="23">
        <f t="shared" ref="L4:W4" si="2">SUM(L7:L84)</f>
        <v>1294820.73</v>
      </c>
      <c r="M4" s="24">
        <f t="shared" si="2"/>
        <v>47.591821</v>
      </c>
      <c r="N4" s="25">
        <f t="shared" si="2"/>
        <v>218727.59</v>
      </c>
      <c r="O4" s="23">
        <f t="shared" si="2"/>
        <v>580470.58</v>
      </c>
      <c r="P4" s="26">
        <f t="shared" si="2"/>
        <v>799198.17</v>
      </c>
      <c r="Q4" s="25">
        <f t="shared" si="2"/>
        <v>109363.795</v>
      </c>
      <c r="R4" s="23">
        <f t="shared" si="2"/>
        <v>406329.406</v>
      </c>
      <c r="S4" s="27">
        <f t="shared" si="2"/>
        <v>162531.7624</v>
      </c>
      <c r="T4" s="26">
        <f t="shared" si="2"/>
        <v>353161.4386</v>
      </c>
      <c r="U4" s="25">
        <f t="shared" si="2"/>
        <v>109363.795</v>
      </c>
      <c r="V4" s="23">
        <f t="shared" si="2"/>
        <v>174141.174</v>
      </c>
      <c r="W4" s="26">
        <f t="shared" si="2"/>
        <v>283504.969</v>
      </c>
      <c r="X4" s="6"/>
    </row>
    <row r="5">
      <c r="B5" s="19" t="s">
        <v>27</v>
      </c>
      <c r="C5" s="20"/>
      <c r="D5" s="20"/>
      <c r="E5" s="21">
        <f t="shared" ref="E5:F5" si="3">E4/COUNTA(E7:E84)</f>
        <v>673.6410256</v>
      </c>
      <c r="F5" s="21">
        <f t="shared" si="3"/>
        <v>1096.153846</v>
      </c>
      <c r="G5" s="28">
        <f>E4/F4</f>
        <v>0.6145497076</v>
      </c>
      <c r="H5" s="23">
        <f>H4/COUNTA(H7:H84)</f>
        <v>30405.00936</v>
      </c>
      <c r="I5" s="29">
        <f>H4/E4</f>
        <v>45.13532906</v>
      </c>
      <c r="J5" s="23">
        <f>J4/COUNTA(J7:J84)</f>
        <v>7441.930513</v>
      </c>
      <c r="K5" s="29">
        <f>J4/E4</f>
        <v>11.04732377</v>
      </c>
      <c r="L5" s="23">
        <f>L4/COUNTA(L7:L84)</f>
        <v>16600.26577</v>
      </c>
      <c r="M5" s="30">
        <f>L4/H4</f>
        <v>0.545971408</v>
      </c>
      <c r="N5" s="25">
        <f t="shared" ref="N5:W5" si="4">N4/COUNTIF(N7:N84,"&lt;&gt;0")</f>
        <v>2804.199872</v>
      </c>
      <c r="O5" s="23">
        <f t="shared" si="4"/>
        <v>7538.578961</v>
      </c>
      <c r="P5" s="26">
        <f t="shared" si="4"/>
        <v>10246.13038</v>
      </c>
      <c r="Q5" s="25">
        <f t="shared" si="4"/>
        <v>1402.099936</v>
      </c>
      <c r="R5" s="23">
        <f t="shared" si="4"/>
        <v>5277.005273</v>
      </c>
      <c r="S5" s="27">
        <f t="shared" si="4"/>
        <v>2110.802109</v>
      </c>
      <c r="T5" s="26">
        <f t="shared" si="4"/>
        <v>4527.710751</v>
      </c>
      <c r="U5" s="25">
        <f t="shared" si="4"/>
        <v>1402.099936</v>
      </c>
      <c r="V5" s="23">
        <f t="shared" si="4"/>
        <v>2261.573688</v>
      </c>
      <c r="W5" s="26">
        <f t="shared" si="4"/>
        <v>3634.67909</v>
      </c>
      <c r="X5" s="6"/>
    </row>
    <row r="6">
      <c r="B6" s="31"/>
      <c r="C6" s="32"/>
      <c r="D6" s="32"/>
      <c r="E6" s="33"/>
      <c r="F6" s="33"/>
      <c r="G6" s="33"/>
      <c r="H6" s="33"/>
      <c r="I6" s="34"/>
      <c r="J6" s="33"/>
      <c r="K6" s="34"/>
      <c r="L6" s="33"/>
      <c r="M6" s="35"/>
      <c r="N6" s="36"/>
      <c r="O6" s="33"/>
      <c r="P6" s="35"/>
      <c r="Q6" s="36"/>
      <c r="R6" s="33"/>
      <c r="S6" s="37"/>
      <c r="T6" s="35"/>
      <c r="U6" s="36"/>
      <c r="V6" s="33"/>
      <c r="W6" s="35"/>
      <c r="X6" s="6"/>
    </row>
    <row r="7">
      <c r="A7" s="38">
        <v>1.0</v>
      </c>
      <c r="B7" s="39" t="s">
        <v>28</v>
      </c>
      <c r="C7" s="40">
        <v>45682.0</v>
      </c>
      <c r="D7" s="41">
        <f t="shared" ref="D7:D48" si="6">C7</f>
        <v>45682</v>
      </c>
      <c r="E7" s="42">
        <v>537.0</v>
      </c>
      <c r="F7" s="42">
        <v>1100.0</v>
      </c>
      <c r="G7" s="43">
        <f t="shared" ref="G7:G89" si="7">IFERROR(E7/F7,"")</f>
        <v>0.4881818182</v>
      </c>
      <c r="H7" s="44">
        <v>16454.22</v>
      </c>
      <c r="I7" s="45">
        <f t="shared" ref="I7:I89" si="8">IFERROR(H7/E7,"")</f>
        <v>30.64100559</v>
      </c>
      <c r="J7" s="44">
        <v>9611.65</v>
      </c>
      <c r="K7" s="45">
        <f t="shared" ref="K7:K89" si="9">IFERROR(J7/E7,"")</f>
        <v>17.89878957</v>
      </c>
      <c r="L7" s="44">
        <v>5400.0</v>
      </c>
      <c r="M7" s="46">
        <f t="shared" ref="M7:M12" si="10">L7/H7</f>
        <v>0.3281832867</v>
      </c>
      <c r="N7" s="47">
        <f t="shared" ref="N7:O7" si="5">Q7+U7</f>
        <v>1551.99</v>
      </c>
      <c r="O7" s="44">
        <f t="shared" si="5"/>
        <v>9611.65</v>
      </c>
      <c r="P7" s="48">
        <f t="shared" ref="P7:P89" si="12">N7+O7</f>
        <v>11163.64</v>
      </c>
      <c r="Q7" s="49">
        <f t="shared" ref="Q7:Q89" si="13">X7*0.5</f>
        <v>775.995</v>
      </c>
      <c r="R7" s="50">
        <f t="shared" ref="R7:R89" si="14">J7*70%</f>
        <v>6728.155</v>
      </c>
      <c r="S7" s="51">
        <f t="shared" ref="S7:S89" si="15">J7*0.28</f>
        <v>2691.262</v>
      </c>
      <c r="T7" s="52">
        <f t="shared" ref="T7:T89" si="16">Q7+R7-S7</f>
        <v>4812.888</v>
      </c>
      <c r="U7" s="47">
        <f t="shared" ref="U7:U89" si="17">Q7</f>
        <v>775.995</v>
      </c>
      <c r="V7" s="44">
        <f t="shared" ref="V7:V89" si="18">J7*30%</f>
        <v>2883.495</v>
      </c>
      <c r="W7" s="48">
        <f t="shared" ref="W7:W89" si="19">U7+V7</f>
        <v>3659.49</v>
      </c>
      <c r="X7" s="53">
        <v>1551.99</v>
      </c>
    </row>
    <row r="8">
      <c r="A8" s="54">
        <v>2.0</v>
      </c>
      <c r="B8" s="55" t="s">
        <v>29</v>
      </c>
      <c r="C8" s="56">
        <v>45685.0</v>
      </c>
      <c r="D8" s="57">
        <f t="shared" si="6"/>
        <v>45685</v>
      </c>
      <c r="E8" s="58">
        <v>1215.0</v>
      </c>
      <c r="F8" s="58">
        <v>1100.0</v>
      </c>
      <c r="G8" s="59">
        <f t="shared" si="7"/>
        <v>1.104545455</v>
      </c>
      <c r="H8" s="58">
        <v>37481.69</v>
      </c>
      <c r="I8" s="60">
        <f t="shared" si="8"/>
        <v>30.84912757</v>
      </c>
      <c r="J8" s="58">
        <v>5307.53</v>
      </c>
      <c r="K8" s="60">
        <f t="shared" si="9"/>
        <v>4.368337449</v>
      </c>
      <c r="L8" s="58">
        <v>17452.48</v>
      </c>
      <c r="M8" s="61">
        <f t="shared" si="10"/>
        <v>0.4656268167</v>
      </c>
      <c r="N8" s="62">
        <f t="shared" ref="N8:O8" si="11">Q8+U8</f>
        <v>11785.05</v>
      </c>
      <c r="O8" s="58">
        <f t="shared" si="11"/>
        <v>5307.53</v>
      </c>
      <c r="P8" s="63">
        <f t="shared" si="12"/>
        <v>17092.58</v>
      </c>
      <c r="Q8" s="64">
        <f t="shared" si="13"/>
        <v>5892.525</v>
      </c>
      <c r="R8" s="65">
        <f t="shared" si="14"/>
        <v>3715.271</v>
      </c>
      <c r="S8" s="66">
        <f t="shared" si="15"/>
        <v>1486.1084</v>
      </c>
      <c r="T8" s="67">
        <f t="shared" si="16"/>
        <v>8121.6876</v>
      </c>
      <c r="U8" s="62">
        <f t="shared" si="17"/>
        <v>5892.525</v>
      </c>
      <c r="V8" s="58">
        <f t="shared" si="18"/>
        <v>1592.259</v>
      </c>
      <c r="W8" s="63">
        <f t="shared" si="19"/>
        <v>7484.784</v>
      </c>
      <c r="X8" s="53">
        <v>11785.05</v>
      </c>
    </row>
    <row r="9">
      <c r="A9" s="38">
        <v>3.0</v>
      </c>
      <c r="B9" s="39" t="s">
        <v>30</v>
      </c>
      <c r="C9" s="40">
        <v>45683.0</v>
      </c>
      <c r="D9" s="41">
        <f t="shared" si="6"/>
        <v>45683</v>
      </c>
      <c r="E9" s="42">
        <v>1095.0</v>
      </c>
      <c r="F9" s="42">
        <v>1100.0</v>
      </c>
      <c r="G9" s="43">
        <f t="shared" si="7"/>
        <v>0.9954545455</v>
      </c>
      <c r="H9" s="42">
        <v>46679.36</v>
      </c>
      <c r="I9" s="68">
        <f t="shared" si="8"/>
        <v>42.62955251</v>
      </c>
      <c r="J9" s="42">
        <v>12341.25</v>
      </c>
      <c r="K9" s="68">
        <f t="shared" si="9"/>
        <v>11.27054795</v>
      </c>
      <c r="L9" s="42">
        <v>24500.0</v>
      </c>
      <c r="M9" s="46">
        <f t="shared" si="10"/>
        <v>0.5248572388</v>
      </c>
      <c r="N9" s="69">
        <f t="shared" ref="N9:O9" si="20">Q9+U9</f>
        <v>11105.94</v>
      </c>
      <c r="O9" s="42">
        <f t="shared" si="20"/>
        <v>12341.25</v>
      </c>
      <c r="P9" s="70">
        <f t="shared" si="12"/>
        <v>23447.19</v>
      </c>
      <c r="Q9" s="49">
        <f t="shared" si="13"/>
        <v>5552.97</v>
      </c>
      <c r="R9" s="50">
        <f t="shared" si="14"/>
        <v>8638.875</v>
      </c>
      <c r="S9" s="51">
        <f t="shared" si="15"/>
        <v>3455.55</v>
      </c>
      <c r="T9" s="52">
        <f t="shared" si="16"/>
        <v>10736.295</v>
      </c>
      <c r="U9" s="69">
        <f t="shared" si="17"/>
        <v>5552.97</v>
      </c>
      <c r="V9" s="42">
        <f t="shared" si="18"/>
        <v>3702.375</v>
      </c>
      <c r="W9" s="70">
        <f t="shared" si="19"/>
        <v>9255.345</v>
      </c>
      <c r="X9" s="53">
        <v>11105.94</v>
      </c>
    </row>
    <row r="10">
      <c r="A10" s="54">
        <v>4.0</v>
      </c>
      <c r="B10" s="55" t="s">
        <v>31</v>
      </c>
      <c r="C10" s="56">
        <v>45687.0</v>
      </c>
      <c r="D10" s="57">
        <f t="shared" si="6"/>
        <v>45687</v>
      </c>
      <c r="E10" s="58">
        <v>727.0</v>
      </c>
      <c r="F10" s="58">
        <v>1100.0</v>
      </c>
      <c r="G10" s="59">
        <f t="shared" si="7"/>
        <v>0.6609090909</v>
      </c>
      <c r="H10" s="58">
        <v>34512.88</v>
      </c>
      <c r="I10" s="60">
        <f t="shared" si="8"/>
        <v>47.47301238</v>
      </c>
      <c r="J10" s="58">
        <v>10294.53</v>
      </c>
      <c r="K10" s="60">
        <f t="shared" si="9"/>
        <v>14.16028886</v>
      </c>
      <c r="L10" s="58">
        <v>32500.0</v>
      </c>
      <c r="M10" s="61">
        <f t="shared" si="10"/>
        <v>0.9416774259</v>
      </c>
      <c r="N10" s="62">
        <f t="shared" ref="N10:O10" si="21">Q10+U10</f>
        <v>-8560.58</v>
      </c>
      <c r="O10" s="58">
        <f t="shared" si="21"/>
        <v>10294.53</v>
      </c>
      <c r="P10" s="63">
        <f t="shared" si="12"/>
        <v>1733.95</v>
      </c>
      <c r="Q10" s="64">
        <f t="shared" si="13"/>
        <v>-4280.29</v>
      </c>
      <c r="R10" s="65">
        <f t="shared" si="14"/>
        <v>7206.171</v>
      </c>
      <c r="S10" s="66">
        <f t="shared" si="15"/>
        <v>2882.4684</v>
      </c>
      <c r="T10" s="67">
        <f t="shared" si="16"/>
        <v>43.4126</v>
      </c>
      <c r="U10" s="62">
        <f t="shared" si="17"/>
        <v>-4280.29</v>
      </c>
      <c r="V10" s="58">
        <f t="shared" si="18"/>
        <v>3088.359</v>
      </c>
      <c r="W10" s="63">
        <f t="shared" si="19"/>
        <v>-1191.931</v>
      </c>
      <c r="X10" s="71">
        <v>-8560.58</v>
      </c>
    </row>
    <row r="11">
      <c r="A11" s="38">
        <v>5.0</v>
      </c>
      <c r="B11" s="39" t="s">
        <v>32</v>
      </c>
      <c r="C11" s="40">
        <v>45690.0</v>
      </c>
      <c r="D11" s="41">
        <f t="shared" si="6"/>
        <v>45690</v>
      </c>
      <c r="E11" s="42">
        <v>260.0</v>
      </c>
      <c r="F11" s="42">
        <v>750.0</v>
      </c>
      <c r="G11" s="43">
        <f t="shared" si="7"/>
        <v>0.3466666667</v>
      </c>
      <c r="H11" s="42">
        <v>14594.91</v>
      </c>
      <c r="I11" s="68">
        <f t="shared" si="8"/>
        <v>56.13426923</v>
      </c>
      <c r="J11" s="42">
        <v>2315.84</v>
      </c>
      <c r="K11" s="68">
        <f t="shared" si="9"/>
        <v>8.907076923</v>
      </c>
      <c r="L11" s="42">
        <v>15000.0</v>
      </c>
      <c r="M11" s="46">
        <f t="shared" si="10"/>
        <v>1.027755567</v>
      </c>
      <c r="N11" s="69">
        <f t="shared" ref="N11:O11" si="22">Q11+U11</f>
        <v>-8284.38</v>
      </c>
      <c r="O11" s="42">
        <f t="shared" si="22"/>
        <v>2315.84</v>
      </c>
      <c r="P11" s="70">
        <f t="shared" si="12"/>
        <v>-5968.54</v>
      </c>
      <c r="Q11" s="49">
        <f t="shared" si="13"/>
        <v>-4142.19</v>
      </c>
      <c r="R11" s="50">
        <f t="shared" si="14"/>
        <v>1621.088</v>
      </c>
      <c r="S11" s="51">
        <f t="shared" si="15"/>
        <v>648.4352</v>
      </c>
      <c r="T11" s="52">
        <f t="shared" si="16"/>
        <v>-3169.5372</v>
      </c>
      <c r="U11" s="69">
        <f t="shared" si="17"/>
        <v>-4142.19</v>
      </c>
      <c r="V11" s="42">
        <f t="shared" si="18"/>
        <v>694.752</v>
      </c>
      <c r="W11" s="70">
        <f t="shared" si="19"/>
        <v>-3447.438</v>
      </c>
      <c r="X11" s="71">
        <v>-8284.38</v>
      </c>
    </row>
    <row r="12">
      <c r="A12" s="54">
        <v>6.0</v>
      </c>
      <c r="B12" s="55" t="s">
        <v>33</v>
      </c>
      <c r="C12" s="56">
        <v>45693.0</v>
      </c>
      <c r="D12" s="57">
        <f t="shared" si="6"/>
        <v>45693</v>
      </c>
      <c r="E12" s="58">
        <v>610.0</v>
      </c>
      <c r="F12" s="58">
        <v>1100.0</v>
      </c>
      <c r="G12" s="59">
        <f t="shared" si="7"/>
        <v>0.5545454545</v>
      </c>
      <c r="H12" s="58">
        <v>22635.39</v>
      </c>
      <c r="I12" s="60">
        <f t="shared" si="8"/>
        <v>37.10719672</v>
      </c>
      <c r="J12" s="58">
        <v>4891.31</v>
      </c>
      <c r="K12" s="60">
        <f t="shared" si="9"/>
        <v>8.018540984</v>
      </c>
      <c r="L12" s="58">
        <v>16500.0</v>
      </c>
      <c r="M12" s="61">
        <f t="shared" si="10"/>
        <v>0.7289470162</v>
      </c>
      <c r="N12" s="62">
        <f t="shared" ref="N12:O12" si="23">Q12+U12</f>
        <v>-2103.47</v>
      </c>
      <c r="O12" s="58">
        <f t="shared" si="23"/>
        <v>4891.31</v>
      </c>
      <c r="P12" s="63">
        <f t="shared" si="12"/>
        <v>2787.84</v>
      </c>
      <c r="Q12" s="64">
        <f t="shared" si="13"/>
        <v>-1051.735</v>
      </c>
      <c r="R12" s="65">
        <f t="shared" si="14"/>
        <v>3423.917</v>
      </c>
      <c r="S12" s="66">
        <f t="shared" si="15"/>
        <v>1369.5668</v>
      </c>
      <c r="T12" s="67">
        <f t="shared" si="16"/>
        <v>1002.6152</v>
      </c>
      <c r="U12" s="62">
        <f t="shared" si="17"/>
        <v>-1051.735</v>
      </c>
      <c r="V12" s="58">
        <f t="shared" si="18"/>
        <v>1467.393</v>
      </c>
      <c r="W12" s="63">
        <f t="shared" si="19"/>
        <v>415.658</v>
      </c>
      <c r="X12" s="71">
        <v>-2103.47</v>
      </c>
    </row>
    <row r="13">
      <c r="A13" s="38">
        <v>7.0</v>
      </c>
      <c r="B13" s="39" t="s">
        <v>34</v>
      </c>
      <c r="C13" s="40">
        <v>45695.0</v>
      </c>
      <c r="D13" s="41">
        <f t="shared" si="6"/>
        <v>45695</v>
      </c>
      <c r="E13" s="42">
        <v>781.0</v>
      </c>
      <c r="F13" s="42">
        <v>1100.0</v>
      </c>
      <c r="G13" s="43">
        <f t="shared" si="7"/>
        <v>0.71</v>
      </c>
      <c r="H13" s="42">
        <v>36529.03</v>
      </c>
      <c r="I13" s="68">
        <f t="shared" si="8"/>
        <v>46.77212548</v>
      </c>
      <c r="J13" s="42">
        <v>7982.03</v>
      </c>
      <c r="K13" s="68">
        <f t="shared" si="9"/>
        <v>10.22026889</v>
      </c>
      <c r="L13" s="42">
        <v>17500.0</v>
      </c>
      <c r="M13" s="46">
        <f t="shared" ref="M13:M89" si="25">IFERROR(L13/H13,"")</f>
        <v>0.4790710293</v>
      </c>
      <c r="N13" s="69">
        <f t="shared" ref="N13:O13" si="24">Q13+U13</f>
        <v>4448.18</v>
      </c>
      <c r="O13" s="42">
        <f t="shared" si="24"/>
        <v>7982.03</v>
      </c>
      <c r="P13" s="70">
        <f t="shared" si="12"/>
        <v>12430.21</v>
      </c>
      <c r="Q13" s="49">
        <f t="shared" si="13"/>
        <v>2224.09</v>
      </c>
      <c r="R13" s="50">
        <f t="shared" si="14"/>
        <v>5587.421</v>
      </c>
      <c r="S13" s="51">
        <f t="shared" si="15"/>
        <v>2234.9684</v>
      </c>
      <c r="T13" s="52">
        <f t="shared" si="16"/>
        <v>5576.5426</v>
      </c>
      <c r="U13" s="69">
        <f t="shared" si="17"/>
        <v>2224.09</v>
      </c>
      <c r="V13" s="42">
        <f t="shared" si="18"/>
        <v>2394.609</v>
      </c>
      <c r="W13" s="70">
        <f t="shared" si="19"/>
        <v>4618.699</v>
      </c>
      <c r="X13" s="53">
        <v>4448.18</v>
      </c>
    </row>
    <row r="14">
      <c r="A14" s="54">
        <v>8.0</v>
      </c>
      <c r="B14" s="55" t="s">
        <v>35</v>
      </c>
      <c r="C14" s="56">
        <v>45696.0</v>
      </c>
      <c r="D14" s="57">
        <f t="shared" si="6"/>
        <v>45696</v>
      </c>
      <c r="E14" s="58">
        <v>415.0</v>
      </c>
      <c r="F14" s="58">
        <v>750.0</v>
      </c>
      <c r="G14" s="59">
        <f t="shared" si="7"/>
        <v>0.5533333333</v>
      </c>
      <c r="H14" s="58">
        <v>18059.96</v>
      </c>
      <c r="I14" s="60">
        <f t="shared" si="8"/>
        <v>43.5179759</v>
      </c>
      <c r="J14" s="58">
        <v>3165.91</v>
      </c>
      <c r="K14" s="60">
        <f t="shared" si="9"/>
        <v>7.628698795</v>
      </c>
      <c r="L14" s="58">
        <v>13400.0</v>
      </c>
      <c r="M14" s="61">
        <f t="shared" si="25"/>
        <v>0.7419728504</v>
      </c>
      <c r="N14" s="62">
        <f t="shared" ref="N14:O14" si="26">Q14+U14</f>
        <v>-4758.55</v>
      </c>
      <c r="O14" s="58">
        <f t="shared" si="26"/>
        <v>3165.91</v>
      </c>
      <c r="P14" s="63">
        <f t="shared" si="12"/>
        <v>-1592.64</v>
      </c>
      <c r="Q14" s="64">
        <f t="shared" si="13"/>
        <v>-2379.275</v>
      </c>
      <c r="R14" s="65">
        <f t="shared" si="14"/>
        <v>2216.137</v>
      </c>
      <c r="S14" s="66">
        <f t="shared" si="15"/>
        <v>886.4548</v>
      </c>
      <c r="T14" s="67">
        <f t="shared" si="16"/>
        <v>-1049.5928</v>
      </c>
      <c r="U14" s="62">
        <f t="shared" si="17"/>
        <v>-2379.275</v>
      </c>
      <c r="V14" s="58">
        <f t="shared" si="18"/>
        <v>949.773</v>
      </c>
      <c r="W14" s="63">
        <f t="shared" si="19"/>
        <v>-1429.502</v>
      </c>
      <c r="X14" s="71">
        <v>-4758.55</v>
      </c>
    </row>
    <row r="15">
      <c r="A15" s="38">
        <v>9.0</v>
      </c>
      <c r="B15" s="39" t="s">
        <v>36</v>
      </c>
      <c r="C15" s="40">
        <v>45709.0</v>
      </c>
      <c r="D15" s="41">
        <f t="shared" si="6"/>
        <v>45709</v>
      </c>
      <c r="E15" s="42">
        <v>522.0</v>
      </c>
      <c r="F15" s="42">
        <v>1100.0</v>
      </c>
      <c r="G15" s="43">
        <f t="shared" si="7"/>
        <v>0.4745454545</v>
      </c>
      <c r="H15" s="42">
        <v>20571.76</v>
      </c>
      <c r="I15" s="68">
        <f t="shared" si="8"/>
        <v>39.40950192</v>
      </c>
      <c r="J15" s="42">
        <v>6219.66</v>
      </c>
      <c r="K15" s="68">
        <f t="shared" si="9"/>
        <v>11.91505747</v>
      </c>
      <c r="L15" s="42">
        <v>16000.0</v>
      </c>
      <c r="M15" s="46">
        <f t="shared" si="25"/>
        <v>0.7777652471</v>
      </c>
      <c r="N15" s="69">
        <f t="shared" ref="N15:O15" si="27">Q15+U15</f>
        <v>-4713.64</v>
      </c>
      <c r="O15" s="42">
        <f t="shared" si="27"/>
        <v>6219.66</v>
      </c>
      <c r="P15" s="70">
        <f t="shared" si="12"/>
        <v>1506.02</v>
      </c>
      <c r="Q15" s="49">
        <f t="shared" si="13"/>
        <v>-2356.82</v>
      </c>
      <c r="R15" s="50">
        <f t="shared" si="14"/>
        <v>4353.762</v>
      </c>
      <c r="S15" s="51">
        <f t="shared" si="15"/>
        <v>1741.5048</v>
      </c>
      <c r="T15" s="52">
        <f t="shared" si="16"/>
        <v>255.4372</v>
      </c>
      <c r="U15" s="69">
        <f t="shared" si="17"/>
        <v>-2356.82</v>
      </c>
      <c r="V15" s="42">
        <f t="shared" si="18"/>
        <v>1865.898</v>
      </c>
      <c r="W15" s="70">
        <f t="shared" si="19"/>
        <v>-490.922</v>
      </c>
      <c r="X15" s="71">
        <v>-4713.64</v>
      </c>
    </row>
    <row r="16">
      <c r="A16" s="54">
        <v>10.0</v>
      </c>
      <c r="B16" s="55" t="s">
        <v>37</v>
      </c>
      <c r="C16" s="56">
        <v>45716.0</v>
      </c>
      <c r="D16" s="57">
        <f t="shared" si="6"/>
        <v>45716</v>
      </c>
      <c r="E16" s="58">
        <v>922.0</v>
      </c>
      <c r="F16" s="58">
        <v>1100.0</v>
      </c>
      <c r="G16" s="59">
        <f t="shared" si="7"/>
        <v>0.8381818182</v>
      </c>
      <c r="H16" s="58">
        <v>63552.59</v>
      </c>
      <c r="I16" s="60">
        <f t="shared" si="8"/>
        <v>68.9290564</v>
      </c>
      <c r="J16" s="58">
        <v>3469.9</v>
      </c>
      <c r="K16" s="60">
        <f t="shared" si="9"/>
        <v>3.763449024</v>
      </c>
      <c r="L16" s="58">
        <v>28444.0</v>
      </c>
      <c r="M16" s="61">
        <f t="shared" si="25"/>
        <v>0.4475663384</v>
      </c>
      <c r="N16" s="62">
        <f t="shared" ref="N16:O16" si="28">Q16+U16</f>
        <v>26156.21</v>
      </c>
      <c r="O16" s="58">
        <f t="shared" si="28"/>
        <v>3469.9</v>
      </c>
      <c r="P16" s="63">
        <f t="shared" si="12"/>
        <v>29626.11</v>
      </c>
      <c r="Q16" s="64">
        <f t="shared" si="13"/>
        <v>13078.105</v>
      </c>
      <c r="R16" s="65">
        <f t="shared" si="14"/>
        <v>2428.93</v>
      </c>
      <c r="S16" s="66">
        <f t="shared" si="15"/>
        <v>971.572</v>
      </c>
      <c r="T16" s="67">
        <f t="shared" si="16"/>
        <v>14535.463</v>
      </c>
      <c r="U16" s="62">
        <f t="shared" si="17"/>
        <v>13078.105</v>
      </c>
      <c r="V16" s="58">
        <f t="shared" si="18"/>
        <v>1040.97</v>
      </c>
      <c r="W16" s="63">
        <f t="shared" si="19"/>
        <v>14119.075</v>
      </c>
      <c r="X16" s="53">
        <v>26156.21</v>
      </c>
    </row>
    <row r="17">
      <c r="A17" s="38">
        <v>11.0</v>
      </c>
      <c r="B17" s="39" t="s">
        <v>38</v>
      </c>
      <c r="C17" s="40">
        <v>45729.0</v>
      </c>
      <c r="D17" s="41">
        <f t="shared" si="6"/>
        <v>45729</v>
      </c>
      <c r="E17" s="42">
        <v>1021.0</v>
      </c>
      <c r="F17" s="42">
        <v>1100.0</v>
      </c>
      <c r="G17" s="43">
        <f t="shared" si="7"/>
        <v>0.9281818182</v>
      </c>
      <c r="H17" s="42">
        <v>38352.25</v>
      </c>
      <c r="I17" s="68">
        <f t="shared" si="8"/>
        <v>37.56341822</v>
      </c>
      <c r="J17" s="42">
        <v>16327.6</v>
      </c>
      <c r="K17" s="68">
        <f t="shared" si="9"/>
        <v>15.99177277</v>
      </c>
      <c r="L17" s="42">
        <v>21500.0</v>
      </c>
      <c r="M17" s="46">
        <f t="shared" si="25"/>
        <v>0.5605929248</v>
      </c>
      <c r="N17" s="69">
        <f t="shared" ref="N17:O17" si="29">Q17+U17</f>
        <v>6217.33</v>
      </c>
      <c r="O17" s="42">
        <f t="shared" si="29"/>
        <v>16327.6</v>
      </c>
      <c r="P17" s="70">
        <f t="shared" si="12"/>
        <v>22544.93</v>
      </c>
      <c r="Q17" s="49">
        <f t="shared" si="13"/>
        <v>3108.665</v>
      </c>
      <c r="R17" s="50">
        <f t="shared" si="14"/>
        <v>11429.32</v>
      </c>
      <c r="S17" s="51">
        <f t="shared" si="15"/>
        <v>4571.728</v>
      </c>
      <c r="T17" s="52">
        <f t="shared" si="16"/>
        <v>9966.257</v>
      </c>
      <c r="U17" s="69">
        <f t="shared" si="17"/>
        <v>3108.665</v>
      </c>
      <c r="V17" s="42">
        <f t="shared" si="18"/>
        <v>4898.28</v>
      </c>
      <c r="W17" s="70">
        <f t="shared" si="19"/>
        <v>8006.945</v>
      </c>
      <c r="X17" s="53">
        <v>6217.33</v>
      </c>
    </row>
    <row r="18">
      <c r="A18" s="54">
        <v>12.0</v>
      </c>
      <c r="B18" s="55" t="s">
        <v>39</v>
      </c>
      <c r="C18" s="56">
        <v>45730.0</v>
      </c>
      <c r="D18" s="57">
        <f t="shared" si="6"/>
        <v>45730</v>
      </c>
      <c r="E18" s="58">
        <v>1215.0</v>
      </c>
      <c r="F18" s="58">
        <v>1100.0</v>
      </c>
      <c r="G18" s="59">
        <f t="shared" si="7"/>
        <v>1.104545455</v>
      </c>
      <c r="H18" s="58">
        <v>54438.07</v>
      </c>
      <c r="I18" s="60">
        <f t="shared" si="8"/>
        <v>44.80499588</v>
      </c>
      <c r="J18" s="58">
        <v>8341.79</v>
      </c>
      <c r="K18" s="60">
        <f t="shared" si="9"/>
        <v>6.865670782</v>
      </c>
      <c r="L18" s="58">
        <v>26676.25</v>
      </c>
      <c r="M18" s="61">
        <f t="shared" si="25"/>
        <v>0.4900293122</v>
      </c>
      <c r="N18" s="62">
        <f t="shared" ref="N18:O18" si="30">Q18+U18</f>
        <v>17906.51</v>
      </c>
      <c r="O18" s="58">
        <f t="shared" si="30"/>
        <v>8341.79</v>
      </c>
      <c r="P18" s="63">
        <f t="shared" si="12"/>
        <v>26248.3</v>
      </c>
      <c r="Q18" s="64">
        <f t="shared" si="13"/>
        <v>8953.255</v>
      </c>
      <c r="R18" s="65">
        <f t="shared" si="14"/>
        <v>5839.253</v>
      </c>
      <c r="S18" s="66">
        <f t="shared" si="15"/>
        <v>2335.7012</v>
      </c>
      <c r="T18" s="67">
        <f t="shared" si="16"/>
        <v>12456.8068</v>
      </c>
      <c r="U18" s="62">
        <f t="shared" si="17"/>
        <v>8953.255</v>
      </c>
      <c r="V18" s="58">
        <f t="shared" si="18"/>
        <v>2502.537</v>
      </c>
      <c r="W18" s="63">
        <f t="shared" si="19"/>
        <v>11455.792</v>
      </c>
      <c r="X18" s="53">
        <v>17906.51</v>
      </c>
    </row>
    <row r="19">
      <c r="A19" s="38">
        <v>13.0</v>
      </c>
      <c r="B19" s="39" t="s">
        <v>40</v>
      </c>
      <c r="C19" s="40">
        <v>45735.0</v>
      </c>
      <c r="D19" s="41">
        <f t="shared" si="6"/>
        <v>45735</v>
      </c>
      <c r="E19" s="42">
        <v>457.0</v>
      </c>
      <c r="F19" s="42">
        <v>1100.0</v>
      </c>
      <c r="G19" s="43">
        <f t="shared" si="7"/>
        <v>0.4154545455</v>
      </c>
      <c r="H19" s="42">
        <v>16422.35</v>
      </c>
      <c r="I19" s="68">
        <f t="shared" si="8"/>
        <v>35.93512035</v>
      </c>
      <c r="J19" s="42">
        <v>5290.38</v>
      </c>
      <c r="K19" s="68">
        <f t="shared" si="9"/>
        <v>11.57632385</v>
      </c>
      <c r="L19" s="42">
        <v>10000.0</v>
      </c>
      <c r="M19" s="46">
        <f t="shared" si="25"/>
        <v>0.6089262499</v>
      </c>
      <c r="N19" s="69">
        <f t="shared" ref="N19:O19" si="31">Q19+U19</f>
        <v>-2398.58</v>
      </c>
      <c r="O19" s="42">
        <f t="shared" si="31"/>
        <v>5290.38</v>
      </c>
      <c r="P19" s="70">
        <f t="shared" si="12"/>
        <v>2891.8</v>
      </c>
      <c r="Q19" s="49">
        <f t="shared" si="13"/>
        <v>-1199.29</v>
      </c>
      <c r="R19" s="50">
        <f t="shared" si="14"/>
        <v>3703.266</v>
      </c>
      <c r="S19" s="51">
        <f t="shared" si="15"/>
        <v>1481.3064</v>
      </c>
      <c r="T19" s="52">
        <f t="shared" si="16"/>
        <v>1022.6696</v>
      </c>
      <c r="U19" s="69">
        <f t="shared" si="17"/>
        <v>-1199.29</v>
      </c>
      <c r="V19" s="42">
        <f t="shared" si="18"/>
        <v>1587.114</v>
      </c>
      <c r="W19" s="70">
        <f t="shared" si="19"/>
        <v>387.824</v>
      </c>
      <c r="X19" s="71">
        <v>-2398.58</v>
      </c>
    </row>
    <row r="20">
      <c r="A20" s="54">
        <v>14.0</v>
      </c>
      <c r="B20" s="55" t="s">
        <v>41</v>
      </c>
      <c r="C20" s="56">
        <v>45743.0</v>
      </c>
      <c r="D20" s="57">
        <f t="shared" si="6"/>
        <v>45743</v>
      </c>
      <c r="E20" s="58">
        <v>341.0</v>
      </c>
      <c r="F20" s="58">
        <v>1100.0</v>
      </c>
      <c r="G20" s="59">
        <f t="shared" si="7"/>
        <v>0.31</v>
      </c>
      <c r="H20" s="58">
        <v>12420.23</v>
      </c>
      <c r="I20" s="60">
        <f t="shared" si="8"/>
        <v>36.42296188</v>
      </c>
      <c r="J20" s="58">
        <v>6151.34</v>
      </c>
      <c r="K20" s="60">
        <f t="shared" si="9"/>
        <v>18.03912023</v>
      </c>
      <c r="L20" s="58">
        <v>10000.0</v>
      </c>
      <c r="M20" s="61">
        <f t="shared" si="25"/>
        <v>0.8051380691</v>
      </c>
      <c r="N20" s="62">
        <f t="shared" ref="N20:O20" si="32">Q20+U20</f>
        <v>-5484.85</v>
      </c>
      <c r="O20" s="58">
        <f t="shared" si="32"/>
        <v>6151.34</v>
      </c>
      <c r="P20" s="63">
        <f t="shared" si="12"/>
        <v>666.49</v>
      </c>
      <c r="Q20" s="64">
        <f t="shared" si="13"/>
        <v>-2742.425</v>
      </c>
      <c r="R20" s="65">
        <f t="shared" si="14"/>
        <v>4305.938</v>
      </c>
      <c r="S20" s="66">
        <f t="shared" si="15"/>
        <v>1722.3752</v>
      </c>
      <c r="T20" s="67">
        <f t="shared" si="16"/>
        <v>-158.8622</v>
      </c>
      <c r="U20" s="62">
        <f t="shared" si="17"/>
        <v>-2742.425</v>
      </c>
      <c r="V20" s="58">
        <f t="shared" si="18"/>
        <v>1845.402</v>
      </c>
      <c r="W20" s="63">
        <f t="shared" si="19"/>
        <v>-897.023</v>
      </c>
      <c r="X20" s="71">
        <v>-5484.85</v>
      </c>
    </row>
    <row r="21" ht="15.75" customHeight="1">
      <c r="A21" s="38">
        <v>15.0</v>
      </c>
      <c r="B21" s="39" t="s">
        <v>42</v>
      </c>
      <c r="C21" s="40">
        <v>45744.0</v>
      </c>
      <c r="D21" s="41">
        <f t="shared" si="6"/>
        <v>45744</v>
      </c>
      <c r="E21" s="42">
        <v>586.0</v>
      </c>
      <c r="F21" s="42">
        <v>1100.0</v>
      </c>
      <c r="G21" s="43">
        <f t="shared" si="7"/>
        <v>0.5327272727</v>
      </c>
      <c r="H21" s="42">
        <v>22250.98</v>
      </c>
      <c r="I21" s="68">
        <f t="shared" si="8"/>
        <v>37.97095563</v>
      </c>
      <c r="J21" s="42">
        <v>2438.22</v>
      </c>
      <c r="K21" s="68">
        <f t="shared" si="9"/>
        <v>4.160784983</v>
      </c>
      <c r="L21" s="42">
        <v>17000.0</v>
      </c>
      <c r="M21" s="46">
        <f t="shared" si="25"/>
        <v>0.764011293</v>
      </c>
      <c r="N21" s="69">
        <f t="shared" ref="N21:O21" si="33">Q21+U21</f>
        <v>-4374.93</v>
      </c>
      <c r="O21" s="42">
        <f t="shared" si="33"/>
        <v>2438.22</v>
      </c>
      <c r="P21" s="70">
        <f t="shared" si="12"/>
        <v>-1936.71</v>
      </c>
      <c r="Q21" s="49">
        <f t="shared" si="13"/>
        <v>-2187.465</v>
      </c>
      <c r="R21" s="50">
        <f t="shared" si="14"/>
        <v>1706.754</v>
      </c>
      <c r="S21" s="51">
        <f t="shared" si="15"/>
        <v>682.7016</v>
      </c>
      <c r="T21" s="52">
        <f t="shared" si="16"/>
        <v>-1163.4126</v>
      </c>
      <c r="U21" s="69">
        <f t="shared" si="17"/>
        <v>-2187.465</v>
      </c>
      <c r="V21" s="42">
        <f t="shared" si="18"/>
        <v>731.466</v>
      </c>
      <c r="W21" s="70">
        <f t="shared" si="19"/>
        <v>-1455.999</v>
      </c>
      <c r="X21" s="71">
        <v>-4374.93</v>
      </c>
    </row>
    <row r="22" ht="15.75" customHeight="1">
      <c r="A22" s="54">
        <v>16.0</v>
      </c>
      <c r="B22" s="55" t="s">
        <v>43</v>
      </c>
      <c r="C22" s="56">
        <v>45746.0</v>
      </c>
      <c r="D22" s="57">
        <f t="shared" si="6"/>
        <v>45746</v>
      </c>
      <c r="E22" s="58">
        <v>864.0</v>
      </c>
      <c r="F22" s="58">
        <v>1100.0</v>
      </c>
      <c r="G22" s="59">
        <f t="shared" si="7"/>
        <v>0.7854545455</v>
      </c>
      <c r="H22" s="58">
        <v>33729.85</v>
      </c>
      <c r="I22" s="60">
        <f t="shared" si="8"/>
        <v>39.03917824</v>
      </c>
      <c r="J22" s="58">
        <v>10396.67</v>
      </c>
      <c r="K22" s="60">
        <f t="shared" si="9"/>
        <v>12.03318287</v>
      </c>
      <c r="L22" s="58">
        <v>16500.0</v>
      </c>
      <c r="M22" s="61">
        <f t="shared" si="25"/>
        <v>0.489180948</v>
      </c>
      <c r="N22" s="62">
        <f t="shared" ref="N22:O22" si="34">Q22+U22</f>
        <v>8351.09</v>
      </c>
      <c r="O22" s="58">
        <f t="shared" si="34"/>
        <v>10396.67</v>
      </c>
      <c r="P22" s="63">
        <f t="shared" si="12"/>
        <v>18747.76</v>
      </c>
      <c r="Q22" s="64">
        <f t="shared" si="13"/>
        <v>4175.545</v>
      </c>
      <c r="R22" s="65">
        <f t="shared" si="14"/>
        <v>7277.669</v>
      </c>
      <c r="S22" s="66">
        <f t="shared" si="15"/>
        <v>2911.0676</v>
      </c>
      <c r="T22" s="67">
        <f t="shared" si="16"/>
        <v>8542.1464</v>
      </c>
      <c r="U22" s="62">
        <f t="shared" si="17"/>
        <v>4175.545</v>
      </c>
      <c r="V22" s="58">
        <f t="shared" si="18"/>
        <v>3119.001</v>
      </c>
      <c r="W22" s="63">
        <f t="shared" si="19"/>
        <v>7294.546</v>
      </c>
      <c r="X22" s="53">
        <v>8351.09</v>
      </c>
    </row>
    <row r="23" ht="15.75" customHeight="1">
      <c r="A23" s="38">
        <v>17.0</v>
      </c>
      <c r="B23" s="39" t="s">
        <v>44</v>
      </c>
      <c r="C23" s="40">
        <v>45752.0</v>
      </c>
      <c r="D23" s="41">
        <f t="shared" si="6"/>
        <v>45752</v>
      </c>
      <c r="E23" s="42">
        <v>486.0</v>
      </c>
      <c r="F23" s="42">
        <v>1100.0</v>
      </c>
      <c r="G23" s="43">
        <f t="shared" si="7"/>
        <v>0.4418181818</v>
      </c>
      <c r="H23" s="42">
        <v>24052.64</v>
      </c>
      <c r="I23" s="68">
        <f t="shared" si="8"/>
        <v>49.49102881</v>
      </c>
      <c r="J23" s="42">
        <v>10538.3</v>
      </c>
      <c r="K23" s="68">
        <f t="shared" si="9"/>
        <v>21.68374486</v>
      </c>
      <c r="L23" s="42">
        <v>7500.0</v>
      </c>
      <c r="M23" s="46">
        <f t="shared" si="25"/>
        <v>0.3118160834</v>
      </c>
      <c r="N23" s="69">
        <f t="shared" ref="N23:O23" si="35">Q23+U23</f>
        <v>2934.75</v>
      </c>
      <c r="O23" s="42">
        <f t="shared" si="35"/>
        <v>10538.3</v>
      </c>
      <c r="P23" s="70">
        <f t="shared" si="12"/>
        <v>13473.05</v>
      </c>
      <c r="Q23" s="49">
        <f t="shared" si="13"/>
        <v>1467.375</v>
      </c>
      <c r="R23" s="50">
        <f t="shared" si="14"/>
        <v>7376.81</v>
      </c>
      <c r="S23" s="51">
        <f t="shared" si="15"/>
        <v>2950.724</v>
      </c>
      <c r="T23" s="52">
        <f t="shared" si="16"/>
        <v>5893.461</v>
      </c>
      <c r="U23" s="69">
        <f t="shared" si="17"/>
        <v>1467.375</v>
      </c>
      <c r="V23" s="42">
        <f t="shared" si="18"/>
        <v>3161.49</v>
      </c>
      <c r="W23" s="70">
        <f t="shared" si="19"/>
        <v>4628.865</v>
      </c>
      <c r="X23" s="53">
        <v>2934.75</v>
      </c>
    </row>
    <row r="24" ht="15.75" customHeight="1">
      <c r="A24" s="54">
        <v>18.0</v>
      </c>
      <c r="B24" s="55" t="s">
        <v>45</v>
      </c>
      <c r="C24" s="56">
        <v>45753.0</v>
      </c>
      <c r="D24" s="57">
        <f t="shared" si="6"/>
        <v>45753</v>
      </c>
      <c r="E24" s="58">
        <v>1115.0</v>
      </c>
      <c r="F24" s="58">
        <v>1100.0</v>
      </c>
      <c r="G24" s="59">
        <f t="shared" si="7"/>
        <v>1.013636364</v>
      </c>
      <c r="H24" s="58">
        <v>74947.92</v>
      </c>
      <c r="I24" s="60">
        <f t="shared" si="8"/>
        <v>67.21786547</v>
      </c>
      <c r="J24" s="58">
        <v>7207.09</v>
      </c>
      <c r="K24" s="60">
        <f t="shared" si="9"/>
        <v>6.463757848</v>
      </c>
      <c r="L24" s="58">
        <v>30435.53</v>
      </c>
      <c r="M24" s="61">
        <f t="shared" si="25"/>
        <v>0.4060890549</v>
      </c>
      <c r="N24" s="62">
        <f t="shared" ref="N24:O24" si="36">Q24+U24</f>
        <v>33561.26</v>
      </c>
      <c r="O24" s="58">
        <f t="shared" si="36"/>
        <v>7207.09</v>
      </c>
      <c r="P24" s="63">
        <f t="shared" si="12"/>
        <v>40768.35</v>
      </c>
      <c r="Q24" s="64">
        <f t="shared" si="13"/>
        <v>16780.63</v>
      </c>
      <c r="R24" s="65">
        <f t="shared" si="14"/>
        <v>5044.963</v>
      </c>
      <c r="S24" s="66">
        <f t="shared" si="15"/>
        <v>2017.9852</v>
      </c>
      <c r="T24" s="67">
        <f t="shared" si="16"/>
        <v>19807.6078</v>
      </c>
      <c r="U24" s="62">
        <f t="shared" si="17"/>
        <v>16780.63</v>
      </c>
      <c r="V24" s="58">
        <f t="shared" si="18"/>
        <v>2162.127</v>
      </c>
      <c r="W24" s="63">
        <f t="shared" si="19"/>
        <v>18942.757</v>
      </c>
      <c r="X24" s="53">
        <v>33561.26</v>
      </c>
    </row>
    <row r="25" ht="15.75" customHeight="1">
      <c r="A25" s="38">
        <v>19.0</v>
      </c>
      <c r="B25" s="39" t="s">
        <v>46</v>
      </c>
      <c r="C25" s="40">
        <v>45756.0</v>
      </c>
      <c r="D25" s="41">
        <f t="shared" si="6"/>
        <v>45756</v>
      </c>
      <c r="E25" s="42">
        <v>927.0</v>
      </c>
      <c r="F25" s="42">
        <v>2200.0</v>
      </c>
      <c r="G25" s="43">
        <f t="shared" si="7"/>
        <v>0.4213636364</v>
      </c>
      <c r="H25" s="42">
        <v>37798.86</v>
      </c>
      <c r="I25" s="68">
        <f t="shared" si="8"/>
        <v>40.77546926</v>
      </c>
      <c r="J25" s="42">
        <f>8657.41+4093.84</f>
        <v>12751.25</v>
      </c>
      <c r="K25" s="68">
        <f t="shared" si="9"/>
        <v>13.75539374</v>
      </c>
      <c r="L25" s="42">
        <v>40000.0</v>
      </c>
      <c r="M25" s="46">
        <f t="shared" si="25"/>
        <v>1.058232973</v>
      </c>
      <c r="N25" s="69">
        <f t="shared" ref="N25:O25" si="37">Q25+U25</f>
        <v>-18744.3</v>
      </c>
      <c r="O25" s="42">
        <f t="shared" si="37"/>
        <v>12751.25</v>
      </c>
      <c r="P25" s="70">
        <f t="shared" si="12"/>
        <v>-5993.05</v>
      </c>
      <c r="Q25" s="49">
        <f t="shared" si="13"/>
        <v>-9372.15</v>
      </c>
      <c r="R25" s="50">
        <f t="shared" si="14"/>
        <v>8925.875</v>
      </c>
      <c r="S25" s="51">
        <f t="shared" si="15"/>
        <v>3570.35</v>
      </c>
      <c r="T25" s="52">
        <f t="shared" si="16"/>
        <v>-4016.625</v>
      </c>
      <c r="U25" s="69">
        <f t="shared" si="17"/>
        <v>-9372.15</v>
      </c>
      <c r="V25" s="42">
        <f t="shared" si="18"/>
        <v>3825.375</v>
      </c>
      <c r="W25" s="70">
        <f t="shared" si="19"/>
        <v>-5546.775</v>
      </c>
      <c r="X25" s="71">
        <v>-18744.3</v>
      </c>
    </row>
    <row r="26" ht="15.75" customHeight="1">
      <c r="A26" s="54">
        <v>20.0</v>
      </c>
      <c r="B26" s="55" t="s">
        <v>47</v>
      </c>
      <c r="C26" s="56">
        <v>45758.0</v>
      </c>
      <c r="D26" s="57">
        <f t="shared" si="6"/>
        <v>45758</v>
      </c>
      <c r="E26" s="58">
        <v>968.0</v>
      </c>
      <c r="F26" s="58">
        <v>1100.0</v>
      </c>
      <c r="G26" s="59">
        <f t="shared" si="7"/>
        <v>0.88</v>
      </c>
      <c r="H26" s="58">
        <v>65887.97</v>
      </c>
      <c r="I26" s="60">
        <f t="shared" si="8"/>
        <v>68.06608471</v>
      </c>
      <c r="J26" s="58">
        <v>19799.35</v>
      </c>
      <c r="K26" s="60">
        <f t="shared" si="9"/>
        <v>20.45387397</v>
      </c>
      <c r="L26" s="58">
        <v>24250.0</v>
      </c>
      <c r="M26" s="61">
        <f t="shared" si="25"/>
        <v>0.3680489777</v>
      </c>
      <c r="N26" s="62">
        <f t="shared" ref="N26:O26" si="38">Q26+U26</f>
        <v>19286.24</v>
      </c>
      <c r="O26" s="58">
        <f t="shared" si="38"/>
        <v>19799.35</v>
      </c>
      <c r="P26" s="63">
        <f t="shared" si="12"/>
        <v>39085.59</v>
      </c>
      <c r="Q26" s="64">
        <f t="shared" si="13"/>
        <v>9643.12</v>
      </c>
      <c r="R26" s="65">
        <f t="shared" si="14"/>
        <v>13859.545</v>
      </c>
      <c r="S26" s="66">
        <f t="shared" si="15"/>
        <v>5543.818</v>
      </c>
      <c r="T26" s="67">
        <f t="shared" si="16"/>
        <v>17958.847</v>
      </c>
      <c r="U26" s="62">
        <f t="shared" si="17"/>
        <v>9643.12</v>
      </c>
      <c r="V26" s="58">
        <f t="shared" si="18"/>
        <v>5939.805</v>
      </c>
      <c r="W26" s="63">
        <f t="shared" si="19"/>
        <v>15582.925</v>
      </c>
      <c r="X26" s="53">
        <v>19286.24</v>
      </c>
    </row>
    <row r="27" ht="15.75" customHeight="1">
      <c r="A27" s="38">
        <v>21.0</v>
      </c>
      <c r="B27" s="39" t="s">
        <v>48</v>
      </c>
      <c r="C27" s="40">
        <v>45760.0</v>
      </c>
      <c r="D27" s="41">
        <f t="shared" si="6"/>
        <v>45760</v>
      </c>
      <c r="E27" s="42">
        <v>1115.0</v>
      </c>
      <c r="F27" s="42">
        <v>1100.0</v>
      </c>
      <c r="G27" s="43">
        <f t="shared" si="7"/>
        <v>1.013636364</v>
      </c>
      <c r="H27" s="42">
        <v>40781.97</v>
      </c>
      <c r="I27" s="68">
        <f t="shared" si="8"/>
        <v>36.57575785</v>
      </c>
      <c r="J27" s="42">
        <v>2553.95</v>
      </c>
      <c r="K27" s="68">
        <f t="shared" si="9"/>
        <v>2.290538117</v>
      </c>
      <c r="L27" s="42">
        <v>16536.93</v>
      </c>
      <c r="M27" s="46">
        <f t="shared" si="25"/>
        <v>0.4054961053</v>
      </c>
      <c r="N27" s="69">
        <f t="shared" ref="N27:O27" si="39">Q27+U27</f>
        <v>17068.76</v>
      </c>
      <c r="O27" s="42">
        <f t="shared" si="39"/>
        <v>2553.95</v>
      </c>
      <c r="P27" s="70">
        <f t="shared" si="12"/>
        <v>19622.71</v>
      </c>
      <c r="Q27" s="49">
        <f t="shared" si="13"/>
        <v>8534.38</v>
      </c>
      <c r="R27" s="50">
        <f t="shared" si="14"/>
        <v>1787.765</v>
      </c>
      <c r="S27" s="51">
        <f t="shared" si="15"/>
        <v>715.106</v>
      </c>
      <c r="T27" s="52">
        <f t="shared" si="16"/>
        <v>9607.039</v>
      </c>
      <c r="U27" s="69">
        <f t="shared" si="17"/>
        <v>8534.38</v>
      </c>
      <c r="V27" s="42">
        <f t="shared" si="18"/>
        <v>766.185</v>
      </c>
      <c r="W27" s="70">
        <f t="shared" si="19"/>
        <v>9300.565</v>
      </c>
      <c r="X27" s="53">
        <v>17068.76</v>
      </c>
    </row>
    <row r="28" ht="15.75" customHeight="1">
      <c r="A28" s="54">
        <v>22.0</v>
      </c>
      <c r="B28" s="55" t="s">
        <v>49</v>
      </c>
      <c r="C28" s="56">
        <v>45762.0</v>
      </c>
      <c r="D28" s="57">
        <f t="shared" si="6"/>
        <v>45762</v>
      </c>
      <c r="E28" s="58">
        <v>1036.0</v>
      </c>
      <c r="F28" s="58">
        <v>1100.0</v>
      </c>
      <c r="G28" s="59">
        <f t="shared" si="7"/>
        <v>0.9418181818</v>
      </c>
      <c r="H28" s="58">
        <v>39086.58</v>
      </c>
      <c r="I28" s="60">
        <f t="shared" si="8"/>
        <v>37.72835907</v>
      </c>
      <c r="J28" s="58">
        <v>13403.28</v>
      </c>
      <c r="K28" s="60">
        <f t="shared" si="9"/>
        <v>12.93752896</v>
      </c>
      <c r="L28" s="58">
        <v>16500.0</v>
      </c>
      <c r="M28" s="61">
        <f t="shared" si="25"/>
        <v>0.4221397728</v>
      </c>
      <c r="N28" s="62">
        <f t="shared" ref="N28:O28" si="40">Q28+U28</f>
        <v>15761.86</v>
      </c>
      <c r="O28" s="58">
        <f t="shared" si="40"/>
        <v>13403.28</v>
      </c>
      <c r="P28" s="63">
        <f t="shared" si="12"/>
        <v>29165.14</v>
      </c>
      <c r="Q28" s="64">
        <f t="shared" si="13"/>
        <v>7880.93</v>
      </c>
      <c r="R28" s="65">
        <f t="shared" si="14"/>
        <v>9382.296</v>
      </c>
      <c r="S28" s="66">
        <f t="shared" si="15"/>
        <v>3752.9184</v>
      </c>
      <c r="T28" s="67">
        <f t="shared" si="16"/>
        <v>13510.3076</v>
      </c>
      <c r="U28" s="62">
        <f t="shared" si="17"/>
        <v>7880.93</v>
      </c>
      <c r="V28" s="58">
        <f t="shared" si="18"/>
        <v>4020.984</v>
      </c>
      <c r="W28" s="63">
        <f t="shared" si="19"/>
        <v>11901.914</v>
      </c>
      <c r="X28" s="53">
        <v>15761.86</v>
      </c>
    </row>
    <row r="29" ht="15.75" customHeight="1">
      <c r="A29" s="38">
        <v>23.0</v>
      </c>
      <c r="B29" s="39" t="s">
        <v>50</v>
      </c>
      <c r="C29" s="40">
        <v>45769.0</v>
      </c>
      <c r="D29" s="41">
        <f t="shared" si="6"/>
        <v>45769</v>
      </c>
      <c r="E29" s="42">
        <v>1090.0</v>
      </c>
      <c r="F29" s="42">
        <v>1100.0</v>
      </c>
      <c r="G29" s="43">
        <f t="shared" si="7"/>
        <v>0.9909090909</v>
      </c>
      <c r="H29" s="42">
        <v>61091.49</v>
      </c>
      <c r="I29" s="68">
        <f t="shared" si="8"/>
        <v>56.04723853</v>
      </c>
      <c r="J29" s="42">
        <v>11729.65</v>
      </c>
      <c r="K29" s="68">
        <f t="shared" si="9"/>
        <v>10.76114679</v>
      </c>
      <c r="L29" s="42">
        <v>32500.0</v>
      </c>
      <c r="M29" s="46">
        <f t="shared" si="25"/>
        <v>0.531988989</v>
      </c>
      <c r="N29" s="69">
        <f t="shared" ref="N29:O29" si="41">Q29+U29</f>
        <v>21627.15</v>
      </c>
      <c r="O29" s="42">
        <f t="shared" si="41"/>
        <v>11729.65</v>
      </c>
      <c r="P29" s="70">
        <f t="shared" si="12"/>
        <v>33356.8</v>
      </c>
      <c r="Q29" s="49">
        <f t="shared" si="13"/>
        <v>10813.575</v>
      </c>
      <c r="R29" s="50">
        <f t="shared" si="14"/>
        <v>8210.755</v>
      </c>
      <c r="S29" s="51">
        <f t="shared" si="15"/>
        <v>3284.302</v>
      </c>
      <c r="T29" s="52">
        <f t="shared" si="16"/>
        <v>15740.028</v>
      </c>
      <c r="U29" s="69">
        <f t="shared" si="17"/>
        <v>10813.575</v>
      </c>
      <c r="V29" s="42">
        <f t="shared" si="18"/>
        <v>3518.895</v>
      </c>
      <c r="W29" s="70">
        <f t="shared" si="19"/>
        <v>14332.47</v>
      </c>
      <c r="X29" s="53">
        <v>21627.15</v>
      </c>
    </row>
    <row r="30" ht="15.75" customHeight="1">
      <c r="A30" s="54">
        <v>24.0</v>
      </c>
      <c r="B30" s="55" t="s">
        <v>51</v>
      </c>
      <c r="C30" s="56">
        <v>45770.0</v>
      </c>
      <c r="D30" s="57">
        <f t="shared" si="6"/>
        <v>45770</v>
      </c>
      <c r="E30" s="58">
        <v>800.0</v>
      </c>
      <c r="F30" s="58">
        <v>1100.0</v>
      </c>
      <c r="G30" s="59">
        <f t="shared" si="7"/>
        <v>0.7272727273</v>
      </c>
      <c r="H30" s="58">
        <v>38499.17</v>
      </c>
      <c r="I30" s="60">
        <f t="shared" si="8"/>
        <v>48.1239625</v>
      </c>
      <c r="J30" s="58">
        <v>9414.83</v>
      </c>
      <c r="K30" s="60">
        <f t="shared" si="9"/>
        <v>11.7685375</v>
      </c>
      <c r="L30" s="58">
        <v>23500.0</v>
      </c>
      <c r="M30" s="61">
        <f t="shared" si="25"/>
        <v>0.6104027697</v>
      </c>
      <c r="N30" s="62">
        <f t="shared" ref="N30:O30" si="42">Q30+U30</f>
        <v>1256.59</v>
      </c>
      <c r="O30" s="58">
        <f t="shared" si="42"/>
        <v>9414.83</v>
      </c>
      <c r="P30" s="63">
        <f t="shared" si="12"/>
        <v>10671.42</v>
      </c>
      <c r="Q30" s="64">
        <f t="shared" si="13"/>
        <v>628.295</v>
      </c>
      <c r="R30" s="65">
        <f t="shared" si="14"/>
        <v>6590.381</v>
      </c>
      <c r="S30" s="66">
        <f t="shared" si="15"/>
        <v>2636.1524</v>
      </c>
      <c r="T30" s="67">
        <f t="shared" si="16"/>
        <v>4582.5236</v>
      </c>
      <c r="U30" s="62">
        <f t="shared" si="17"/>
        <v>628.295</v>
      </c>
      <c r="V30" s="58">
        <f t="shared" si="18"/>
        <v>2824.449</v>
      </c>
      <c r="W30" s="63">
        <f t="shared" si="19"/>
        <v>3452.744</v>
      </c>
      <c r="X30" s="53">
        <v>1256.59</v>
      </c>
    </row>
    <row r="31" ht="15.75" customHeight="1">
      <c r="A31" s="38">
        <v>25.0</v>
      </c>
      <c r="B31" s="39" t="s">
        <v>52</v>
      </c>
      <c r="C31" s="40">
        <v>45773.0</v>
      </c>
      <c r="D31" s="41">
        <f t="shared" si="6"/>
        <v>45773</v>
      </c>
      <c r="E31" s="42">
        <v>1115.0</v>
      </c>
      <c r="F31" s="42">
        <v>1100.0</v>
      </c>
      <c r="G31" s="43">
        <f t="shared" si="7"/>
        <v>1.013636364</v>
      </c>
      <c r="H31" s="42">
        <v>53669.34</v>
      </c>
      <c r="I31" s="68">
        <f t="shared" si="8"/>
        <v>48.13393722</v>
      </c>
      <c r="J31" s="42">
        <v>10550.15</v>
      </c>
      <c r="K31" s="68">
        <f t="shared" si="9"/>
        <v>9.462017937</v>
      </c>
      <c r="L31" s="42">
        <v>22077.0</v>
      </c>
      <c r="M31" s="46">
        <f t="shared" si="25"/>
        <v>0.4113521798</v>
      </c>
      <c r="N31" s="69">
        <f t="shared" ref="N31:O31" si="43">Q31+U31</f>
        <v>21051.21</v>
      </c>
      <c r="O31" s="42">
        <f t="shared" si="43"/>
        <v>10550.15</v>
      </c>
      <c r="P31" s="70">
        <f t="shared" si="12"/>
        <v>31601.36</v>
      </c>
      <c r="Q31" s="49">
        <f t="shared" si="13"/>
        <v>10525.605</v>
      </c>
      <c r="R31" s="50">
        <f t="shared" si="14"/>
        <v>7385.105</v>
      </c>
      <c r="S31" s="51">
        <f t="shared" si="15"/>
        <v>2954.042</v>
      </c>
      <c r="T31" s="52">
        <f t="shared" si="16"/>
        <v>14956.668</v>
      </c>
      <c r="U31" s="69">
        <f t="shared" si="17"/>
        <v>10525.605</v>
      </c>
      <c r="V31" s="42">
        <f t="shared" si="18"/>
        <v>3165.045</v>
      </c>
      <c r="W31" s="70">
        <f t="shared" si="19"/>
        <v>13690.65</v>
      </c>
      <c r="X31" s="53">
        <v>21051.21</v>
      </c>
    </row>
    <row r="32" ht="15.75" customHeight="1">
      <c r="A32" s="54">
        <v>26.0</v>
      </c>
      <c r="B32" s="55" t="s">
        <v>53</v>
      </c>
      <c r="C32" s="56">
        <v>45777.0</v>
      </c>
      <c r="D32" s="57">
        <f t="shared" si="6"/>
        <v>45777</v>
      </c>
      <c r="E32" s="58">
        <v>490.0</v>
      </c>
      <c r="F32" s="58">
        <v>1100.0</v>
      </c>
      <c r="G32" s="59">
        <f t="shared" si="7"/>
        <v>0.4454545455</v>
      </c>
      <c r="H32" s="58">
        <v>21699.26</v>
      </c>
      <c r="I32" s="60">
        <f t="shared" si="8"/>
        <v>44.28420408</v>
      </c>
      <c r="J32" s="58">
        <v>7310.51</v>
      </c>
      <c r="K32" s="60">
        <f t="shared" si="9"/>
        <v>14.91940816</v>
      </c>
      <c r="L32" s="58">
        <v>17500.0</v>
      </c>
      <c r="M32" s="61">
        <f t="shared" si="25"/>
        <v>0.806479115</v>
      </c>
      <c r="N32" s="62">
        <f t="shared" ref="N32:O32" si="44">Q32+U32</f>
        <v>-10963.63</v>
      </c>
      <c r="O32" s="58">
        <f t="shared" si="44"/>
        <v>7310.51</v>
      </c>
      <c r="P32" s="63">
        <f t="shared" si="12"/>
        <v>-3653.12</v>
      </c>
      <c r="Q32" s="64">
        <f t="shared" si="13"/>
        <v>-5481.815</v>
      </c>
      <c r="R32" s="65">
        <f t="shared" si="14"/>
        <v>5117.357</v>
      </c>
      <c r="S32" s="66">
        <f t="shared" si="15"/>
        <v>2046.9428</v>
      </c>
      <c r="T32" s="67">
        <f t="shared" si="16"/>
        <v>-2411.4008</v>
      </c>
      <c r="U32" s="62">
        <f t="shared" si="17"/>
        <v>-5481.815</v>
      </c>
      <c r="V32" s="58">
        <f t="shared" si="18"/>
        <v>2193.153</v>
      </c>
      <c r="W32" s="63">
        <f t="shared" si="19"/>
        <v>-3288.662</v>
      </c>
      <c r="X32" s="71">
        <v>-10963.63</v>
      </c>
    </row>
    <row r="33" ht="15.75" customHeight="1">
      <c r="A33" s="38">
        <v>27.0</v>
      </c>
      <c r="B33" s="39" t="s">
        <v>54</v>
      </c>
      <c r="C33" s="40">
        <v>45778.0</v>
      </c>
      <c r="D33" s="41">
        <f t="shared" si="6"/>
        <v>45778</v>
      </c>
      <c r="E33" s="42">
        <v>415.0</v>
      </c>
      <c r="F33" s="42">
        <v>1100.0</v>
      </c>
      <c r="G33" s="43">
        <f t="shared" si="7"/>
        <v>0.3772727273</v>
      </c>
      <c r="H33" s="42">
        <v>12442.99</v>
      </c>
      <c r="I33" s="68">
        <f t="shared" si="8"/>
        <v>29.98310843</v>
      </c>
      <c r="J33" s="42">
        <v>6648.01</v>
      </c>
      <c r="K33" s="68">
        <f t="shared" si="9"/>
        <v>16.0193012</v>
      </c>
      <c r="L33" s="42">
        <v>11000.0</v>
      </c>
      <c r="M33" s="46">
        <f t="shared" si="25"/>
        <v>0.8840318927</v>
      </c>
      <c r="N33" s="69">
        <f t="shared" ref="N33:O33" si="45">Q33+U33</f>
        <v>-7791.53</v>
      </c>
      <c r="O33" s="42">
        <f t="shared" si="45"/>
        <v>6648.01</v>
      </c>
      <c r="P33" s="70">
        <f t="shared" si="12"/>
        <v>-1143.52</v>
      </c>
      <c r="Q33" s="49">
        <f t="shared" si="13"/>
        <v>-3895.765</v>
      </c>
      <c r="R33" s="50">
        <f t="shared" si="14"/>
        <v>4653.607</v>
      </c>
      <c r="S33" s="51">
        <f t="shared" si="15"/>
        <v>1861.4428</v>
      </c>
      <c r="T33" s="52">
        <f t="shared" si="16"/>
        <v>-1103.6008</v>
      </c>
      <c r="U33" s="69">
        <f t="shared" si="17"/>
        <v>-3895.765</v>
      </c>
      <c r="V33" s="42">
        <f t="shared" si="18"/>
        <v>1994.403</v>
      </c>
      <c r="W33" s="70">
        <f t="shared" si="19"/>
        <v>-1901.362</v>
      </c>
      <c r="X33" s="71">
        <v>-7791.53</v>
      </c>
    </row>
    <row r="34" ht="15.75" customHeight="1">
      <c r="A34" s="54">
        <v>28.0</v>
      </c>
      <c r="B34" s="55" t="s">
        <v>55</v>
      </c>
      <c r="C34" s="56">
        <v>45780.0</v>
      </c>
      <c r="D34" s="57">
        <f t="shared" si="6"/>
        <v>45780</v>
      </c>
      <c r="E34" s="58">
        <v>1115.0</v>
      </c>
      <c r="F34" s="58">
        <v>1100.0</v>
      </c>
      <c r="G34" s="59">
        <f t="shared" si="7"/>
        <v>1.013636364</v>
      </c>
      <c r="H34" s="58">
        <v>40676.58</v>
      </c>
      <c r="I34" s="60">
        <f t="shared" si="8"/>
        <v>36.48123767</v>
      </c>
      <c r="J34" s="58">
        <v>12260.93</v>
      </c>
      <c r="K34" s="60">
        <f t="shared" si="9"/>
        <v>10.99634978</v>
      </c>
      <c r="L34" s="58">
        <v>11892.73</v>
      </c>
      <c r="M34" s="61">
        <f t="shared" si="25"/>
        <v>0.2923729084</v>
      </c>
      <c r="N34" s="62">
        <f t="shared" ref="N34:O34" si="46">Q34+U34</f>
        <v>19268.91</v>
      </c>
      <c r="O34" s="58">
        <f t="shared" si="46"/>
        <v>12260.93</v>
      </c>
      <c r="P34" s="63">
        <f t="shared" si="12"/>
        <v>31529.84</v>
      </c>
      <c r="Q34" s="64">
        <f t="shared" si="13"/>
        <v>9634.455</v>
      </c>
      <c r="R34" s="65">
        <f t="shared" si="14"/>
        <v>8582.651</v>
      </c>
      <c r="S34" s="66">
        <f t="shared" si="15"/>
        <v>3433.0604</v>
      </c>
      <c r="T34" s="67">
        <f t="shared" si="16"/>
        <v>14784.0456</v>
      </c>
      <c r="U34" s="62">
        <f t="shared" si="17"/>
        <v>9634.455</v>
      </c>
      <c r="V34" s="58">
        <f t="shared" si="18"/>
        <v>3678.279</v>
      </c>
      <c r="W34" s="63">
        <f t="shared" si="19"/>
        <v>13312.734</v>
      </c>
      <c r="X34" s="53">
        <v>19268.91</v>
      </c>
    </row>
    <row r="35" ht="15.75" customHeight="1">
      <c r="A35" s="38">
        <v>29.0</v>
      </c>
      <c r="B35" s="39" t="s">
        <v>56</v>
      </c>
      <c r="C35" s="40">
        <v>45781.0</v>
      </c>
      <c r="D35" s="41">
        <f t="shared" si="6"/>
        <v>45781</v>
      </c>
      <c r="E35" s="42">
        <v>210.0</v>
      </c>
      <c r="F35" s="42">
        <v>400.0</v>
      </c>
      <c r="G35" s="43">
        <f t="shared" si="7"/>
        <v>0.525</v>
      </c>
      <c r="H35" s="42">
        <v>12478.44</v>
      </c>
      <c r="I35" s="68">
        <f t="shared" si="8"/>
        <v>59.42114286</v>
      </c>
      <c r="J35" s="42">
        <v>2457.49</v>
      </c>
      <c r="K35" s="68">
        <f t="shared" si="9"/>
        <v>11.70233333</v>
      </c>
      <c r="L35" s="42">
        <v>2212.46</v>
      </c>
      <c r="M35" s="46">
        <f t="shared" si="25"/>
        <v>0.1773026115</v>
      </c>
      <c r="N35" s="69">
        <f t="shared" ref="N35:O35" si="47">Q35+U35</f>
        <v>2059.99</v>
      </c>
      <c r="O35" s="42">
        <f t="shared" si="47"/>
        <v>2457.49</v>
      </c>
      <c r="P35" s="70">
        <f t="shared" si="12"/>
        <v>4517.48</v>
      </c>
      <c r="Q35" s="49">
        <f t="shared" si="13"/>
        <v>1029.995</v>
      </c>
      <c r="R35" s="50">
        <f t="shared" si="14"/>
        <v>1720.243</v>
      </c>
      <c r="S35" s="51">
        <f t="shared" si="15"/>
        <v>688.0972</v>
      </c>
      <c r="T35" s="52">
        <f t="shared" si="16"/>
        <v>2062.1408</v>
      </c>
      <c r="U35" s="69">
        <f t="shared" si="17"/>
        <v>1029.995</v>
      </c>
      <c r="V35" s="42">
        <f t="shared" si="18"/>
        <v>737.247</v>
      </c>
      <c r="W35" s="70">
        <f t="shared" si="19"/>
        <v>1767.242</v>
      </c>
      <c r="X35" s="53">
        <v>2059.99</v>
      </c>
    </row>
    <row r="36" ht="15.75" customHeight="1">
      <c r="A36" s="54">
        <v>30.0</v>
      </c>
      <c r="B36" s="55" t="s">
        <v>57</v>
      </c>
      <c r="C36" s="56">
        <v>45783.0</v>
      </c>
      <c r="D36" s="57">
        <f t="shared" si="6"/>
        <v>45783</v>
      </c>
      <c r="E36" s="58">
        <v>814.0</v>
      </c>
      <c r="F36" s="58">
        <v>1100.0</v>
      </c>
      <c r="G36" s="59">
        <f t="shared" si="7"/>
        <v>0.74</v>
      </c>
      <c r="H36" s="58">
        <v>40399.63</v>
      </c>
      <c r="I36" s="60">
        <f t="shared" si="8"/>
        <v>49.63099509</v>
      </c>
      <c r="J36" s="58">
        <v>10133.94</v>
      </c>
      <c r="K36" s="60">
        <f t="shared" si="9"/>
        <v>12.44955774</v>
      </c>
      <c r="L36" s="58">
        <v>26000.0</v>
      </c>
      <c r="M36" s="61">
        <f t="shared" si="25"/>
        <v>0.6435702505</v>
      </c>
      <c r="N36" s="62">
        <f t="shared" ref="N36:O36" si="48">Q36+U36</f>
        <v>5379.66</v>
      </c>
      <c r="O36" s="58">
        <f t="shared" si="48"/>
        <v>10133.94</v>
      </c>
      <c r="P36" s="63">
        <f t="shared" si="12"/>
        <v>15513.6</v>
      </c>
      <c r="Q36" s="64">
        <f t="shared" si="13"/>
        <v>2689.83</v>
      </c>
      <c r="R36" s="65">
        <f t="shared" si="14"/>
        <v>7093.758</v>
      </c>
      <c r="S36" s="66">
        <f t="shared" si="15"/>
        <v>2837.5032</v>
      </c>
      <c r="T36" s="67">
        <f t="shared" si="16"/>
        <v>6946.0848</v>
      </c>
      <c r="U36" s="62">
        <f t="shared" si="17"/>
        <v>2689.83</v>
      </c>
      <c r="V36" s="58">
        <f t="shared" si="18"/>
        <v>3040.182</v>
      </c>
      <c r="W36" s="63">
        <f t="shared" si="19"/>
        <v>5730.012</v>
      </c>
      <c r="X36" s="53">
        <v>5379.66</v>
      </c>
    </row>
    <row r="37" ht="15.75" customHeight="1">
      <c r="A37" s="38">
        <v>31.0</v>
      </c>
      <c r="B37" s="39" t="s">
        <v>58</v>
      </c>
      <c r="C37" s="40">
        <v>45784.0</v>
      </c>
      <c r="D37" s="41">
        <f t="shared" si="6"/>
        <v>45784</v>
      </c>
      <c r="E37" s="42">
        <v>650.0</v>
      </c>
      <c r="F37" s="42">
        <v>1100.0</v>
      </c>
      <c r="G37" s="43">
        <f t="shared" si="7"/>
        <v>0.5909090909</v>
      </c>
      <c r="H37" s="42">
        <v>24469.65</v>
      </c>
      <c r="I37" s="68">
        <f t="shared" si="8"/>
        <v>37.64561538</v>
      </c>
      <c r="J37" s="42">
        <v>9609.62</v>
      </c>
      <c r="K37" s="68">
        <f t="shared" si="9"/>
        <v>14.78403077</v>
      </c>
      <c r="L37" s="42">
        <v>20000.0</v>
      </c>
      <c r="M37" s="46">
        <f t="shared" si="25"/>
        <v>0.8173390302</v>
      </c>
      <c r="N37" s="69">
        <f t="shared" ref="N37:O37" si="49">Q37+U37</f>
        <v>-3665.84</v>
      </c>
      <c r="O37" s="42">
        <f t="shared" si="49"/>
        <v>9609.62</v>
      </c>
      <c r="P37" s="70">
        <f t="shared" si="12"/>
        <v>5943.78</v>
      </c>
      <c r="Q37" s="49">
        <f t="shared" si="13"/>
        <v>-1832.92</v>
      </c>
      <c r="R37" s="50">
        <f t="shared" si="14"/>
        <v>6726.734</v>
      </c>
      <c r="S37" s="51">
        <f t="shared" si="15"/>
        <v>2690.6936</v>
      </c>
      <c r="T37" s="52">
        <f t="shared" si="16"/>
        <v>2203.1204</v>
      </c>
      <c r="U37" s="69">
        <f t="shared" si="17"/>
        <v>-1832.92</v>
      </c>
      <c r="V37" s="42">
        <f t="shared" si="18"/>
        <v>2882.886</v>
      </c>
      <c r="W37" s="70">
        <f t="shared" si="19"/>
        <v>1049.966</v>
      </c>
      <c r="X37" s="71">
        <v>-3665.84</v>
      </c>
    </row>
    <row r="38" ht="15.75" customHeight="1">
      <c r="A38" s="54">
        <v>32.0</v>
      </c>
      <c r="B38" s="55" t="s">
        <v>59</v>
      </c>
      <c r="C38" s="56">
        <v>45791.0</v>
      </c>
      <c r="D38" s="57">
        <f t="shared" si="6"/>
        <v>45791</v>
      </c>
      <c r="E38" s="58">
        <v>395.0</v>
      </c>
      <c r="F38" s="58">
        <v>1100.0</v>
      </c>
      <c r="G38" s="59">
        <f t="shared" si="7"/>
        <v>0.3590909091</v>
      </c>
      <c r="H38" s="58">
        <v>16972.75</v>
      </c>
      <c r="I38" s="60">
        <f t="shared" si="8"/>
        <v>42.96898734</v>
      </c>
      <c r="J38" s="58">
        <v>4234.3</v>
      </c>
      <c r="K38" s="60">
        <f t="shared" si="9"/>
        <v>10.71974684</v>
      </c>
      <c r="L38" s="58">
        <v>13500.0</v>
      </c>
      <c r="M38" s="61">
        <f t="shared" si="25"/>
        <v>0.7953926146</v>
      </c>
      <c r="N38" s="62">
        <f t="shared" ref="N38:O38" si="50">Q38+U38</f>
        <v>-8041.84</v>
      </c>
      <c r="O38" s="58">
        <f t="shared" si="50"/>
        <v>4234.3</v>
      </c>
      <c r="P38" s="63">
        <f t="shared" si="12"/>
        <v>-3807.54</v>
      </c>
      <c r="Q38" s="64">
        <f t="shared" si="13"/>
        <v>-4020.92</v>
      </c>
      <c r="R38" s="65">
        <f t="shared" si="14"/>
        <v>2964.01</v>
      </c>
      <c r="S38" s="66">
        <f t="shared" si="15"/>
        <v>1185.604</v>
      </c>
      <c r="T38" s="67">
        <f t="shared" si="16"/>
        <v>-2242.514</v>
      </c>
      <c r="U38" s="62">
        <f t="shared" si="17"/>
        <v>-4020.92</v>
      </c>
      <c r="V38" s="58">
        <f t="shared" si="18"/>
        <v>1270.29</v>
      </c>
      <c r="W38" s="63">
        <f t="shared" si="19"/>
        <v>-2750.63</v>
      </c>
      <c r="X38" s="71">
        <v>-8041.84</v>
      </c>
    </row>
    <row r="39" ht="15.75" customHeight="1">
      <c r="A39" s="38">
        <v>33.0</v>
      </c>
      <c r="B39" s="39" t="s">
        <v>60</v>
      </c>
      <c r="C39" s="40">
        <v>45790.0</v>
      </c>
      <c r="D39" s="41">
        <f t="shared" si="6"/>
        <v>45790</v>
      </c>
      <c r="E39" s="42">
        <v>737.0</v>
      </c>
      <c r="F39" s="42">
        <v>1100.0</v>
      </c>
      <c r="G39" s="43">
        <f t="shared" si="7"/>
        <v>0.67</v>
      </c>
      <c r="H39" s="42">
        <v>25901.2</v>
      </c>
      <c r="I39" s="68">
        <f t="shared" si="8"/>
        <v>35.14409769</v>
      </c>
      <c r="J39" s="42">
        <v>6835.23</v>
      </c>
      <c r="K39" s="68">
        <f t="shared" si="9"/>
        <v>9.274396201</v>
      </c>
      <c r="L39" s="42">
        <v>13750.0</v>
      </c>
      <c r="M39" s="46">
        <f t="shared" si="25"/>
        <v>0.5308634349</v>
      </c>
      <c r="N39" s="69">
        <f t="shared" ref="N39:O39" si="51">Q39+U39</f>
        <v>4191.03</v>
      </c>
      <c r="O39" s="42">
        <f t="shared" si="51"/>
        <v>6835.23</v>
      </c>
      <c r="P39" s="70">
        <f t="shared" si="12"/>
        <v>11026.26</v>
      </c>
      <c r="Q39" s="49">
        <f t="shared" si="13"/>
        <v>2095.515</v>
      </c>
      <c r="R39" s="50">
        <f t="shared" si="14"/>
        <v>4784.661</v>
      </c>
      <c r="S39" s="51">
        <f t="shared" si="15"/>
        <v>1913.8644</v>
      </c>
      <c r="T39" s="52">
        <f t="shared" si="16"/>
        <v>4966.3116</v>
      </c>
      <c r="U39" s="69">
        <f t="shared" si="17"/>
        <v>2095.515</v>
      </c>
      <c r="V39" s="42">
        <f t="shared" si="18"/>
        <v>2050.569</v>
      </c>
      <c r="W39" s="70">
        <f t="shared" si="19"/>
        <v>4146.084</v>
      </c>
      <c r="X39" s="53">
        <v>4191.03</v>
      </c>
    </row>
    <row r="40" ht="15.75" customHeight="1">
      <c r="A40" s="54">
        <v>34.0</v>
      </c>
      <c r="B40" s="55" t="s">
        <v>61</v>
      </c>
      <c r="C40" s="56">
        <v>45797.0</v>
      </c>
      <c r="D40" s="57">
        <f t="shared" si="6"/>
        <v>45797</v>
      </c>
      <c r="E40" s="58">
        <v>394.0</v>
      </c>
      <c r="F40" s="58">
        <v>1100.0</v>
      </c>
      <c r="G40" s="59">
        <f t="shared" si="7"/>
        <v>0.3581818182</v>
      </c>
      <c r="H40" s="58">
        <v>14565.06</v>
      </c>
      <c r="I40" s="60">
        <f t="shared" si="8"/>
        <v>36.96715736</v>
      </c>
      <c r="J40" s="58">
        <v>4119.73</v>
      </c>
      <c r="K40" s="60">
        <f t="shared" si="9"/>
        <v>10.45616751</v>
      </c>
      <c r="L40" s="58">
        <v>10200.0</v>
      </c>
      <c r="M40" s="61">
        <f t="shared" si="25"/>
        <v>0.7003060749</v>
      </c>
      <c r="N40" s="62">
        <f t="shared" ref="N40:O40" si="52">Q40+U40</f>
        <v>-2190.3</v>
      </c>
      <c r="O40" s="58">
        <f t="shared" si="52"/>
        <v>4119.73</v>
      </c>
      <c r="P40" s="63">
        <f t="shared" si="12"/>
        <v>1929.43</v>
      </c>
      <c r="Q40" s="64">
        <f t="shared" si="13"/>
        <v>-1095.15</v>
      </c>
      <c r="R40" s="65">
        <f t="shared" si="14"/>
        <v>2883.811</v>
      </c>
      <c r="S40" s="66">
        <f t="shared" si="15"/>
        <v>1153.5244</v>
      </c>
      <c r="T40" s="67">
        <f t="shared" si="16"/>
        <v>635.1366</v>
      </c>
      <c r="U40" s="62">
        <f t="shared" si="17"/>
        <v>-1095.15</v>
      </c>
      <c r="V40" s="58">
        <f t="shared" si="18"/>
        <v>1235.919</v>
      </c>
      <c r="W40" s="63">
        <f t="shared" si="19"/>
        <v>140.769</v>
      </c>
      <c r="X40" s="71">
        <v>-2190.3</v>
      </c>
      <c r="Y40" s="72"/>
      <c r="Z40" s="72"/>
    </row>
    <row r="41" ht="15.75" customHeight="1">
      <c r="A41" s="38">
        <v>35.0</v>
      </c>
      <c r="B41" s="39" t="s">
        <v>62</v>
      </c>
      <c r="C41" s="40">
        <v>45799.0</v>
      </c>
      <c r="D41" s="41">
        <f t="shared" si="6"/>
        <v>45799</v>
      </c>
      <c r="E41" s="42">
        <v>692.0</v>
      </c>
      <c r="F41" s="42">
        <v>1100.0</v>
      </c>
      <c r="G41" s="43">
        <f t="shared" si="7"/>
        <v>0.6290909091</v>
      </c>
      <c r="H41" s="42">
        <v>36361.63</v>
      </c>
      <c r="I41" s="68">
        <f t="shared" si="8"/>
        <v>52.54570809</v>
      </c>
      <c r="J41" s="42">
        <v>1837.45</v>
      </c>
      <c r="K41" s="68">
        <f t="shared" si="9"/>
        <v>2.655274566</v>
      </c>
      <c r="L41" s="42">
        <v>26000.0</v>
      </c>
      <c r="M41" s="46">
        <f t="shared" si="25"/>
        <v>0.7150394523</v>
      </c>
      <c r="N41" s="69">
        <f t="shared" ref="N41:O41" si="53">Q41+U41</f>
        <v>-3869.32</v>
      </c>
      <c r="O41" s="42">
        <f t="shared" si="53"/>
        <v>1837.45</v>
      </c>
      <c r="P41" s="70">
        <f t="shared" si="12"/>
        <v>-2031.87</v>
      </c>
      <c r="Q41" s="49">
        <f t="shared" si="13"/>
        <v>-1934.66</v>
      </c>
      <c r="R41" s="50">
        <f t="shared" si="14"/>
        <v>1286.215</v>
      </c>
      <c r="S41" s="51">
        <f t="shared" si="15"/>
        <v>514.486</v>
      </c>
      <c r="T41" s="52">
        <f t="shared" si="16"/>
        <v>-1162.931</v>
      </c>
      <c r="U41" s="69">
        <f t="shared" si="17"/>
        <v>-1934.66</v>
      </c>
      <c r="V41" s="42">
        <f t="shared" si="18"/>
        <v>551.235</v>
      </c>
      <c r="W41" s="70">
        <f t="shared" si="19"/>
        <v>-1383.425</v>
      </c>
      <c r="X41" s="71">
        <v>-3869.32</v>
      </c>
    </row>
    <row r="42" ht="15.75" customHeight="1">
      <c r="A42" s="54">
        <v>36.0</v>
      </c>
      <c r="B42" s="55" t="s">
        <v>63</v>
      </c>
      <c r="C42" s="56">
        <v>45804.0</v>
      </c>
      <c r="D42" s="57">
        <f t="shared" si="6"/>
        <v>45804</v>
      </c>
      <c r="E42" s="58">
        <v>1115.0</v>
      </c>
      <c r="F42" s="58">
        <v>1100.0</v>
      </c>
      <c r="G42" s="59">
        <f t="shared" si="7"/>
        <v>1.013636364</v>
      </c>
      <c r="H42" s="58">
        <v>47705.5</v>
      </c>
      <c r="I42" s="60">
        <f t="shared" si="8"/>
        <v>42.78520179</v>
      </c>
      <c r="J42" s="58">
        <v>6061.88</v>
      </c>
      <c r="K42" s="60">
        <f t="shared" si="9"/>
        <v>5.436663677</v>
      </c>
      <c r="L42" s="58">
        <v>15500.0</v>
      </c>
      <c r="M42" s="61">
        <f t="shared" si="25"/>
        <v>0.3249101257</v>
      </c>
      <c r="N42" s="62">
        <f t="shared" ref="N42:O42" si="54">Q42+U42</f>
        <v>15047.48</v>
      </c>
      <c r="O42" s="58">
        <f t="shared" si="54"/>
        <v>6061.88</v>
      </c>
      <c r="P42" s="63">
        <f t="shared" si="12"/>
        <v>21109.36</v>
      </c>
      <c r="Q42" s="64">
        <f t="shared" si="13"/>
        <v>7523.74</v>
      </c>
      <c r="R42" s="65">
        <f t="shared" si="14"/>
        <v>4243.316</v>
      </c>
      <c r="S42" s="66">
        <f t="shared" si="15"/>
        <v>1697.3264</v>
      </c>
      <c r="T42" s="67">
        <f t="shared" si="16"/>
        <v>10069.7296</v>
      </c>
      <c r="U42" s="62">
        <f t="shared" si="17"/>
        <v>7523.74</v>
      </c>
      <c r="V42" s="58">
        <f t="shared" si="18"/>
        <v>1818.564</v>
      </c>
      <c r="W42" s="63">
        <f t="shared" si="19"/>
        <v>9342.304</v>
      </c>
      <c r="X42" s="53">
        <v>15047.48</v>
      </c>
    </row>
    <row r="43" ht="15.75" customHeight="1">
      <c r="A43" s="38">
        <v>37.0</v>
      </c>
      <c r="B43" s="39" t="s">
        <v>64</v>
      </c>
      <c r="C43" s="40">
        <v>45811.0</v>
      </c>
      <c r="D43" s="41">
        <f t="shared" si="6"/>
        <v>45811</v>
      </c>
      <c r="E43" s="42">
        <v>613.0</v>
      </c>
      <c r="F43" s="42">
        <v>1100.0</v>
      </c>
      <c r="G43" s="43">
        <f t="shared" si="7"/>
        <v>0.5572727273</v>
      </c>
      <c r="H43" s="42">
        <v>26316.39</v>
      </c>
      <c r="I43" s="68">
        <f t="shared" si="8"/>
        <v>42.9304894</v>
      </c>
      <c r="J43" s="42">
        <v>12128.14</v>
      </c>
      <c r="K43" s="68">
        <f t="shared" si="9"/>
        <v>19.78489396</v>
      </c>
      <c r="L43" s="42">
        <v>25500.0</v>
      </c>
      <c r="M43" s="46">
        <f t="shared" si="25"/>
        <v>0.9689778879</v>
      </c>
      <c r="N43" s="69">
        <f t="shared" ref="N43:O43" si="55">Q43+U43</f>
        <v>-7899.12</v>
      </c>
      <c r="O43" s="42">
        <f t="shared" si="55"/>
        <v>12128.14</v>
      </c>
      <c r="P43" s="70">
        <f t="shared" si="12"/>
        <v>4229.02</v>
      </c>
      <c r="Q43" s="49">
        <f t="shared" si="13"/>
        <v>-3949.56</v>
      </c>
      <c r="R43" s="50">
        <f t="shared" si="14"/>
        <v>8489.698</v>
      </c>
      <c r="S43" s="51">
        <f t="shared" si="15"/>
        <v>3395.8792</v>
      </c>
      <c r="T43" s="52">
        <f t="shared" si="16"/>
        <v>1144.2588</v>
      </c>
      <c r="U43" s="69">
        <f t="shared" si="17"/>
        <v>-3949.56</v>
      </c>
      <c r="V43" s="42">
        <f t="shared" si="18"/>
        <v>3638.442</v>
      </c>
      <c r="W43" s="70">
        <f t="shared" si="19"/>
        <v>-311.118</v>
      </c>
      <c r="X43" s="71">
        <v>-7899.12</v>
      </c>
    </row>
    <row r="44" ht="15.75" customHeight="1">
      <c r="A44" s="54">
        <v>38.0</v>
      </c>
      <c r="B44" s="55" t="s">
        <v>65</v>
      </c>
      <c r="C44" s="56">
        <v>45812.0</v>
      </c>
      <c r="D44" s="57">
        <f t="shared" si="6"/>
        <v>45812</v>
      </c>
      <c r="E44" s="58">
        <v>783.0</v>
      </c>
      <c r="F44" s="58">
        <v>1100.0</v>
      </c>
      <c r="G44" s="59">
        <f t="shared" si="7"/>
        <v>0.7118181818</v>
      </c>
      <c r="H44" s="58">
        <v>29238.8</v>
      </c>
      <c r="I44" s="60">
        <f t="shared" si="8"/>
        <v>37.34201788</v>
      </c>
      <c r="J44" s="58">
        <v>3266.25</v>
      </c>
      <c r="K44" s="60">
        <f t="shared" si="9"/>
        <v>4.171455939</v>
      </c>
      <c r="L44" s="58">
        <v>16750.0</v>
      </c>
      <c r="M44" s="61">
        <f t="shared" si="25"/>
        <v>0.5728689276</v>
      </c>
      <c r="N44" s="62">
        <f t="shared" ref="N44:O44" si="56">Q44+U44</f>
        <v>5079.31</v>
      </c>
      <c r="O44" s="58">
        <f t="shared" si="56"/>
        <v>3266.25</v>
      </c>
      <c r="P44" s="63">
        <f t="shared" si="12"/>
        <v>8345.56</v>
      </c>
      <c r="Q44" s="64">
        <f t="shared" si="13"/>
        <v>2539.655</v>
      </c>
      <c r="R44" s="65">
        <f t="shared" si="14"/>
        <v>2286.375</v>
      </c>
      <c r="S44" s="66">
        <f t="shared" si="15"/>
        <v>914.55</v>
      </c>
      <c r="T44" s="67">
        <f t="shared" si="16"/>
        <v>3911.48</v>
      </c>
      <c r="U44" s="62">
        <f t="shared" si="17"/>
        <v>2539.655</v>
      </c>
      <c r="V44" s="58">
        <f t="shared" si="18"/>
        <v>979.875</v>
      </c>
      <c r="W44" s="63">
        <f t="shared" si="19"/>
        <v>3519.53</v>
      </c>
      <c r="X44" s="53">
        <v>5079.31</v>
      </c>
    </row>
    <row r="45" ht="15.75" customHeight="1">
      <c r="A45" s="38">
        <v>39.0</v>
      </c>
      <c r="B45" s="39" t="s">
        <v>66</v>
      </c>
      <c r="C45" s="40">
        <v>45813.0</v>
      </c>
      <c r="D45" s="41">
        <f t="shared" si="6"/>
        <v>45813</v>
      </c>
      <c r="E45" s="42">
        <v>560.0</v>
      </c>
      <c r="F45" s="42">
        <v>1100.0</v>
      </c>
      <c r="G45" s="43">
        <f t="shared" si="7"/>
        <v>0.5090909091</v>
      </c>
      <c r="H45" s="42">
        <v>16903.35</v>
      </c>
      <c r="I45" s="68">
        <f t="shared" si="8"/>
        <v>30.18455357</v>
      </c>
      <c r="J45" s="42">
        <v>3852.26</v>
      </c>
      <c r="K45" s="68">
        <f t="shared" si="9"/>
        <v>6.879035714</v>
      </c>
      <c r="L45" s="42">
        <v>10000.0</v>
      </c>
      <c r="M45" s="46">
        <f t="shared" si="25"/>
        <v>0.5915987068</v>
      </c>
      <c r="N45" s="69">
        <f t="shared" ref="N45:O45" si="57">Q45+U45</f>
        <v>-645.67</v>
      </c>
      <c r="O45" s="42">
        <f t="shared" si="57"/>
        <v>3852.26</v>
      </c>
      <c r="P45" s="70">
        <f t="shared" si="12"/>
        <v>3206.59</v>
      </c>
      <c r="Q45" s="49">
        <f t="shared" si="13"/>
        <v>-322.835</v>
      </c>
      <c r="R45" s="50">
        <f t="shared" si="14"/>
        <v>2696.582</v>
      </c>
      <c r="S45" s="51">
        <f t="shared" si="15"/>
        <v>1078.6328</v>
      </c>
      <c r="T45" s="52">
        <f t="shared" si="16"/>
        <v>1295.1142</v>
      </c>
      <c r="U45" s="69">
        <f t="shared" si="17"/>
        <v>-322.835</v>
      </c>
      <c r="V45" s="42">
        <f t="shared" si="18"/>
        <v>1155.678</v>
      </c>
      <c r="W45" s="70">
        <f t="shared" si="19"/>
        <v>832.843</v>
      </c>
      <c r="X45" s="71">
        <v>-645.67</v>
      </c>
    </row>
    <row r="46" ht="15.75" customHeight="1">
      <c r="A46" s="54">
        <v>40.0</v>
      </c>
      <c r="B46" s="73" t="s">
        <v>67</v>
      </c>
      <c r="C46" s="74">
        <v>45854.0</v>
      </c>
      <c r="D46" s="57">
        <f t="shared" si="6"/>
        <v>45854</v>
      </c>
      <c r="E46" s="75">
        <v>118.0</v>
      </c>
      <c r="F46" s="42">
        <v>1100.0</v>
      </c>
      <c r="G46" s="59">
        <f t="shared" si="7"/>
        <v>0.1072727273</v>
      </c>
      <c r="H46" s="75">
        <v>6535.57</v>
      </c>
      <c r="I46" s="60">
        <f t="shared" si="8"/>
        <v>55.38618644</v>
      </c>
      <c r="J46" s="75">
        <v>1425.39</v>
      </c>
      <c r="K46" s="60">
        <f t="shared" si="9"/>
        <v>12.07957627</v>
      </c>
      <c r="L46" s="58">
        <f>3000</f>
        <v>3000</v>
      </c>
      <c r="M46" s="61">
        <f t="shared" si="25"/>
        <v>0.4590265271</v>
      </c>
      <c r="N46" s="62">
        <f t="shared" ref="N46:O46" si="58">Q46+U46</f>
        <v>-5308.21</v>
      </c>
      <c r="O46" s="58">
        <f t="shared" si="58"/>
        <v>1425.39</v>
      </c>
      <c r="P46" s="63">
        <f t="shared" si="12"/>
        <v>-3882.82</v>
      </c>
      <c r="Q46" s="64">
        <f t="shared" si="13"/>
        <v>-2654.105</v>
      </c>
      <c r="R46" s="65">
        <f t="shared" si="14"/>
        <v>997.773</v>
      </c>
      <c r="S46" s="66">
        <f t="shared" si="15"/>
        <v>399.1092</v>
      </c>
      <c r="T46" s="67">
        <f t="shared" si="16"/>
        <v>-2055.4412</v>
      </c>
      <c r="U46" s="62">
        <f t="shared" si="17"/>
        <v>-2654.105</v>
      </c>
      <c r="V46" s="58">
        <f t="shared" si="18"/>
        <v>427.617</v>
      </c>
      <c r="W46" s="63">
        <f t="shared" si="19"/>
        <v>-2226.488</v>
      </c>
      <c r="X46" s="76">
        <v>-5308.21</v>
      </c>
    </row>
    <row r="47" ht="15.75" customHeight="1">
      <c r="A47" s="38">
        <v>41.0</v>
      </c>
      <c r="B47" s="77" t="s">
        <v>68</v>
      </c>
      <c r="C47" s="78">
        <v>45855.0</v>
      </c>
      <c r="D47" s="41">
        <f t="shared" si="6"/>
        <v>45855</v>
      </c>
      <c r="E47" s="79">
        <v>109.0</v>
      </c>
      <c r="F47" s="42">
        <v>1100.0</v>
      </c>
      <c r="G47" s="43">
        <f t="shared" si="7"/>
        <v>0.09909090909</v>
      </c>
      <c r="H47" s="79">
        <v>10964.31</v>
      </c>
      <c r="I47" s="68">
        <f t="shared" si="8"/>
        <v>100.59</v>
      </c>
      <c r="J47" s="79">
        <v>5181.32</v>
      </c>
      <c r="K47" s="68">
        <f t="shared" si="9"/>
        <v>47.53504587</v>
      </c>
      <c r="L47" s="79">
        <v>0.0</v>
      </c>
      <c r="M47" s="46">
        <f t="shared" si="25"/>
        <v>0</v>
      </c>
      <c r="N47" s="69">
        <f t="shared" ref="N47:O47" si="59">Q47+U47</f>
        <v>4626.69</v>
      </c>
      <c r="O47" s="42">
        <f t="shared" si="59"/>
        <v>5181.32</v>
      </c>
      <c r="P47" s="70">
        <f t="shared" si="12"/>
        <v>9808.01</v>
      </c>
      <c r="Q47" s="49">
        <f t="shared" si="13"/>
        <v>2313.345</v>
      </c>
      <c r="R47" s="50">
        <f t="shared" si="14"/>
        <v>3626.924</v>
      </c>
      <c r="S47" s="51">
        <f t="shared" si="15"/>
        <v>1450.7696</v>
      </c>
      <c r="T47" s="52">
        <f t="shared" si="16"/>
        <v>4489.4994</v>
      </c>
      <c r="U47" s="69">
        <f t="shared" si="17"/>
        <v>2313.345</v>
      </c>
      <c r="V47" s="42">
        <f t="shared" si="18"/>
        <v>1554.396</v>
      </c>
      <c r="W47" s="70">
        <f t="shared" si="19"/>
        <v>3867.741</v>
      </c>
      <c r="X47" s="76">
        <v>4626.69</v>
      </c>
    </row>
    <row r="48" ht="15.75" customHeight="1">
      <c r="A48" s="54">
        <v>42.0</v>
      </c>
      <c r="B48" s="73" t="s">
        <v>69</v>
      </c>
      <c r="C48" s="74">
        <v>45877.0</v>
      </c>
      <c r="D48" s="57">
        <f t="shared" si="6"/>
        <v>45877</v>
      </c>
      <c r="E48" s="75">
        <v>602.0</v>
      </c>
      <c r="F48" s="42">
        <v>1100.0</v>
      </c>
      <c r="G48" s="59">
        <f t="shared" si="7"/>
        <v>0.5472727273</v>
      </c>
      <c r="H48" s="75">
        <v>29179.6</v>
      </c>
      <c r="I48" s="60">
        <f t="shared" si="8"/>
        <v>48.47109635</v>
      </c>
      <c r="J48" s="75">
        <v>8268.43</v>
      </c>
      <c r="K48" s="60">
        <f t="shared" si="9"/>
        <v>13.73493355</v>
      </c>
      <c r="L48" s="58">
        <f>25000+1500</f>
        <v>26500</v>
      </c>
      <c r="M48" s="61">
        <f t="shared" si="25"/>
        <v>0.9081687206</v>
      </c>
      <c r="N48" s="62">
        <f t="shared" ref="N48:O48" si="60">Q48+U48</f>
        <v>-11824.31</v>
      </c>
      <c r="O48" s="58">
        <f t="shared" si="60"/>
        <v>8268.43</v>
      </c>
      <c r="P48" s="63">
        <f t="shared" si="12"/>
        <v>-3555.88</v>
      </c>
      <c r="Q48" s="64">
        <f t="shared" si="13"/>
        <v>-5912.155</v>
      </c>
      <c r="R48" s="65">
        <f t="shared" si="14"/>
        <v>5787.901</v>
      </c>
      <c r="S48" s="66">
        <f t="shared" si="15"/>
        <v>2315.1604</v>
      </c>
      <c r="T48" s="67">
        <f t="shared" si="16"/>
        <v>-2439.4144</v>
      </c>
      <c r="U48" s="62">
        <f t="shared" si="17"/>
        <v>-5912.155</v>
      </c>
      <c r="V48" s="58">
        <f t="shared" si="18"/>
        <v>2480.529</v>
      </c>
      <c r="W48" s="63">
        <f t="shared" si="19"/>
        <v>-3431.626</v>
      </c>
      <c r="X48" s="76">
        <v>-11824.31</v>
      </c>
    </row>
    <row r="49" ht="15.75" customHeight="1">
      <c r="A49" s="38">
        <v>43.0</v>
      </c>
      <c r="B49" s="77" t="s">
        <v>70</v>
      </c>
      <c r="C49" s="78">
        <v>45909.0</v>
      </c>
      <c r="D49" s="41">
        <v>193.0</v>
      </c>
      <c r="E49" s="79">
        <v>928.0</v>
      </c>
      <c r="F49" s="42">
        <v>1100.0</v>
      </c>
      <c r="G49" s="43">
        <f t="shared" si="7"/>
        <v>0.8436363636</v>
      </c>
      <c r="H49" s="79">
        <v>36594.0</v>
      </c>
      <c r="I49" s="68">
        <f t="shared" si="8"/>
        <v>39.43318966</v>
      </c>
      <c r="J49" s="79">
        <v>14963.09</v>
      </c>
      <c r="K49" s="68">
        <f t="shared" si="9"/>
        <v>16.1240194</v>
      </c>
      <c r="L49" s="42">
        <f>12500+2500+1000</f>
        <v>16000</v>
      </c>
      <c r="M49" s="46">
        <f t="shared" si="25"/>
        <v>0.437230147</v>
      </c>
      <c r="N49" s="69">
        <f t="shared" ref="N49:O49" si="61">Q49+U49</f>
        <v>9392.63</v>
      </c>
      <c r="O49" s="42">
        <f t="shared" si="61"/>
        <v>14963.09</v>
      </c>
      <c r="P49" s="70">
        <f t="shared" si="12"/>
        <v>24355.72</v>
      </c>
      <c r="Q49" s="49">
        <f t="shared" si="13"/>
        <v>4696.315</v>
      </c>
      <c r="R49" s="50">
        <f t="shared" si="14"/>
        <v>10474.163</v>
      </c>
      <c r="S49" s="51">
        <f t="shared" si="15"/>
        <v>4189.6652</v>
      </c>
      <c r="T49" s="52">
        <f t="shared" si="16"/>
        <v>10980.8128</v>
      </c>
      <c r="U49" s="69">
        <f t="shared" si="17"/>
        <v>4696.315</v>
      </c>
      <c r="V49" s="42">
        <f t="shared" si="18"/>
        <v>4488.927</v>
      </c>
      <c r="W49" s="70">
        <f t="shared" si="19"/>
        <v>9185.242</v>
      </c>
      <c r="X49" s="76">
        <v>9392.63</v>
      </c>
    </row>
    <row r="50" ht="15.75" customHeight="1">
      <c r="A50" s="54">
        <v>44.0</v>
      </c>
      <c r="B50" s="73" t="s">
        <v>71</v>
      </c>
      <c r="C50" s="74">
        <v>45913.0</v>
      </c>
      <c r="D50" s="57">
        <f t="shared" ref="D50:D89" si="63">C50</f>
        <v>45913</v>
      </c>
      <c r="E50" s="75">
        <v>417.0</v>
      </c>
      <c r="F50" s="42">
        <v>1100.0</v>
      </c>
      <c r="G50" s="59">
        <f t="shared" si="7"/>
        <v>0.3790909091</v>
      </c>
      <c r="H50" s="75">
        <v>12245.8</v>
      </c>
      <c r="I50" s="60">
        <f t="shared" si="8"/>
        <v>29.36642686</v>
      </c>
      <c r="J50" s="75">
        <v>0.0</v>
      </c>
      <c r="K50" s="60">
        <f t="shared" si="9"/>
        <v>0</v>
      </c>
      <c r="L50" s="58">
        <f>5000+250</f>
        <v>5250</v>
      </c>
      <c r="M50" s="61">
        <f t="shared" si="25"/>
        <v>0.4287184177</v>
      </c>
      <c r="N50" s="62">
        <f t="shared" ref="N50:O50" si="62">Q50+U50</f>
        <v>2072.95</v>
      </c>
      <c r="O50" s="58">
        <f t="shared" si="62"/>
        <v>0</v>
      </c>
      <c r="P50" s="63">
        <f t="shared" si="12"/>
        <v>2072.95</v>
      </c>
      <c r="Q50" s="64">
        <f t="shared" si="13"/>
        <v>1036.475</v>
      </c>
      <c r="R50" s="65">
        <f t="shared" si="14"/>
        <v>0</v>
      </c>
      <c r="S50" s="66">
        <f t="shared" si="15"/>
        <v>0</v>
      </c>
      <c r="T50" s="67">
        <f t="shared" si="16"/>
        <v>1036.475</v>
      </c>
      <c r="U50" s="62">
        <f t="shared" si="17"/>
        <v>1036.475</v>
      </c>
      <c r="V50" s="58">
        <f t="shared" si="18"/>
        <v>0</v>
      </c>
      <c r="W50" s="63">
        <f t="shared" si="19"/>
        <v>1036.475</v>
      </c>
      <c r="X50" s="76">
        <v>2072.95</v>
      </c>
    </row>
    <row r="51" ht="15.75" customHeight="1">
      <c r="A51" s="38">
        <v>45.0</v>
      </c>
      <c r="B51" s="77" t="s">
        <v>72</v>
      </c>
      <c r="C51" s="78">
        <v>45917.0</v>
      </c>
      <c r="D51" s="41">
        <f t="shared" si="63"/>
        <v>45917</v>
      </c>
      <c r="E51" s="79">
        <v>558.0</v>
      </c>
      <c r="F51" s="42">
        <v>1100.0</v>
      </c>
      <c r="G51" s="43">
        <f t="shared" si="7"/>
        <v>0.5072727273</v>
      </c>
      <c r="H51" s="79">
        <v>22391.79</v>
      </c>
      <c r="I51" s="68">
        <f t="shared" si="8"/>
        <v>40.12865591</v>
      </c>
      <c r="J51" s="79">
        <v>8153.72</v>
      </c>
      <c r="K51" s="68">
        <f t="shared" si="9"/>
        <v>14.61240143</v>
      </c>
      <c r="L51" s="42">
        <f>10000+500</f>
        <v>10500</v>
      </c>
      <c r="M51" s="46">
        <f t="shared" si="25"/>
        <v>0.4689218682</v>
      </c>
      <c r="N51" s="69">
        <f t="shared" ref="N51:O51" si="64">Q51+U51</f>
        <v>1949.69</v>
      </c>
      <c r="O51" s="42">
        <f t="shared" si="64"/>
        <v>8153.72</v>
      </c>
      <c r="P51" s="70">
        <f t="shared" si="12"/>
        <v>10103.41</v>
      </c>
      <c r="Q51" s="49">
        <f t="shared" si="13"/>
        <v>974.845</v>
      </c>
      <c r="R51" s="50">
        <f t="shared" si="14"/>
        <v>5707.604</v>
      </c>
      <c r="S51" s="51">
        <f t="shared" si="15"/>
        <v>2283.0416</v>
      </c>
      <c r="T51" s="52">
        <f t="shared" si="16"/>
        <v>4399.4074</v>
      </c>
      <c r="U51" s="69">
        <f t="shared" si="17"/>
        <v>974.845</v>
      </c>
      <c r="V51" s="42">
        <f t="shared" si="18"/>
        <v>2446.116</v>
      </c>
      <c r="W51" s="70">
        <f t="shared" si="19"/>
        <v>3420.961</v>
      </c>
      <c r="X51" s="76">
        <v>1949.69</v>
      </c>
    </row>
    <row r="52" ht="15.75" customHeight="1">
      <c r="A52" s="54">
        <v>46.0</v>
      </c>
      <c r="B52" s="73" t="s">
        <v>73</v>
      </c>
      <c r="C52" s="74">
        <v>45918.0</v>
      </c>
      <c r="D52" s="57">
        <f t="shared" si="63"/>
        <v>45918</v>
      </c>
      <c r="E52" s="75">
        <v>930.0</v>
      </c>
      <c r="F52" s="42">
        <v>1100.0</v>
      </c>
      <c r="G52" s="59">
        <f t="shared" si="7"/>
        <v>0.8454545455</v>
      </c>
      <c r="H52" s="75">
        <v>58079.53</v>
      </c>
      <c r="I52" s="60">
        <f t="shared" si="8"/>
        <v>62.45110753</v>
      </c>
      <c r="J52" s="75">
        <v>14177.97</v>
      </c>
      <c r="K52" s="60">
        <f t="shared" si="9"/>
        <v>15.24512903</v>
      </c>
      <c r="L52" s="58">
        <f>21000</f>
        <v>21000</v>
      </c>
      <c r="M52" s="61">
        <f t="shared" si="25"/>
        <v>0.3615731739</v>
      </c>
      <c r="N52" s="62">
        <f t="shared" ref="N52:O52" si="65">Q52+U52</f>
        <v>14177.97</v>
      </c>
      <c r="O52" s="58">
        <f t="shared" si="65"/>
        <v>14177.97</v>
      </c>
      <c r="P52" s="63">
        <f t="shared" si="12"/>
        <v>28355.94</v>
      </c>
      <c r="Q52" s="64">
        <f t="shared" si="13"/>
        <v>7088.985</v>
      </c>
      <c r="R52" s="65">
        <f t="shared" si="14"/>
        <v>9924.579</v>
      </c>
      <c r="S52" s="66">
        <f t="shared" si="15"/>
        <v>3969.8316</v>
      </c>
      <c r="T52" s="67">
        <f t="shared" si="16"/>
        <v>13043.7324</v>
      </c>
      <c r="U52" s="62">
        <f t="shared" si="17"/>
        <v>7088.985</v>
      </c>
      <c r="V52" s="58">
        <f t="shared" si="18"/>
        <v>4253.391</v>
      </c>
      <c r="W52" s="63">
        <f t="shared" si="19"/>
        <v>11342.376</v>
      </c>
      <c r="X52" s="76">
        <v>14177.97</v>
      </c>
    </row>
    <row r="53" ht="15.75" customHeight="1">
      <c r="A53" s="38">
        <v>47.0</v>
      </c>
      <c r="B53" s="77" t="s">
        <v>74</v>
      </c>
      <c r="C53" s="78">
        <v>45919.0</v>
      </c>
      <c r="D53" s="41">
        <f t="shared" si="63"/>
        <v>45919</v>
      </c>
      <c r="E53" s="79">
        <v>344.0</v>
      </c>
      <c r="F53" s="42">
        <v>1100.0</v>
      </c>
      <c r="G53" s="43">
        <f t="shared" si="7"/>
        <v>0.3127272727</v>
      </c>
      <c r="H53" s="79">
        <v>16294.92</v>
      </c>
      <c r="I53" s="68">
        <f t="shared" si="8"/>
        <v>47.36895349</v>
      </c>
      <c r="J53" s="79">
        <v>5032.32</v>
      </c>
      <c r="K53" s="68">
        <f t="shared" si="9"/>
        <v>14.62883721</v>
      </c>
      <c r="L53" s="42">
        <f>10000+1500</f>
        <v>11500</v>
      </c>
      <c r="M53" s="46">
        <f t="shared" si="25"/>
        <v>0.7057414213</v>
      </c>
      <c r="N53" s="69">
        <f t="shared" ref="N53:O53" si="66">Q53+U53</f>
        <v>-5948</v>
      </c>
      <c r="O53" s="42">
        <f t="shared" si="66"/>
        <v>5032.32</v>
      </c>
      <c r="P53" s="70">
        <f t="shared" si="12"/>
        <v>-915.68</v>
      </c>
      <c r="Q53" s="49">
        <f t="shared" si="13"/>
        <v>-2974</v>
      </c>
      <c r="R53" s="50">
        <f t="shared" si="14"/>
        <v>3522.624</v>
      </c>
      <c r="S53" s="51">
        <f t="shared" si="15"/>
        <v>1409.0496</v>
      </c>
      <c r="T53" s="52">
        <f t="shared" si="16"/>
        <v>-860.4256</v>
      </c>
      <c r="U53" s="69">
        <f t="shared" si="17"/>
        <v>-2974</v>
      </c>
      <c r="V53" s="42">
        <f t="shared" si="18"/>
        <v>1509.696</v>
      </c>
      <c r="W53" s="70">
        <f t="shared" si="19"/>
        <v>-1464.304</v>
      </c>
      <c r="X53" s="76">
        <v>-5948.0</v>
      </c>
    </row>
    <row r="54" ht="15.75" customHeight="1">
      <c r="A54" s="54">
        <v>48.0</v>
      </c>
      <c r="B54" s="73" t="s">
        <v>75</v>
      </c>
      <c r="C54" s="74">
        <v>45923.0</v>
      </c>
      <c r="D54" s="57">
        <f t="shared" si="63"/>
        <v>45923</v>
      </c>
      <c r="E54" s="75">
        <v>543.0</v>
      </c>
      <c r="F54" s="42">
        <v>1100.0</v>
      </c>
      <c r="G54" s="59">
        <f t="shared" si="7"/>
        <v>0.4936363636</v>
      </c>
      <c r="H54" s="75">
        <v>18847.71</v>
      </c>
      <c r="I54" s="60">
        <f t="shared" si="8"/>
        <v>34.71033149</v>
      </c>
      <c r="J54" s="75">
        <v>6798.38</v>
      </c>
      <c r="K54" s="60">
        <f t="shared" si="9"/>
        <v>12.52003683</v>
      </c>
      <c r="L54" s="58">
        <f>10000+750</f>
        <v>10750</v>
      </c>
      <c r="M54" s="61">
        <f t="shared" si="25"/>
        <v>0.5703610677</v>
      </c>
      <c r="N54" s="62">
        <f t="shared" ref="N54:O54" si="67">Q54+U54</f>
        <v>-1169.5</v>
      </c>
      <c r="O54" s="58">
        <f t="shared" si="67"/>
        <v>6798.38</v>
      </c>
      <c r="P54" s="63">
        <f t="shared" si="12"/>
        <v>5628.88</v>
      </c>
      <c r="Q54" s="64">
        <f t="shared" si="13"/>
        <v>-584.75</v>
      </c>
      <c r="R54" s="65">
        <f t="shared" si="14"/>
        <v>4758.866</v>
      </c>
      <c r="S54" s="66">
        <f t="shared" si="15"/>
        <v>1903.5464</v>
      </c>
      <c r="T54" s="67">
        <f t="shared" si="16"/>
        <v>2270.5696</v>
      </c>
      <c r="U54" s="62">
        <f t="shared" si="17"/>
        <v>-584.75</v>
      </c>
      <c r="V54" s="58">
        <f t="shared" si="18"/>
        <v>2039.514</v>
      </c>
      <c r="W54" s="63">
        <f t="shared" si="19"/>
        <v>1454.764</v>
      </c>
      <c r="X54" s="53">
        <f>-1169.5</f>
        <v>-1169.5</v>
      </c>
    </row>
    <row r="55" ht="15.75" customHeight="1">
      <c r="A55" s="38">
        <v>49.0</v>
      </c>
      <c r="B55" s="77" t="s">
        <v>76</v>
      </c>
      <c r="C55" s="78">
        <v>45924.0</v>
      </c>
      <c r="D55" s="41">
        <f t="shared" si="63"/>
        <v>45924</v>
      </c>
      <c r="E55" s="79">
        <v>204.0</v>
      </c>
      <c r="F55" s="42">
        <v>1100.0</v>
      </c>
      <c r="G55" s="43">
        <f t="shared" si="7"/>
        <v>0.1854545455</v>
      </c>
      <c r="H55" s="79">
        <v>13104.4</v>
      </c>
      <c r="I55" s="68">
        <f t="shared" si="8"/>
        <v>64.2372549</v>
      </c>
      <c r="J55" s="79">
        <v>1798.03</v>
      </c>
      <c r="K55" s="68">
        <f t="shared" si="9"/>
        <v>8.813872549</v>
      </c>
      <c r="L55" s="42">
        <f>5000</f>
        <v>5000</v>
      </c>
      <c r="M55" s="46">
        <f t="shared" si="25"/>
        <v>0.3815512347</v>
      </c>
      <c r="N55" s="69">
        <f t="shared" ref="N55:O55" si="68">Q55+U55</f>
        <v>-82.29</v>
      </c>
      <c r="O55" s="42">
        <f t="shared" si="68"/>
        <v>1798.03</v>
      </c>
      <c r="P55" s="70">
        <f t="shared" si="12"/>
        <v>1715.74</v>
      </c>
      <c r="Q55" s="49">
        <f t="shared" si="13"/>
        <v>-41.145</v>
      </c>
      <c r="R55" s="50">
        <f t="shared" si="14"/>
        <v>1258.621</v>
      </c>
      <c r="S55" s="51">
        <f t="shared" si="15"/>
        <v>503.4484</v>
      </c>
      <c r="T55" s="52">
        <f t="shared" si="16"/>
        <v>714.0276</v>
      </c>
      <c r="U55" s="69">
        <f t="shared" si="17"/>
        <v>-41.145</v>
      </c>
      <c r="V55" s="42">
        <f t="shared" si="18"/>
        <v>539.409</v>
      </c>
      <c r="W55" s="70">
        <f t="shared" si="19"/>
        <v>498.264</v>
      </c>
      <c r="X55" s="76">
        <v>-82.29</v>
      </c>
    </row>
    <row r="56" ht="15.75" customHeight="1">
      <c r="A56" s="54">
        <v>50.0</v>
      </c>
      <c r="B56" s="73" t="s">
        <v>77</v>
      </c>
      <c r="C56" s="74">
        <v>45926.0</v>
      </c>
      <c r="D56" s="57">
        <f t="shared" si="63"/>
        <v>45926</v>
      </c>
      <c r="E56" s="75">
        <v>582.0</v>
      </c>
      <c r="F56" s="42">
        <v>1100.0</v>
      </c>
      <c r="G56" s="59">
        <f t="shared" si="7"/>
        <v>0.5290909091</v>
      </c>
      <c r="H56" s="75">
        <v>18915.6</v>
      </c>
      <c r="I56" s="60">
        <f t="shared" si="8"/>
        <v>32.50103093</v>
      </c>
      <c r="J56" s="75">
        <v>11529.36</v>
      </c>
      <c r="K56" s="60">
        <f t="shared" si="9"/>
        <v>19.80989691</v>
      </c>
      <c r="L56" s="58">
        <f>10250+750+750+250</f>
        <v>12000</v>
      </c>
      <c r="M56" s="61">
        <f t="shared" si="25"/>
        <v>0.6343970056</v>
      </c>
      <c r="N56" s="62">
        <f t="shared" ref="N56:O56" si="69">Q56+U56</f>
        <v>-2610.86</v>
      </c>
      <c r="O56" s="58">
        <f t="shared" si="69"/>
        <v>11529.36</v>
      </c>
      <c r="P56" s="63">
        <f t="shared" si="12"/>
        <v>8918.5</v>
      </c>
      <c r="Q56" s="64">
        <f t="shared" si="13"/>
        <v>-1305.43</v>
      </c>
      <c r="R56" s="65">
        <f t="shared" si="14"/>
        <v>8070.552</v>
      </c>
      <c r="S56" s="66">
        <f t="shared" si="15"/>
        <v>3228.2208</v>
      </c>
      <c r="T56" s="67">
        <f t="shared" si="16"/>
        <v>3536.9012</v>
      </c>
      <c r="U56" s="62">
        <f t="shared" si="17"/>
        <v>-1305.43</v>
      </c>
      <c r="V56" s="58">
        <f t="shared" si="18"/>
        <v>3458.808</v>
      </c>
      <c r="W56" s="63">
        <f t="shared" si="19"/>
        <v>2153.378</v>
      </c>
      <c r="X56" s="76">
        <v>-2610.86</v>
      </c>
    </row>
    <row r="57" ht="15.75" customHeight="1">
      <c r="A57" s="38">
        <v>51.0</v>
      </c>
      <c r="B57" s="77" t="s">
        <v>78</v>
      </c>
      <c r="C57" s="78">
        <v>45927.0</v>
      </c>
      <c r="D57" s="41">
        <f t="shared" si="63"/>
        <v>45927</v>
      </c>
      <c r="E57" s="79">
        <v>1134.0</v>
      </c>
      <c r="F57" s="42">
        <v>1100.0</v>
      </c>
      <c r="G57" s="43">
        <f t="shared" si="7"/>
        <v>1.030909091</v>
      </c>
      <c r="H57" s="79">
        <v>49327.61</v>
      </c>
      <c r="I57" s="68">
        <f t="shared" si="8"/>
        <v>43.49877425</v>
      </c>
      <c r="J57" s="79">
        <v>16915.13</v>
      </c>
      <c r="K57" s="68">
        <f t="shared" si="9"/>
        <v>14.91634039</v>
      </c>
      <c r="L57" s="42">
        <f>10000+7211.83+1000</f>
        <v>18211.83</v>
      </c>
      <c r="M57" s="46">
        <f t="shared" si="25"/>
        <v>0.3692015486</v>
      </c>
      <c r="N57" s="69">
        <f t="shared" ref="N57:O57" si="70">Q57+U57</f>
        <v>21025.23</v>
      </c>
      <c r="O57" s="42">
        <f t="shared" si="70"/>
        <v>16915.13</v>
      </c>
      <c r="P57" s="70">
        <f t="shared" si="12"/>
        <v>37940.36</v>
      </c>
      <c r="Q57" s="49">
        <f t="shared" si="13"/>
        <v>10512.615</v>
      </c>
      <c r="R57" s="50">
        <f t="shared" si="14"/>
        <v>11840.591</v>
      </c>
      <c r="S57" s="51">
        <f t="shared" si="15"/>
        <v>4736.2364</v>
      </c>
      <c r="T57" s="52">
        <f t="shared" si="16"/>
        <v>17616.9696</v>
      </c>
      <c r="U57" s="69">
        <f t="shared" si="17"/>
        <v>10512.615</v>
      </c>
      <c r="V57" s="42">
        <f t="shared" si="18"/>
        <v>5074.539</v>
      </c>
      <c r="W57" s="70">
        <f t="shared" si="19"/>
        <v>15587.154</v>
      </c>
      <c r="X57" s="76">
        <v>21025.23</v>
      </c>
    </row>
    <row r="58" ht="15.75" customHeight="1">
      <c r="A58" s="54">
        <v>52.0</v>
      </c>
      <c r="B58" s="73" t="s">
        <v>79</v>
      </c>
      <c r="C58" s="74">
        <v>45928.0</v>
      </c>
      <c r="D58" s="57">
        <f t="shared" si="63"/>
        <v>45928</v>
      </c>
      <c r="E58" s="75">
        <v>154.0</v>
      </c>
      <c r="F58" s="42">
        <v>1100.0</v>
      </c>
      <c r="G58" s="59">
        <f t="shared" si="7"/>
        <v>0.14</v>
      </c>
      <c r="H58" s="75">
        <v>10196.28</v>
      </c>
      <c r="I58" s="60">
        <f t="shared" si="8"/>
        <v>66.20961039</v>
      </c>
      <c r="J58" s="75">
        <v>3318.12</v>
      </c>
      <c r="K58" s="60">
        <f t="shared" si="9"/>
        <v>21.54623377</v>
      </c>
      <c r="L58" s="58">
        <f>5000+5000+700+300</f>
        <v>11000</v>
      </c>
      <c r="M58" s="61">
        <f t="shared" si="25"/>
        <v>1.078824826</v>
      </c>
      <c r="N58" s="62">
        <f t="shared" ref="N58:O58" si="71">Q58+U58</f>
        <v>-12671</v>
      </c>
      <c r="O58" s="58">
        <f t="shared" si="71"/>
        <v>3318.12</v>
      </c>
      <c r="P58" s="63">
        <f t="shared" si="12"/>
        <v>-9352.88</v>
      </c>
      <c r="Q58" s="64">
        <f t="shared" si="13"/>
        <v>-6335.5</v>
      </c>
      <c r="R58" s="65">
        <f t="shared" si="14"/>
        <v>2322.684</v>
      </c>
      <c r="S58" s="66">
        <f t="shared" si="15"/>
        <v>929.0736</v>
      </c>
      <c r="T58" s="67">
        <f t="shared" si="16"/>
        <v>-4941.8896</v>
      </c>
      <c r="U58" s="62">
        <f t="shared" si="17"/>
        <v>-6335.5</v>
      </c>
      <c r="V58" s="58">
        <f t="shared" si="18"/>
        <v>995.436</v>
      </c>
      <c r="W58" s="63">
        <f t="shared" si="19"/>
        <v>-5340.064</v>
      </c>
      <c r="X58" s="76">
        <v>-12671.0</v>
      </c>
    </row>
    <row r="59" ht="15.75" customHeight="1">
      <c r="A59" s="38">
        <v>53.0</v>
      </c>
      <c r="B59" s="77" t="s">
        <v>80</v>
      </c>
      <c r="C59" s="78">
        <v>45929.0</v>
      </c>
      <c r="D59" s="41">
        <f t="shared" si="63"/>
        <v>45929</v>
      </c>
      <c r="E59" s="79">
        <v>753.0</v>
      </c>
      <c r="F59" s="42">
        <v>1100.0</v>
      </c>
      <c r="G59" s="43">
        <f t="shared" si="7"/>
        <v>0.6845454545</v>
      </c>
      <c r="H59" s="79">
        <v>44958.23</v>
      </c>
      <c r="I59" s="68">
        <f t="shared" si="8"/>
        <v>59.70548473</v>
      </c>
      <c r="J59" s="79">
        <v>6092.97</v>
      </c>
      <c r="K59" s="68">
        <f t="shared" si="9"/>
        <v>8.091593625</v>
      </c>
      <c r="L59" s="42">
        <f>30500</f>
        <v>30500</v>
      </c>
      <c r="M59" s="46">
        <f t="shared" si="25"/>
        <v>0.6784074907</v>
      </c>
      <c r="N59" s="69">
        <f t="shared" ref="N59:O59" si="72">Q59+U59</f>
        <v>4846.49</v>
      </c>
      <c r="O59" s="42">
        <f t="shared" si="72"/>
        <v>6092.97</v>
      </c>
      <c r="P59" s="70">
        <f t="shared" si="12"/>
        <v>10939.46</v>
      </c>
      <c r="Q59" s="49">
        <f t="shared" si="13"/>
        <v>2423.245</v>
      </c>
      <c r="R59" s="50">
        <f t="shared" si="14"/>
        <v>4265.079</v>
      </c>
      <c r="S59" s="51">
        <f t="shared" si="15"/>
        <v>1706.0316</v>
      </c>
      <c r="T59" s="52">
        <f t="shared" si="16"/>
        <v>4982.2924</v>
      </c>
      <c r="U59" s="69">
        <f t="shared" si="17"/>
        <v>2423.245</v>
      </c>
      <c r="V59" s="42">
        <f t="shared" si="18"/>
        <v>1827.891</v>
      </c>
      <c r="W59" s="70">
        <f t="shared" si="19"/>
        <v>4251.136</v>
      </c>
      <c r="X59" s="76">
        <v>4846.49</v>
      </c>
    </row>
    <row r="60" ht="15.75" customHeight="1">
      <c r="A60" s="54">
        <v>54.0</v>
      </c>
      <c r="B60" s="73" t="s">
        <v>81</v>
      </c>
      <c r="C60" s="74">
        <v>45932.0</v>
      </c>
      <c r="D60" s="57">
        <f t="shared" si="63"/>
        <v>45932</v>
      </c>
      <c r="E60" s="75">
        <v>522.0</v>
      </c>
      <c r="F60" s="42">
        <v>1100.0</v>
      </c>
      <c r="G60" s="59">
        <f t="shared" si="7"/>
        <v>0.4745454545</v>
      </c>
      <c r="H60" s="75">
        <v>20756.18</v>
      </c>
      <c r="I60" s="60">
        <f t="shared" si="8"/>
        <v>39.76279693</v>
      </c>
      <c r="J60" s="75">
        <v>6394.07</v>
      </c>
      <c r="K60" s="60">
        <f t="shared" si="9"/>
        <v>12.24917625</v>
      </c>
      <c r="L60" s="58">
        <f>25000+1000</f>
        <v>26000</v>
      </c>
      <c r="M60" s="61">
        <f t="shared" si="25"/>
        <v>1.252638973</v>
      </c>
      <c r="N60" s="62">
        <f t="shared" ref="N60:O60" si="73">Q60+U60</f>
        <v>-17083.55</v>
      </c>
      <c r="O60" s="58">
        <f t="shared" si="73"/>
        <v>6394.07</v>
      </c>
      <c r="P60" s="63">
        <f t="shared" si="12"/>
        <v>-10689.48</v>
      </c>
      <c r="Q60" s="64">
        <f t="shared" si="13"/>
        <v>-8541.775</v>
      </c>
      <c r="R60" s="65">
        <f t="shared" si="14"/>
        <v>4475.849</v>
      </c>
      <c r="S60" s="66">
        <f t="shared" si="15"/>
        <v>1790.3396</v>
      </c>
      <c r="T60" s="67">
        <f t="shared" si="16"/>
        <v>-5856.2656</v>
      </c>
      <c r="U60" s="62">
        <f t="shared" si="17"/>
        <v>-8541.775</v>
      </c>
      <c r="V60" s="58">
        <f t="shared" si="18"/>
        <v>1918.221</v>
      </c>
      <c r="W60" s="63">
        <f t="shared" si="19"/>
        <v>-6623.554</v>
      </c>
      <c r="X60" s="76">
        <v>-17083.55</v>
      </c>
    </row>
    <row r="61" ht="15.75" customHeight="1">
      <c r="A61" s="38">
        <f t="shared" ref="A61:A89" si="75">A60+1</f>
        <v>55</v>
      </c>
      <c r="B61" s="77" t="s">
        <v>82</v>
      </c>
      <c r="C61" s="78">
        <v>45933.0</v>
      </c>
      <c r="D61" s="41">
        <f t="shared" si="63"/>
        <v>45933</v>
      </c>
      <c r="E61" s="79">
        <v>502.0</v>
      </c>
      <c r="F61" s="42">
        <v>1100.0</v>
      </c>
      <c r="G61" s="43">
        <f t="shared" si="7"/>
        <v>0.4563636364</v>
      </c>
      <c r="H61" s="79">
        <v>23101.68</v>
      </c>
      <c r="I61" s="68">
        <f t="shared" si="8"/>
        <v>46.01928287</v>
      </c>
      <c r="J61" s="79">
        <v>6024.72</v>
      </c>
      <c r="K61" s="68">
        <f t="shared" si="9"/>
        <v>12.00143426</v>
      </c>
      <c r="L61" s="42">
        <f>8500+300+200</f>
        <v>9000</v>
      </c>
      <c r="M61" s="46">
        <f t="shared" si="25"/>
        <v>0.3895820564</v>
      </c>
      <c r="N61" s="69">
        <f t="shared" ref="N61:O61" si="74">Q61+U61</f>
        <v>-136.05</v>
      </c>
      <c r="O61" s="42">
        <f t="shared" si="74"/>
        <v>6024.72</v>
      </c>
      <c r="P61" s="70">
        <f t="shared" si="12"/>
        <v>5888.67</v>
      </c>
      <c r="Q61" s="49">
        <f t="shared" si="13"/>
        <v>-68.025</v>
      </c>
      <c r="R61" s="50">
        <f t="shared" si="14"/>
        <v>4217.304</v>
      </c>
      <c r="S61" s="51">
        <f t="shared" si="15"/>
        <v>1686.9216</v>
      </c>
      <c r="T61" s="52">
        <f t="shared" si="16"/>
        <v>2462.3574</v>
      </c>
      <c r="U61" s="69">
        <f t="shared" si="17"/>
        <v>-68.025</v>
      </c>
      <c r="V61" s="42">
        <f t="shared" si="18"/>
        <v>1807.416</v>
      </c>
      <c r="W61" s="70">
        <f t="shared" si="19"/>
        <v>1739.391</v>
      </c>
      <c r="X61" s="76">
        <v>-136.05</v>
      </c>
    </row>
    <row r="62" ht="15.75" customHeight="1">
      <c r="A62" s="54">
        <f t="shared" si="75"/>
        <v>56</v>
      </c>
      <c r="B62" s="73" t="s">
        <v>83</v>
      </c>
      <c r="C62" s="74">
        <v>45934.0</v>
      </c>
      <c r="D62" s="57">
        <f t="shared" si="63"/>
        <v>45934</v>
      </c>
      <c r="E62" s="75">
        <v>179.0</v>
      </c>
      <c r="F62" s="42">
        <v>1100.0</v>
      </c>
      <c r="G62" s="59">
        <f t="shared" si="7"/>
        <v>0.1627272727</v>
      </c>
      <c r="H62" s="75">
        <v>7960.0</v>
      </c>
      <c r="I62" s="60">
        <f t="shared" si="8"/>
        <v>44.46927374</v>
      </c>
      <c r="J62" s="75">
        <v>3013.78</v>
      </c>
      <c r="K62" s="60">
        <f t="shared" si="9"/>
        <v>16.83675978</v>
      </c>
      <c r="L62" s="58">
        <f>12500+3500</f>
        <v>16000</v>
      </c>
      <c r="M62" s="61">
        <f t="shared" si="25"/>
        <v>2.010050251</v>
      </c>
      <c r="N62" s="62">
        <f t="shared" ref="N62:O62" si="76">Q62+U62</f>
        <v>-17865.11</v>
      </c>
      <c r="O62" s="58">
        <f t="shared" si="76"/>
        <v>3013.78</v>
      </c>
      <c r="P62" s="63">
        <f t="shared" si="12"/>
        <v>-14851.33</v>
      </c>
      <c r="Q62" s="64">
        <f t="shared" si="13"/>
        <v>-8932.555</v>
      </c>
      <c r="R62" s="65">
        <f t="shared" si="14"/>
        <v>2109.646</v>
      </c>
      <c r="S62" s="66">
        <f t="shared" si="15"/>
        <v>843.8584</v>
      </c>
      <c r="T62" s="67">
        <f t="shared" si="16"/>
        <v>-7666.7674</v>
      </c>
      <c r="U62" s="62">
        <f t="shared" si="17"/>
        <v>-8932.555</v>
      </c>
      <c r="V62" s="58">
        <f t="shared" si="18"/>
        <v>904.134</v>
      </c>
      <c r="W62" s="63">
        <f t="shared" si="19"/>
        <v>-8028.421</v>
      </c>
      <c r="X62" s="76">
        <v>-17865.11</v>
      </c>
    </row>
    <row r="63" ht="15.75" customHeight="1">
      <c r="A63" s="38">
        <f t="shared" si="75"/>
        <v>57</v>
      </c>
      <c r="B63" s="77" t="s">
        <v>84</v>
      </c>
      <c r="C63" s="78">
        <v>45937.0</v>
      </c>
      <c r="D63" s="41">
        <f t="shared" si="63"/>
        <v>45937</v>
      </c>
      <c r="E63" s="79">
        <v>651.0</v>
      </c>
      <c r="F63" s="42">
        <v>1100.0</v>
      </c>
      <c r="G63" s="43">
        <f t="shared" si="7"/>
        <v>0.5918181818</v>
      </c>
      <c r="H63" s="79">
        <v>34348.08</v>
      </c>
      <c r="I63" s="68">
        <f t="shared" si="8"/>
        <v>52.76202765</v>
      </c>
      <c r="J63" s="79">
        <v>5645.91</v>
      </c>
      <c r="K63" s="68">
        <f t="shared" si="9"/>
        <v>8.672672811</v>
      </c>
      <c r="L63" s="42">
        <f>17000+1000</f>
        <v>18000</v>
      </c>
      <c r="M63" s="46">
        <f t="shared" si="25"/>
        <v>0.5240467589</v>
      </c>
      <c r="N63" s="69">
        <f t="shared" ref="N63:O63" si="77">Q63+U63</f>
        <v>527.09</v>
      </c>
      <c r="O63" s="42">
        <f t="shared" si="77"/>
        <v>5645.91</v>
      </c>
      <c r="P63" s="70">
        <f t="shared" si="12"/>
        <v>6173</v>
      </c>
      <c r="Q63" s="49">
        <f t="shared" si="13"/>
        <v>263.545</v>
      </c>
      <c r="R63" s="50">
        <f t="shared" si="14"/>
        <v>3952.137</v>
      </c>
      <c r="S63" s="51">
        <f t="shared" si="15"/>
        <v>1580.8548</v>
      </c>
      <c r="T63" s="52">
        <f t="shared" si="16"/>
        <v>2634.8272</v>
      </c>
      <c r="U63" s="69">
        <f t="shared" si="17"/>
        <v>263.545</v>
      </c>
      <c r="V63" s="42">
        <f t="shared" si="18"/>
        <v>1693.773</v>
      </c>
      <c r="W63" s="70">
        <f t="shared" si="19"/>
        <v>1957.318</v>
      </c>
      <c r="X63" s="76">
        <v>527.09</v>
      </c>
    </row>
    <row r="64" ht="15.75" customHeight="1">
      <c r="A64" s="54">
        <f t="shared" si="75"/>
        <v>58</v>
      </c>
      <c r="B64" s="73" t="s">
        <v>85</v>
      </c>
      <c r="C64" s="74">
        <v>45938.0</v>
      </c>
      <c r="D64" s="57">
        <f t="shared" si="63"/>
        <v>45938</v>
      </c>
      <c r="E64" s="75">
        <v>323.0</v>
      </c>
      <c r="F64" s="42">
        <v>1100.0</v>
      </c>
      <c r="G64" s="59">
        <f t="shared" si="7"/>
        <v>0.2936363636</v>
      </c>
      <c r="H64" s="75">
        <v>19712.68</v>
      </c>
      <c r="I64" s="60">
        <f t="shared" si="8"/>
        <v>61.02996904</v>
      </c>
      <c r="J64" s="75">
        <v>3369.03</v>
      </c>
      <c r="K64" s="60">
        <f t="shared" si="9"/>
        <v>10.43043344</v>
      </c>
      <c r="L64" s="58">
        <f>22500</f>
        <v>22500</v>
      </c>
      <c r="M64" s="61">
        <f t="shared" si="25"/>
        <v>1.141397314</v>
      </c>
      <c r="N64" s="62">
        <f t="shared" ref="N64:O64" si="78">Q64+U64</f>
        <v>-13777.6</v>
      </c>
      <c r="O64" s="58">
        <f t="shared" si="78"/>
        <v>3369.03</v>
      </c>
      <c r="P64" s="63">
        <f t="shared" si="12"/>
        <v>-10408.57</v>
      </c>
      <c r="Q64" s="64">
        <f t="shared" si="13"/>
        <v>-6888.8</v>
      </c>
      <c r="R64" s="65">
        <f t="shared" si="14"/>
        <v>2358.321</v>
      </c>
      <c r="S64" s="66">
        <f t="shared" si="15"/>
        <v>943.3284</v>
      </c>
      <c r="T64" s="67">
        <f t="shared" si="16"/>
        <v>-5473.8074</v>
      </c>
      <c r="U64" s="62">
        <f t="shared" si="17"/>
        <v>-6888.8</v>
      </c>
      <c r="V64" s="58">
        <f t="shared" si="18"/>
        <v>1010.709</v>
      </c>
      <c r="W64" s="63">
        <f t="shared" si="19"/>
        <v>-5878.091</v>
      </c>
      <c r="X64" s="76">
        <v>-13777.6</v>
      </c>
    </row>
    <row r="65" ht="15.75" customHeight="1">
      <c r="A65" s="38">
        <f t="shared" si="75"/>
        <v>59</v>
      </c>
      <c r="B65" s="77" t="s">
        <v>86</v>
      </c>
      <c r="C65" s="78">
        <v>45940.0</v>
      </c>
      <c r="D65" s="41">
        <f t="shared" si="63"/>
        <v>45940</v>
      </c>
      <c r="E65" s="79">
        <v>415.0</v>
      </c>
      <c r="F65" s="42">
        <v>1100.0</v>
      </c>
      <c r="G65" s="43">
        <f t="shared" si="7"/>
        <v>0.3772727273</v>
      </c>
      <c r="H65" s="79">
        <v>32203.93</v>
      </c>
      <c r="I65" s="68">
        <f t="shared" si="8"/>
        <v>77.59983133</v>
      </c>
      <c r="J65" s="79">
        <v>1070.33</v>
      </c>
      <c r="K65" s="68">
        <f t="shared" si="9"/>
        <v>2.579108434</v>
      </c>
      <c r="L65" s="79">
        <v>1212.9</v>
      </c>
      <c r="M65" s="46">
        <f t="shared" si="25"/>
        <v>0.03766310509</v>
      </c>
      <c r="N65" s="69">
        <f t="shared" ref="N65:O65" si="79">Q65+U65</f>
        <v>10590.37</v>
      </c>
      <c r="O65" s="42">
        <f t="shared" si="79"/>
        <v>1070.33</v>
      </c>
      <c r="P65" s="70">
        <f t="shared" si="12"/>
        <v>11660.7</v>
      </c>
      <c r="Q65" s="49">
        <f t="shared" si="13"/>
        <v>5295.185</v>
      </c>
      <c r="R65" s="50">
        <f t="shared" si="14"/>
        <v>749.231</v>
      </c>
      <c r="S65" s="51">
        <f t="shared" si="15"/>
        <v>299.6924</v>
      </c>
      <c r="T65" s="52">
        <f t="shared" si="16"/>
        <v>5744.7236</v>
      </c>
      <c r="U65" s="69">
        <f t="shared" si="17"/>
        <v>5295.185</v>
      </c>
      <c r="V65" s="42">
        <f t="shared" si="18"/>
        <v>321.099</v>
      </c>
      <c r="W65" s="70">
        <f t="shared" si="19"/>
        <v>5616.284</v>
      </c>
      <c r="X65" s="76">
        <v>10590.37</v>
      </c>
    </row>
    <row r="66" ht="15.75" customHeight="1">
      <c r="A66" s="54">
        <f t="shared" si="75"/>
        <v>60</v>
      </c>
      <c r="B66" s="73" t="s">
        <v>87</v>
      </c>
      <c r="C66" s="74">
        <v>45941.0</v>
      </c>
      <c r="D66" s="57">
        <f t="shared" si="63"/>
        <v>45941</v>
      </c>
      <c r="E66" s="75">
        <v>318.0</v>
      </c>
      <c r="F66" s="42">
        <v>1100.0</v>
      </c>
      <c r="G66" s="59">
        <f t="shared" si="7"/>
        <v>0.2890909091</v>
      </c>
      <c r="H66" s="75">
        <v>18003.3</v>
      </c>
      <c r="I66" s="60">
        <f t="shared" si="8"/>
        <v>56.61415094</v>
      </c>
      <c r="J66" s="75">
        <v>4259.42</v>
      </c>
      <c r="K66" s="60">
        <f t="shared" si="9"/>
        <v>13.39440252</v>
      </c>
      <c r="L66" s="75">
        <f>10000</f>
        <v>10000</v>
      </c>
      <c r="M66" s="61">
        <f t="shared" si="25"/>
        <v>0.5554537224</v>
      </c>
      <c r="N66" s="62">
        <f t="shared" ref="N66:O66" si="80">Q66+U66</f>
        <v>-1623.2</v>
      </c>
      <c r="O66" s="58">
        <f t="shared" si="80"/>
        <v>4259.42</v>
      </c>
      <c r="P66" s="63">
        <f t="shared" si="12"/>
        <v>2636.22</v>
      </c>
      <c r="Q66" s="64">
        <f t="shared" si="13"/>
        <v>-811.6</v>
      </c>
      <c r="R66" s="65">
        <f t="shared" si="14"/>
        <v>2981.594</v>
      </c>
      <c r="S66" s="66">
        <f t="shared" si="15"/>
        <v>1192.6376</v>
      </c>
      <c r="T66" s="67">
        <f t="shared" si="16"/>
        <v>977.3564</v>
      </c>
      <c r="U66" s="62">
        <f t="shared" si="17"/>
        <v>-811.6</v>
      </c>
      <c r="V66" s="58">
        <f t="shared" si="18"/>
        <v>1277.826</v>
      </c>
      <c r="W66" s="63">
        <f t="shared" si="19"/>
        <v>466.226</v>
      </c>
      <c r="X66" s="76">
        <v>-1623.2</v>
      </c>
    </row>
    <row r="67" ht="15.75" customHeight="1">
      <c r="A67" s="38">
        <f t="shared" si="75"/>
        <v>61</v>
      </c>
      <c r="B67" s="77" t="s">
        <v>88</v>
      </c>
      <c r="C67" s="78">
        <v>45942.0</v>
      </c>
      <c r="D67" s="41">
        <f t="shared" si="63"/>
        <v>45942</v>
      </c>
      <c r="E67" s="79">
        <v>803.0</v>
      </c>
      <c r="F67" s="42">
        <v>1100.0</v>
      </c>
      <c r="G67" s="43">
        <f t="shared" si="7"/>
        <v>0.73</v>
      </c>
      <c r="H67" s="79">
        <v>30571.89</v>
      </c>
      <c r="I67" s="68">
        <f t="shared" si="8"/>
        <v>38.07209215</v>
      </c>
      <c r="J67" s="79">
        <v>7678.42</v>
      </c>
      <c r="K67" s="68">
        <f t="shared" si="9"/>
        <v>9.562166874</v>
      </c>
      <c r="L67" s="42">
        <f>30000+8500</f>
        <v>38500</v>
      </c>
      <c r="M67" s="46">
        <f t="shared" si="25"/>
        <v>1.259326787</v>
      </c>
      <c r="N67" s="69">
        <f t="shared" ref="N67:O67" si="81">Q67+U67</f>
        <v>-19407.62</v>
      </c>
      <c r="O67" s="42">
        <f t="shared" si="81"/>
        <v>7678.42</v>
      </c>
      <c r="P67" s="70">
        <f t="shared" si="12"/>
        <v>-11729.2</v>
      </c>
      <c r="Q67" s="49">
        <f t="shared" si="13"/>
        <v>-9703.81</v>
      </c>
      <c r="R67" s="50">
        <f t="shared" si="14"/>
        <v>5374.894</v>
      </c>
      <c r="S67" s="51">
        <f t="shared" si="15"/>
        <v>2149.9576</v>
      </c>
      <c r="T67" s="52">
        <f t="shared" si="16"/>
        <v>-6478.8736</v>
      </c>
      <c r="U67" s="69">
        <f t="shared" si="17"/>
        <v>-9703.81</v>
      </c>
      <c r="V67" s="42">
        <f t="shared" si="18"/>
        <v>2303.526</v>
      </c>
      <c r="W67" s="70">
        <f t="shared" si="19"/>
        <v>-7400.284</v>
      </c>
      <c r="X67" s="76">
        <v>-19407.62</v>
      </c>
    </row>
    <row r="68" ht="15.75" customHeight="1">
      <c r="A68" s="54">
        <f t="shared" si="75"/>
        <v>62</v>
      </c>
      <c r="B68" s="73" t="s">
        <v>89</v>
      </c>
      <c r="C68" s="74">
        <v>45943.0</v>
      </c>
      <c r="D68" s="57">
        <f t="shared" si="63"/>
        <v>45943</v>
      </c>
      <c r="E68" s="75">
        <v>1122.0</v>
      </c>
      <c r="F68" s="42">
        <v>1100.0</v>
      </c>
      <c r="G68" s="59">
        <f t="shared" si="7"/>
        <v>1.02</v>
      </c>
      <c r="H68" s="75">
        <v>45889.97</v>
      </c>
      <c r="I68" s="60">
        <f t="shared" si="8"/>
        <v>40.90015152</v>
      </c>
      <c r="J68" s="75">
        <v>9688.97</v>
      </c>
      <c r="K68" s="60">
        <f t="shared" si="9"/>
        <v>8.635445633</v>
      </c>
      <c r="L68" s="75">
        <f>11000+750</f>
        <v>11750</v>
      </c>
      <c r="M68" s="61">
        <f t="shared" si="25"/>
        <v>0.2560472365</v>
      </c>
      <c r="N68" s="62">
        <f t="shared" ref="N68:O68" si="82">Q68+U68</f>
        <v>12956.28</v>
      </c>
      <c r="O68" s="58">
        <f t="shared" si="82"/>
        <v>9688.97</v>
      </c>
      <c r="P68" s="63">
        <f t="shared" si="12"/>
        <v>22645.25</v>
      </c>
      <c r="Q68" s="64">
        <f t="shared" si="13"/>
        <v>6478.14</v>
      </c>
      <c r="R68" s="65">
        <f t="shared" si="14"/>
        <v>6782.279</v>
      </c>
      <c r="S68" s="66">
        <f t="shared" si="15"/>
        <v>2712.9116</v>
      </c>
      <c r="T68" s="67">
        <f t="shared" si="16"/>
        <v>10547.5074</v>
      </c>
      <c r="U68" s="62">
        <f t="shared" si="17"/>
        <v>6478.14</v>
      </c>
      <c r="V68" s="58">
        <f t="shared" si="18"/>
        <v>2906.691</v>
      </c>
      <c r="W68" s="63">
        <f t="shared" si="19"/>
        <v>9384.831</v>
      </c>
      <c r="X68" s="76">
        <v>12956.28</v>
      </c>
    </row>
    <row r="69" ht="15.75" customHeight="1">
      <c r="A69" s="38">
        <f t="shared" si="75"/>
        <v>63</v>
      </c>
      <c r="B69" s="77" t="s">
        <v>90</v>
      </c>
      <c r="C69" s="78">
        <v>45946.0</v>
      </c>
      <c r="D69" s="41">
        <f t="shared" si="63"/>
        <v>45946</v>
      </c>
      <c r="E69" s="79">
        <v>243.0</v>
      </c>
      <c r="F69" s="42">
        <v>1100.0</v>
      </c>
      <c r="G69" s="43">
        <f t="shared" si="7"/>
        <v>0.2209090909</v>
      </c>
      <c r="H69" s="79">
        <v>9197.6</v>
      </c>
      <c r="I69" s="68">
        <f t="shared" si="8"/>
        <v>37.85020576</v>
      </c>
      <c r="J69" s="79">
        <v>2523.23</v>
      </c>
      <c r="K69" s="68">
        <f t="shared" si="9"/>
        <v>10.38366255</v>
      </c>
      <c r="L69" s="42">
        <f>13000</f>
        <v>13000</v>
      </c>
      <c r="M69" s="46">
        <f t="shared" si="25"/>
        <v>1.413412194</v>
      </c>
      <c r="N69" s="69">
        <f t="shared" ref="N69:O69" si="83">Q69+U69</f>
        <v>-12371.07</v>
      </c>
      <c r="O69" s="42">
        <f t="shared" si="83"/>
        <v>2523.23</v>
      </c>
      <c r="P69" s="70">
        <f t="shared" si="12"/>
        <v>-9847.84</v>
      </c>
      <c r="Q69" s="49">
        <f t="shared" si="13"/>
        <v>-6185.535</v>
      </c>
      <c r="R69" s="50">
        <f t="shared" si="14"/>
        <v>1766.261</v>
      </c>
      <c r="S69" s="51">
        <f t="shared" si="15"/>
        <v>706.5044</v>
      </c>
      <c r="T69" s="52">
        <f t="shared" si="16"/>
        <v>-5125.7784</v>
      </c>
      <c r="U69" s="69">
        <f t="shared" si="17"/>
        <v>-6185.535</v>
      </c>
      <c r="V69" s="42">
        <f t="shared" si="18"/>
        <v>756.969</v>
      </c>
      <c r="W69" s="70">
        <f t="shared" si="19"/>
        <v>-5428.566</v>
      </c>
      <c r="X69" s="76">
        <v>-12371.07</v>
      </c>
    </row>
    <row r="70" ht="15.75" customHeight="1">
      <c r="A70" s="54">
        <f t="shared" si="75"/>
        <v>64</v>
      </c>
      <c r="B70" s="73" t="s">
        <v>91</v>
      </c>
      <c r="C70" s="74">
        <v>45948.0</v>
      </c>
      <c r="D70" s="57">
        <f t="shared" si="63"/>
        <v>45948</v>
      </c>
      <c r="E70" s="75">
        <v>432.0</v>
      </c>
      <c r="F70" s="42">
        <v>1100.0</v>
      </c>
      <c r="G70" s="59">
        <f t="shared" si="7"/>
        <v>0.3927272727</v>
      </c>
      <c r="H70" s="75">
        <v>16452.39</v>
      </c>
      <c r="I70" s="60">
        <f t="shared" si="8"/>
        <v>38.08423611</v>
      </c>
      <c r="J70" s="75">
        <v>3334.04</v>
      </c>
      <c r="K70" s="60">
        <f t="shared" si="9"/>
        <v>7.717685185</v>
      </c>
      <c r="L70" s="58">
        <f>10000+500</f>
        <v>10500</v>
      </c>
      <c r="M70" s="61">
        <f t="shared" si="25"/>
        <v>0.6382051483</v>
      </c>
      <c r="N70" s="62">
        <f t="shared" ref="N70:O70" si="84">Q70+U70</f>
        <v>-2557.79</v>
      </c>
      <c r="O70" s="58">
        <f t="shared" si="84"/>
        <v>3334.04</v>
      </c>
      <c r="P70" s="63">
        <f t="shared" si="12"/>
        <v>776.25</v>
      </c>
      <c r="Q70" s="64">
        <f t="shared" si="13"/>
        <v>-1278.895</v>
      </c>
      <c r="R70" s="65">
        <f t="shared" si="14"/>
        <v>2333.828</v>
      </c>
      <c r="S70" s="66">
        <f t="shared" si="15"/>
        <v>933.5312</v>
      </c>
      <c r="T70" s="67">
        <f t="shared" si="16"/>
        <v>121.4018</v>
      </c>
      <c r="U70" s="62">
        <f t="shared" si="17"/>
        <v>-1278.895</v>
      </c>
      <c r="V70" s="58">
        <f t="shared" si="18"/>
        <v>1000.212</v>
      </c>
      <c r="W70" s="63">
        <f t="shared" si="19"/>
        <v>-278.683</v>
      </c>
      <c r="X70" s="76">
        <v>-2557.79</v>
      </c>
    </row>
    <row r="71" ht="15.75" customHeight="1">
      <c r="A71" s="38">
        <f t="shared" si="75"/>
        <v>65</v>
      </c>
      <c r="B71" s="77" t="s">
        <v>92</v>
      </c>
      <c r="C71" s="78">
        <v>45949.0</v>
      </c>
      <c r="D71" s="41">
        <f t="shared" si="63"/>
        <v>45949</v>
      </c>
      <c r="E71" s="79">
        <v>1029.0</v>
      </c>
      <c r="F71" s="42">
        <v>1100.0</v>
      </c>
      <c r="G71" s="43">
        <f t="shared" si="7"/>
        <v>0.9354545455</v>
      </c>
      <c r="H71" s="79">
        <v>41912.41</v>
      </c>
      <c r="I71" s="68">
        <f t="shared" si="8"/>
        <v>40.73120505</v>
      </c>
      <c r="J71" s="79">
        <v>7767.34</v>
      </c>
      <c r="K71" s="68">
        <f t="shared" si="9"/>
        <v>7.548435374</v>
      </c>
      <c r="L71" s="42">
        <f>15000</f>
        <v>15000</v>
      </c>
      <c r="M71" s="46">
        <f t="shared" si="25"/>
        <v>0.3578892266</v>
      </c>
      <c r="N71" s="69">
        <f t="shared" ref="N71:O71" si="85">Q71+U71</f>
        <v>14901.3</v>
      </c>
      <c r="O71" s="42">
        <f t="shared" si="85"/>
        <v>7767.34</v>
      </c>
      <c r="P71" s="70">
        <f t="shared" si="12"/>
        <v>22668.64</v>
      </c>
      <c r="Q71" s="49">
        <f t="shared" si="13"/>
        <v>7450.65</v>
      </c>
      <c r="R71" s="50">
        <f t="shared" si="14"/>
        <v>5437.138</v>
      </c>
      <c r="S71" s="51">
        <f t="shared" si="15"/>
        <v>2174.8552</v>
      </c>
      <c r="T71" s="52">
        <f t="shared" si="16"/>
        <v>10712.9328</v>
      </c>
      <c r="U71" s="69">
        <f t="shared" si="17"/>
        <v>7450.65</v>
      </c>
      <c r="V71" s="42">
        <f t="shared" si="18"/>
        <v>2330.202</v>
      </c>
      <c r="W71" s="70">
        <f t="shared" si="19"/>
        <v>9780.852</v>
      </c>
      <c r="X71" s="76">
        <v>14901.3</v>
      </c>
    </row>
    <row r="72" ht="15.75" customHeight="1">
      <c r="A72" s="54">
        <f t="shared" si="75"/>
        <v>66</v>
      </c>
      <c r="B72" s="73" t="s">
        <v>93</v>
      </c>
      <c r="C72" s="74">
        <v>45952.0</v>
      </c>
      <c r="D72" s="57">
        <f t="shared" si="63"/>
        <v>45952</v>
      </c>
      <c r="E72" s="75">
        <v>281.0</v>
      </c>
      <c r="F72" s="42">
        <v>1100.0</v>
      </c>
      <c r="G72" s="59">
        <f t="shared" si="7"/>
        <v>0.2554545455</v>
      </c>
      <c r="H72" s="75">
        <v>13901.72</v>
      </c>
      <c r="I72" s="60">
        <f t="shared" si="8"/>
        <v>49.47231317</v>
      </c>
      <c r="J72" s="75">
        <v>5463.66</v>
      </c>
      <c r="K72" s="60">
        <f t="shared" si="9"/>
        <v>19.44362989</v>
      </c>
      <c r="L72" s="58">
        <f>10000+2000+1000</f>
        <v>13000</v>
      </c>
      <c r="M72" s="61">
        <f t="shared" si="25"/>
        <v>0.9351360839</v>
      </c>
      <c r="N72" s="62">
        <f t="shared" ref="N72:O72" si="86">Q72+U72</f>
        <v>-8627.36</v>
      </c>
      <c r="O72" s="58">
        <f t="shared" si="86"/>
        <v>5463.66</v>
      </c>
      <c r="P72" s="63">
        <f t="shared" si="12"/>
        <v>-3163.7</v>
      </c>
      <c r="Q72" s="64">
        <f t="shared" si="13"/>
        <v>-4313.68</v>
      </c>
      <c r="R72" s="65">
        <f t="shared" si="14"/>
        <v>3824.562</v>
      </c>
      <c r="S72" s="66">
        <f t="shared" si="15"/>
        <v>1529.8248</v>
      </c>
      <c r="T72" s="67">
        <f t="shared" si="16"/>
        <v>-2018.9428</v>
      </c>
      <c r="U72" s="62">
        <f t="shared" si="17"/>
        <v>-4313.68</v>
      </c>
      <c r="V72" s="58">
        <f t="shared" si="18"/>
        <v>1639.098</v>
      </c>
      <c r="W72" s="63">
        <f t="shared" si="19"/>
        <v>-2674.582</v>
      </c>
      <c r="X72" s="76">
        <v>-8627.36</v>
      </c>
    </row>
    <row r="73" ht="15.75" customHeight="1">
      <c r="A73" s="38">
        <f t="shared" si="75"/>
        <v>67</v>
      </c>
      <c r="B73" s="77" t="s">
        <v>94</v>
      </c>
      <c r="C73" s="78">
        <v>45954.0</v>
      </c>
      <c r="D73" s="41">
        <f t="shared" si="63"/>
        <v>45954</v>
      </c>
      <c r="E73" s="79">
        <v>1115.0</v>
      </c>
      <c r="F73" s="42">
        <v>1100.0</v>
      </c>
      <c r="G73" s="43">
        <f t="shared" si="7"/>
        <v>1.013636364</v>
      </c>
      <c r="H73" s="79">
        <v>54885.81</v>
      </c>
      <c r="I73" s="68">
        <f t="shared" si="8"/>
        <v>49.2249417</v>
      </c>
      <c r="J73" s="79">
        <v>15020.67</v>
      </c>
      <c r="K73" s="68">
        <f t="shared" si="9"/>
        <v>13.47145291</v>
      </c>
      <c r="L73" s="42">
        <f>20000+2257.22</f>
        <v>22257.22</v>
      </c>
      <c r="M73" s="46">
        <f t="shared" si="25"/>
        <v>0.4055186577</v>
      </c>
      <c r="N73" s="69">
        <f t="shared" ref="N73:O73" si="87">Q73+U73</f>
        <v>20604.39</v>
      </c>
      <c r="O73" s="42">
        <f t="shared" si="87"/>
        <v>15020.67</v>
      </c>
      <c r="P73" s="70">
        <f t="shared" si="12"/>
        <v>35625.06</v>
      </c>
      <c r="Q73" s="49">
        <f t="shared" si="13"/>
        <v>10302.195</v>
      </c>
      <c r="R73" s="50">
        <f t="shared" si="14"/>
        <v>10514.469</v>
      </c>
      <c r="S73" s="51">
        <f t="shared" si="15"/>
        <v>4205.7876</v>
      </c>
      <c r="T73" s="52">
        <f t="shared" si="16"/>
        <v>16610.8764</v>
      </c>
      <c r="U73" s="69">
        <f t="shared" si="17"/>
        <v>10302.195</v>
      </c>
      <c r="V73" s="42">
        <f t="shared" si="18"/>
        <v>4506.201</v>
      </c>
      <c r="W73" s="70">
        <f t="shared" si="19"/>
        <v>14808.396</v>
      </c>
      <c r="X73" s="76">
        <v>20604.39</v>
      </c>
    </row>
    <row r="74" ht="15.75" customHeight="1">
      <c r="A74" s="54">
        <f t="shared" si="75"/>
        <v>68</v>
      </c>
      <c r="B74" s="73" t="s">
        <v>95</v>
      </c>
      <c r="C74" s="74">
        <v>45961.0</v>
      </c>
      <c r="D74" s="57">
        <f t="shared" si="63"/>
        <v>45961</v>
      </c>
      <c r="E74" s="75">
        <v>399.0</v>
      </c>
      <c r="F74" s="42">
        <v>1100.0</v>
      </c>
      <c r="G74" s="59">
        <f t="shared" si="7"/>
        <v>0.3627272727</v>
      </c>
      <c r="H74" s="75">
        <v>18768.33</v>
      </c>
      <c r="I74" s="60">
        <f t="shared" si="8"/>
        <v>47.03842105</v>
      </c>
      <c r="J74" s="75">
        <v>2145.49</v>
      </c>
      <c r="K74" s="60">
        <f t="shared" si="9"/>
        <v>5.37716792</v>
      </c>
      <c r="L74" s="58">
        <f>6561.4</f>
        <v>6561.4</v>
      </c>
      <c r="M74" s="61">
        <f t="shared" si="25"/>
        <v>0.3495995648</v>
      </c>
      <c r="N74" s="62">
        <f t="shared" ref="N74:O74" si="88">Q74+U74</f>
        <v>6067.55</v>
      </c>
      <c r="O74" s="58">
        <f t="shared" si="88"/>
        <v>2145.49</v>
      </c>
      <c r="P74" s="63">
        <f t="shared" si="12"/>
        <v>8213.04</v>
      </c>
      <c r="Q74" s="64">
        <f t="shared" si="13"/>
        <v>3033.775</v>
      </c>
      <c r="R74" s="65">
        <f t="shared" si="14"/>
        <v>1501.843</v>
      </c>
      <c r="S74" s="66">
        <f t="shared" si="15"/>
        <v>600.7372</v>
      </c>
      <c r="T74" s="67">
        <f t="shared" si="16"/>
        <v>3934.8808</v>
      </c>
      <c r="U74" s="62">
        <f t="shared" si="17"/>
        <v>3033.775</v>
      </c>
      <c r="V74" s="58">
        <f t="shared" si="18"/>
        <v>643.647</v>
      </c>
      <c r="W74" s="63">
        <f t="shared" si="19"/>
        <v>3677.422</v>
      </c>
      <c r="X74" s="76">
        <v>6067.55</v>
      </c>
    </row>
    <row r="75" ht="15.75" customHeight="1">
      <c r="A75" s="38">
        <f t="shared" si="75"/>
        <v>69</v>
      </c>
      <c r="B75" s="77" t="s">
        <v>96</v>
      </c>
      <c r="C75" s="78">
        <v>45962.0</v>
      </c>
      <c r="D75" s="41">
        <f t="shared" si="63"/>
        <v>45962</v>
      </c>
      <c r="E75" s="79">
        <v>511.0</v>
      </c>
      <c r="F75" s="42">
        <v>1100.0</v>
      </c>
      <c r="G75" s="43">
        <f t="shared" si="7"/>
        <v>0.4645454545</v>
      </c>
      <c r="H75" s="79">
        <v>16661.74</v>
      </c>
      <c r="I75" s="68">
        <f t="shared" si="8"/>
        <v>32.60614481</v>
      </c>
      <c r="J75" s="79">
        <v>6456.31</v>
      </c>
      <c r="K75" s="68">
        <f t="shared" si="9"/>
        <v>12.63465753</v>
      </c>
      <c r="L75" s="42">
        <f>6500+500</f>
        <v>7000</v>
      </c>
      <c r="M75" s="46">
        <f t="shared" si="25"/>
        <v>0.4201241887</v>
      </c>
      <c r="N75" s="69">
        <f t="shared" ref="N75:O75" si="89">Q75+U75</f>
        <v>225.94</v>
      </c>
      <c r="O75" s="42">
        <f t="shared" si="89"/>
        <v>6456.31</v>
      </c>
      <c r="P75" s="70">
        <f t="shared" si="12"/>
        <v>6682.25</v>
      </c>
      <c r="Q75" s="49">
        <f t="shared" si="13"/>
        <v>112.97</v>
      </c>
      <c r="R75" s="50">
        <f t="shared" si="14"/>
        <v>4519.417</v>
      </c>
      <c r="S75" s="51">
        <f t="shared" si="15"/>
        <v>1807.7668</v>
      </c>
      <c r="T75" s="52">
        <f t="shared" si="16"/>
        <v>2824.6202</v>
      </c>
      <c r="U75" s="69">
        <f t="shared" si="17"/>
        <v>112.97</v>
      </c>
      <c r="V75" s="42">
        <f t="shared" si="18"/>
        <v>1936.893</v>
      </c>
      <c r="W75" s="70">
        <f t="shared" si="19"/>
        <v>2049.863</v>
      </c>
      <c r="X75" s="76">
        <v>225.94</v>
      </c>
    </row>
    <row r="76" ht="15.75" customHeight="1">
      <c r="A76" s="54">
        <f t="shared" si="75"/>
        <v>70</v>
      </c>
      <c r="B76" s="73" t="s">
        <v>97</v>
      </c>
      <c r="C76" s="74">
        <v>45965.0</v>
      </c>
      <c r="D76" s="57">
        <f t="shared" si="63"/>
        <v>45965</v>
      </c>
      <c r="E76" s="75">
        <v>583.0</v>
      </c>
      <c r="F76" s="42">
        <v>1100.0</v>
      </c>
      <c r="G76" s="59">
        <f t="shared" si="7"/>
        <v>0.53</v>
      </c>
      <c r="H76" s="75">
        <v>32093.81</v>
      </c>
      <c r="I76" s="60">
        <f t="shared" si="8"/>
        <v>55.04941681</v>
      </c>
      <c r="J76" s="75">
        <v>5109.19</v>
      </c>
      <c r="K76" s="60">
        <f t="shared" si="9"/>
        <v>8.763619211</v>
      </c>
      <c r="L76" s="58">
        <f>16000+1500</f>
        <v>17500</v>
      </c>
      <c r="M76" s="61">
        <f t="shared" si="25"/>
        <v>0.5452764879</v>
      </c>
      <c r="N76" s="62">
        <f t="shared" ref="N76:O76" si="90">Q76+U76</f>
        <v>-1232.74</v>
      </c>
      <c r="O76" s="58">
        <f t="shared" si="90"/>
        <v>5109.19</v>
      </c>
      <c r="P76" s="63">
        <f t="shared" si="12"/>
        <v>3876.45</v>
      </c>
      <c r="Q76" s="64">
        <f t="shared" si="13"/>
        <v>-616.37</v>
      </c>
      <c r="R76" s="65">
        <f t="shared" si="14"/>
        <v>3576.433</v>
      </c>
      <c r="S76" s="66">
        <f t="shared" si="15"/>
        <v>1430.5732</v>
      </c>
      <c r="T76" s="67">
        <f t="shared" si="16"/>
        <v>1529.4898</v>
      </c>
      <c r="U76" s="62">
        <f t="shared" si="17"/>
        <v>-616.37</v>
      </c>
      <c r="V76" s="58">
        <f t="shared" si="18"/>
        <v>1532.757</v>
      </c>
      <c r="W76" s="63">
        <f t="shared" si="19"/>
        <v>916.387</v>
      </c>
      <c r="X76" s="76">
        <v>-1232.74</v>
      </c>
    </row>
    <row r="77" ht="15.75" customHeight="1">
      <c r="A77" s="38">
        <f t="shared" si="75"/>
        <v>71</v>
      </c>
      <c r="B77" s="77" t="s">
        <v>98</v>
      </c>
      <c r="C77" s="78">
        <v>45966.0</v>
      </c>
      <c r="D77" s="41">
        <f t="shared" si="63"/>
        <v>45966</v>
      </c>
      <c r="E77" s="79">
        <v>317.0</v>
      </c>
      <c r="F77" s="42">
        <v>1100.0</v>
      </c>
      <c r="G77" s="43">
        <f t="shared" si="7"/>
        <v>0.2881818182</v>
      </c>
      <c r="H77" s="79">
        <v>11453.17</v>
      </c>
      <c r="I77" s="68">
        <f t="shared" si="8"/>
        <v>36.12987382</v>
      </c>
      <c r="J77" s="79">
        <v>3601.47</v>
      </c>
      <c r="K77" s="68">
        <f t="shared" si="9"/>
        <v>11.3611041</v>
      </c>
      <c r="L77" s="42">
        <f>5250+5250+500</f>
        <v>11000</v>
      </c>
      <c r="M77" s="46">
        <f t="shared" si="25"/>
        <v>0.9604327885</v>
      </c>
      <c r="N77" s="69">
        <f t="shared" ref="N77:O77" si="91">Q77+U77</f>
        <v>-7816.82</v>
      </c>
      <c r="O77" s="42">
        <f t="shared" si="91"/>
        <v>3601.47</v>
      </c>
      <c r="P77" s="70">
        <f t="shared" si="12"/>
        <v>-4215.35</v>
      </c>
      <c r="Q77" s="49">
        <f t="shared" si="13"/>
        <v>-3908.41</v>
      </c>
      <c r="R77" s="50">
        <f t="shared" si="14"/>
        <v>2521.029</v>
      </c>
      <c r="S77" s="51">
        <f t="shared" si="15"/>
        <v>1008.4116</v>
      </c>
      <c r="T77" s="52">
        <f t="shared" si="16"/>
        <v>-2395.7926</v>
      </c>
      <c r="U77" s="69">
        <f t="shared" si="17"/>
        <v>-3908.41</v>
      </c>
      <c r="V77" s="42">
        <f t="shared" si="18"/>
        <v>1080.441</v>
      </c>
      <c r="W77" s="70">
        <f t="shared" si="19"/>
        <v>-2827.969</v>
      </c>
      <c r="X77" s="76">
        <v>-7816.82</v>
      </c>
    </row>
    <row r="78" ht="15.75" customHeight="1">
      <c r="A78" s="54">
        <f t="shared" si="75"/>
        <v>72</v>
      </c>
      <c r="B78" s="73" t="s">
        <v>99</v>
      </c>
      <c r="C78" s="74">
        <v>45969.0</v>
      </c>
      <c r="D78" s="57">
        <f t="shared" si="63"/>
        <v>45969</v>
      </c>
      <c r="E78" s="75">
        <v>935.0</v>
      </c>
      <c r="F78" s="42">
        <v>1100.0</v>
      </c>
      <c r="G78" s="59">
        <f t="shared" si="7"/>
        <v>0.85</v>
      </c>
      <c r="H78" s="75">
        <v>40727.4</v>
      </c>
      <c r="I78" s="60">
        <f t="shared" si="8"/>
        <v>43.55871658</v>
      </c>
      <c r="J78" s="75">
        <v>15381.51</v>
      </c>
      <c r="K78" s="60">
        <f t="shared" si="9"/>
        <v>16.45081283</v>
      </c>
      <c r="L78" s="58">
        <f>19050+1500+550</f>
        <v>21100</v>
      </c>
      <c r="M78" s="61">
        <f t="shared" si="25"/>
        <v>0.5180787381</v>
      </c>
      <c r="N78" s="62">
        <f t="shared" ref="N78:O78" si="92">Q78+U78</f>
        <v>6616.56</v>
      </c>
      <c r="O78" s="58">
        <f t="shared" si="92"/>
        <v>15381.51</v>
      </c>
      <c r="P78" s="63">
        <f t="shared" si="12"/>
        <v>21998.07</v>
      </c>
      <c r="Q78" s="64">
        <f t="shared" si="13"/>
        <v>3308.28</v>
      </c>
      <c r="R78" s="65">
        <f t="shared" si="14"/>
        <v>10767.057</v>
      </c>
      <c r="S78" s="66">
        <f t="shared" si="15"/>
        <v>4306.8228</v>
      </c>
      <c r="T78" s="67">
        <f t="shared" si="16"/>
        <v>9768.5142</v>
      </c>
      <c r="U78" s="62">
        <f t="shared" si="17"/>
        <v>3308.28</v>
      </c>
      <c r="V78" s="58">
        <f t="shared" si="18"/>
        <v>4614.453</v>
      </c>
      <c r="W78" s="63">
        <f t="shared" si="19"/>
        <v>7922.733</v>
      </c>
      <c r="X78" s="76">
        <v>6616.56</v>
      </c>
    </row>
    <row r="79" ht="15.75" customHeight="1">
      <c r="A79" s="38">
        <f t="shared" si="75"/>
        <v>73</v>
      </c>
      <c r="B79" s="77" t="s">
        <v>100</v>
      </c>
      <c r="C79" s="78">
        <v>45970.0</v>
      </c>
      <c r="D79" s="41">
        <f t="shared" si="63"/>
        <v>45970</v>
      </c>
      <c r="E79" s="79">
        <v>643.0</v>
      </c>
      <c r="F79" s="42">
        <v>1100.0</v>
      </c>
      <c r="G79" s="43">
        <f t="shared" si="7"/>
        <v>0.5845454545</v>
      </c>
      <c r="H79" s="79">
        <v>23450.91</v>
      </c>
      <c r="I79" s="68">
        <f t="shared" si="8"/>
        <v>36.47108865</v>
      </c>
      <c r="J79" s="79">
        <v>5552.48</v>
      </c>
      <c r="K79" s="68">
        <f t="shared" si="9"/>
        <v>8.635272162</v>
      </c>
      <c r="L79" s="42">
        <f>7500+7500+1500+1000+250</f>
        <v>17750</v>
      </c>
      <c r="M79" s="46">
        <f t="shared" si="25"/>
        <v>0.7569002653</v>
      </c>
      <c r="N79" s="69">
        <f t="shared" ref="N79:O79" si="93">Q79+U79</f>
        <v>-3360.86</v>
      </c>
      <c r="O79" s="42">
        <f t="shared" si="93"/>
        <v>5552.48</v>
      </c>
      <c r="P79" s="70">
        <f t="shared" si="12"/>
        <v>2191.62</v>
      </c>
      <c r="Q79" s="49">
        <f t="shared" si="13"/>
        <v>-1680.43</v>
      </c>
      <c r="R79" s="50">
        <f t="shared" si="14"/>
        <v>3886.736</v>
      </c>
      <c r="S79" s="51">
        <f t="shared" si="15"/>
        <v>1554.6944</v>
      </c>
      <c r="T79" s="52">
        <f t="shared" si="16"/>
        <v>651.6116</v>
      </c>
      <c r="U79" s="69">
        <f t="shared" si="17"/>
        <v>-1680.43</v>
      </c>
      <c r="V79" s="42">
        <f t="shared" si="18"/>
        <v>1665.744</v>
      </c>
      <c r="W79" s="70">
        <f t="shared" si="19"/>
        <v>-14.686</v>
      </c>
      <c r="X79" s="76">
        <v>-3360.86</v>
      </c>
    </row>
    <row r="80" ht="15.75" customHeight="1">
      <c r="A80" s="54">
        <f t="shared" si="75"/>
        <v>74</v>
      </c>
      <c r="B80" s="73" t="s">
        <v>101</v>
      </c>
      <c r="C80" s="74">
        <v>45975.0</v>
      </c>
      <c r="D80" s="57">
        <f t="shared" si="63"/>
        <v>45975</v>
      </c>
      <c r="E80" s="75">
        <v>1138.0</v>
      </c>
      <c r="F80" s="42">
        <v>1100.0</v>
      </c>
      <c r="G80" s="59">
        <f t="shared" si="7"/>
        <v>1.034545455</v>
      </c>
      <c r="H80" s="75">
        <v>74600.0</v>
      </c>
      <c r="I80" s="60">
        <f t="shared" si="8"/>
        <v>65.55360281</v>
      </c>
      <c r="J80" s="75">
        <v>18218.52</v>
      </c>
      <c r="K80" s="60">
        <f t="shared" si="9"/>
        <v>16.00924429</v>
      </c>
      <c r="L80" s="58">
        <f>35000+2500+1000</f>
        <v>38500</v>
      </c>
      <c r="M80" s="61">
        <f t="shared" si="25"/>
        <v>0.5160857909</v>
      </c>
      <c r="N80" s="62">
        <f t="shared" ref="N80:O80" si="94">Q80+U80</f>
        <v>20019.34</v>
      </c>
      <c r="O80" s="58">
        <f t="shared" si="94"/>
        <v>18218.52</v>
      </c>
      <c r="P80" s="63">
        <f t="shared" si="12"/>
        <v>38237.86</v>
      </c>
      <c r="Q80" s="64">
        <f t="shared" si="13"/>
        <v>10009.67</v>
      </c>
      <c r="R80" s="65">
        <f t="shared" si="14"/>
        <v>12752.964</v>
      </c>
      <c r="S80" s="66">
        <f t="shared" si="15"/>
        <v>5101.1856</v>
      </c>
      <c r="T80" s="67">
        <f t="shared" si="16"/>
        <v>17661.4484</v>
      </c>
      <c r="U80" s="62">
        <f t="shared" si="17"/>
        <v>10009.67</v>
      </c>
      <c r="V80" s="58">
        <f t="shared" si="18"/>
        <v>5465.556</v>
      </c>
      <c r="W80" s="63">
        <f t="shared" si="19"/>
        <v>15475.226</v>
      </c>
      <c r="X80" s="76">
        <v>20019.34</v>
      </c>
    </row>
    <row r="81" ht="15.75" customHeight="1">
      <c r="A81" s="38">
        <f t="shared" si="75"/>
        <v>75</v>
      </c>
      <c r="B81" s="77" t="s">
        <v>102</v>
      </c>
      <c r="C81" s="78">
        <v>45976.0</v>
      </c>
      <c r="D81" s="41">
        <f t="shared" si="63"/>
        <v>45976</v>
      </c>
      <c r="E81" s="79">
        <v>555.0</v>
      </c>
      <c r="F81" s="42">
        <v>1100.0</v>
      </c>
      <c r="G81" s="43">
        <f t="shared" si="7"/>
        <v>0.5045454545</v>
      </c>
      <c r="H81" s="79">
        <v>20773.27</v>
      </c>
      <c r="I81" s="68">
        <f t="shared" si="8"/>
        <v>37.42931532</v>
      </c>
      <c r="J81" s="79">
        <v>7601.19</v>
      </c>
      <c r="K81" s="68">
        <f t="shared" si="9"/>
        <v>13.69583784</v>
      </c>
      <c r="L81" s="42">
        <f>8750+750</f>
        <v>9500</v>
      </c>
      <c r="M81" s="46">
        <f t="shared" si="25"/>
        <v>0.4573184674</v>
      </c>
      <c r="N81" s="69">
        <f t="shared" ref="N81:O81" si="95">Q81+U81</f>
        <v>1136.1</v>
      </c>
      <c r="O81" s="42">
        <f t="shared" si="95"/>
        <v>7601.19</v>
      </c>
      <c r="P81" s="70">
        <f t="shared" si="12"/>
        <v>8737.29</v>
      </c>
      <c r="Q81" s="49">
        <f t="shared" si="13"/>
        <v>568.05</v>
      </c>
      <c r="R81" s="50">
        <f t="shared" si="14"/>
        <v>5320.833</v>
      </c>
      <c r="S81" s="51">
        <f t="shared" si="15"/>
        <v>2128.3332</v>
      </c>
      <c r="T81" s="52">
        <f t="shared" si="16"/>
        <v>3760.5498</v>
      </c>
      <c r="U81" s="69">
        <f t="shared" si="17"/>
        <v>568.05</v>
      </c>
      <c r="V81" s="42">
        <f t="shared" si="18"/>
        <v>2280.357</v>
      </c>
      <c r="W81" s="70">
        <f t="shared" si="19"/>
        <v>2848.407</v>
      </c>
      <c r="X81" s="76">
        <v>1136.1</v>
      </c>
    </row>
    <row r="82" ht="15.75" customHeight="1">
      <c r="A82" s="54">
        <f t="shared" si="75"/>
        <v>76</v>
      </c>
      <c r="B82" s="73" t="s">
        <v>103</v>
      </c>
      <c r="C82" s="74">
        <v>45977.0</v>
      </c>
      <c r="D82" s="57">
        <f t="shared" si="63"/>
        <v>45977</v>
      </c>
      <c r="E82" s="75">
        <v>861.0</v>
      </c>
      <c r="F82" s="42">
        <v>1100.0</v>
      </c>
      <c r="G82" s="59">
        <f t="shared" si="7"/>
        <v>0.7827272727</v>
      </c>
      <c r="H82" s="75">
        <v>28959.39</v>
      </c>
      <c r="I82" s="60">
        <f t="shared" si="8"/>
        <v>33.6345993</v>
      </c>
      <c r="J82" s="75">
        <v>7169.15</v>
      </c>
      <c r="K82" s="60">
        <f t="shared" si="9"/>
        <v>8.326538908</v>
      </c>
      <c r="L82" s="58">
        <f>8500+500</f>
        <v>9000</v>
      </c>
      <c r="M82" s="61">
        <f t="shared" si="25"/>
        <v>0.3107800268</v>
      </c>
      <c r="N82" s="62">
        <f t="shared" ref="N82:O82" si="96">Q82+U82</f>
        <v>10090.82</v>
      </c>
      <c r="O82" s="58">
        <f t="shared" si="96"/>
        <v>7169.15</v>
      </c>
      <c r="P82" s="63">
        <f t="shared" si="12"/>
        <v>17259.97</v>
      </c>
      <c r="Q82" s="64">
        <f t="shared" si="13"/>
        <v>5045.41</v>
      </c>
      <c r="R82" s="65">
        <f t="shared" si="14"/>
        <v>5018.405</v>
      </c>
      <c r="S82" s="66">
        <f t="shared" si="15"/>
        <v>2007.362</v>
      </c>
      <c r="T82" s="67">
        <f t="shared" si="16"/>
        <v>8056.453</v>
      </c>
      <c r="U82" s="62">
        <f t="shared" si="17"/>
        <v>5045.41</v>
      </c>
      <c r="V82" s="58">
        <f t="shared" si="18"/>
        <v>2150.745</v>
      </c>
      <c r="W82" s="63">
        <f t="shared" si="19"/>
        <v>7196.155</v>
      </c>
      <c r="X82" s="76">
        <v>10090.82</v>
      </c>
    </row>
    <row r="83" ht="15.75" customHeight="1">
      <c r="A83" s="38">
        <f t="shared" si="75"/>
        <v>77</v>
      </c>
      <c r="B83" s="77" t="s">
        <v>104</v>
      </c>
      <c r="C83" s="78">
        <v>45990.0</v>
      </c>
      <c r="D83" s="41">
        <f t="shared" si="63"/>
        <v>45990</v>
      </c>
      <c r="E83" s="79">
        <v>963.0</v>
      </c>
      <c r="F83" s="42">
        <v>1100.0</v>
      </c>
      <c r="G83" s="43">
        <f t="shared" si="7"/>
        <v>0.8754545455</v>
      </c>
      <c r="H83" s="79">
        <v>47339.52</v>
      </c>
      <c r="I83" s="68">
        <f t="shared" si="8"/>
        <v>49.15838006</v>
      </c>
      <c r="J83" s="79">
        <v>12985.41</v>
      </c>
      <c r="K83" s="68">
        <f t="shared" si="9"/>
        <v>13.48433022</v>
      </c>
      <c r="L83" s="42">
        <f>8000+6000+2250+750</f>
        <v>17000</v>
      </c>
      <c r="M83" s="46">
        <f t="shared" si="25"/>
        <v>0.3591079926</v>
      </c>
      <c r="N83" s="69">
        <f t="shared" ref="N83:O83" si="97">Q83+U83</f>
        <v>17288.17</v>
      </c>
      <c r="O83" s="42">
        <f t="shared" si="97"/>
        <v>12985.41</v>
      </c>
      <c r="P83" s="70">
        <f t="shared" si="12"/>
        <v>30273.58</v>
      </c>
      <c r="Q83" s="49">
        <f t="shared" si="13"/>
        <v>8644.085</v>
      </c>
      <c r="R83" s="50">
        <f t="shared" si="14"/>
        <v>9089.787</v>
      </c>
      <c r="S83" s="51">
        <f t="shared" si="15"/>
        <v>3635.9148</v>
      </c>
      <c r="T83" s="52">
        <f t="shared" si="16"/>
        <v>14097.9572</v>
      </c>
      <c r="U83" s="69">
        <f t="shared" si="17"/>
        <v>8644.085</v>
      </c>
      <c r="V83" s="42">
        <f t="shared" si="18"/>
        <v>3895.623</v>
      </c>
      <c r="W83" s="70">
        <f t="shared" si="19"/>
        <v>12539.708</v>
      </c>
      <c r="X83" s="76">
        <v>17288.17</v>
      </c>
    </row>
    <row r="84" ht="15.75" customHeight="1">
      <c r="A84" s="54">
        <f t="shared" si="75"/>
        <v>78</v>
      </c>
      <c r="B84" s="77" t="s">
        <v>105</v>
      </c>
      <c r="C84" s="78">
        <v>45992.0</v>
      </c>
      <c r="D84" s="41">
        <f t="shared" si="63"/>
        <v>45992</v>
      </c>
      <c r="E84" s="79">
        <v>1125.0</v>
      </c>
      <c r="F84" s="42">
        <v>1100.0</v>
      </c>
      <c r="G84" s="43">
        <f t="shared" si="7"/>
        <v>1.022727273</v>
      </c>
      <c r="H84" s="79">
        <v>49597.51</v>
      </c>
      <c r="I84" s="68">
        <f t="shared" si="8"/>
        <v>44.08667556</v>
      </c>
      <c r="J84" s="79">
        <v>8092.84</v>
      </c>
      <c r="K84" s="68">
        <f t="shared" si="9"/>
        <v>7.193635556</v>
      </c>
      <c r="L84" s="42">
        <f>10000+500</f>
        <v>10500</v>
      </c>
      <c r="M84" s="46">
        <f t="shared" si="25"/>
        <v>0.2117041763</v>
      </c>
      <c r="N84" s="69">
        <f t="shared" ref="N84:O84" si="98">Q84+U84</f>
        <v>18480</v>
      </c>
      <c r="O84" s="42">
        <f t="shared" si="98"/>
        <v>8092.84</v>
      </c>
      <c r="P84" s="70">
        <f t="shared" si="12"/>
        <v>26572.84</v>
      </c>
      <c r="Q84" s="49">
        <f t="shared" si="13"/>
        <v>9240</v>
      </c>
      <c r="R84" s="50">
        <f t="shared" si="14"/>
        <v>5664.988</v>
      </c>
      <c r="S84" s="51">
        <f t="shared" si="15"/>
        <v>2265.9952</v>
      </c>
      <c r="T84" s="52">
        <f t="shared" si="16"/>
        <v>12638.9928</v>
      </c>
      <c r="U84" s="69">
        <f t="shared" si="17"/>
        <v>9240</v>
      </c>
      <c r="V84" s="42">
        <f t="shared" si="18"/>
        <v>2427.852</v>
      </c>
      <c r="W84" s="70">
        <f t="shared" si="19"/>
        <v>11667.852</v>
      </c>
      <c r="X84" s="76">
        <v>18480.0</v>
      </c>
    </row>
    <row r="85" ht="15.75" customHeight="1">
      <c r="A85" s="54">
        <f t="shared" si="75"/>
        <v>79</v>
      </c>
      <c r="B85" s="77" t="s">
        <v>106</v>
      </c>
      <c r="C85" s="78">
        <v>45995.0</v>
      </c>
      <c r="D85" s="41">
        <f t="shared" si="63"/>
        <v>45995</v>
      </c>
      <c r="E85" s="79">
        <v>634.0</v>
      </c>
      <c r="F85" s="42">
        <v>1100.0</v>
      </c>
      <c r="G85" s="43">
        <f t="shared" si="7"/>
        <v>0.5763636364</v>
      </c>
      <c r="H85" s="79">
        <v>25119.98</v>
      </c>
      <c r="I85" s="68">
        <f t="shared" si="8"/>
        <v>39.62141956</v>
      </c>
      <c r="J85" s="79">
        <v>12236.88</v>
      </c>
      <c r="K85" s="68">
        <f t="shared" si="9"/>
        <v>19.30107256</v>
      </c>
      <c r="L85" s="42">
        <f>10568.67+1500+500</f>
        <v>12568.67</v>
      </c>
      <c r="M85" s="46">
        <f t="shared" si="25"/>
        <v>0.5003455417</v>
      </c>
      <c r="N85" s="69">
        <f t="shared" ref="N85:O85" si="99">Q85+U85</f>
        <v>6136.49</v>
      </c>
      <c r="O85" s="42">
        <f t="shared" si="99"/>
        <v>12236.88</v>
      </c>
      <c r="P85" s="70">
        <f t="shared" si="12"/>
        <v>18373.37</v>
      </c>
      <c r="Q85" s="49">
        <f t="shared" si="13"/>
        <v>3068.245</v>
      </c>
      <c r="R85" s="50">
        <f t="shared" si="14"/>
        <v>8565.816</v>
      </c>
      <c r="S85" s="51">
        <f t="shared" si="15"/>
        <v>3426.3264</v>
      </c>
      <c r="T85" s="52">
        <f t="shared" si="16"/>
        <v>8207.7346</v>
      </c>
      <c r="U85" s="69">
        <f t="shared" si="17"/>
        <v>3068.245</v>
      </c>
      <c r="V85" s="42">
        <f t="shared" si="18"/>
        <v>3671.064</v>
      </c>
      <c r="W85" s="70">
        <f t="shared" si="19"/>
        <v>6739.309</v>
      </c>
      <c r="X85" s="76">
        <v>6136.49</v>
      </c>
    </row>
    <row r="86" ht="15.75" customHeight="1">
      <c r="A86" s="54">
        <f t="shared" si="75"/>
        <v>80</v>
      </c>
      <c r="B86" s="77" t="s">
        <v>107</v>
      </c>
      <c r="C86" s="78">
        <v>45996.0</v>
      </c>
      <c r="D86" s="41">
        <f t="shared" si="63"/>
        <v>45996</v>
      </c>
      <c r="E86" s="79">
        <v>737.0</v>
      </c>
      <c r="F86" s="42">
        <v>1100.0</v>
      </c>
      <c r="G86" s="43">
        <f t="shared" si="7"/>
        <v>0.67</v>
      </c>
      <c r="H86" s="79">
        <v>45977.77</v>
      </c>
      <c r="I86" s="68">
        <f t="shared" si="8"/>
        <v>62.38503392</v>
      </c>
      <c r="J86" s="79">
        <v>7982.72</v>
      </c>
      <c r="K86" s="68">
        <f t="shared" si="9"/>
        <v>10.83137042</v>
      </c>
      <c r="L86" s="42">
        <f>30000+1000</f>
        <v>31000</v>
      </c>
      <c r="M86" s="46">
        <f t="shared" si="25"/>
        <v>0.6742388767</v>
      </c>
      <c r="N86" s="69">
        <f t="shared" ref="N86:O86" si="100">Q86+U86</f>
        <v>2102.28</v>
      </c>
      <c r="O86" s="42">
        <f t="shared" si="100"/>
        <v>7982.72</v>
      </c>
      <c r="P86" s="70">
        <f t="shared" si="12"/>
        <v>10085</v>
      </c>
      <c r="Q86" s="49">
        <f t="shared" si="13"/>
        <v>1051.14</v>
      </c>
      <c r="R86" s="50">
        <f t="shared" si="14"/>
        <v>5587.904</v>
      </c>
      <c r="S86" s="51">
        <f t="shared" si="15"/>
        <v>2235.1616</v>
      </c>
      <c r="T86" s="52">
        <f t="shared" si="16"/>
        <v>4403.8824</v>
      </c>
      <c r="U86" s="69">
        <f t="shared" si="17"/>
        <v>1051.14</v>
      </c>
      <c r="V86" s="42">
        <f t="shared" si="18"/>
        <v>2394.816</v>
      </c>
      <c r="W86" s="70">
        <f t="shared" si="19"/>
        <v>3445.956</v>
      </c>
      <c r="X86" s="76">
        <v>2102.28</v>
      </c>
    </row>
    <row r="87" ht="15.75" customHeight="1">
      <c r="A87" s="54">
        <f t="shared" si="75"/>
        <v>81</v>
      </c>
      <c r="B87" s="77" t="s">
        <v>108</v>
      </c>
      <c r="C87" s="78">
        <v>46001.0</v>
      </c>
      <c r="D87" s="41">
        <f t="shared" si="63"/>
        <v>46001</v>
      </c>
      <c r="E87" s="79">
        <v>990.0</v>
      </c>
      <c r="F87" s="42">
        <v>1100.0</v>
      </c>
      <c r="G87" s="43">
        <f t="shared" si="7"/>
        <v>0.9</v>
      </c>
      <c r="H87" s="79">
        <v>63204.99</v>
      </c>
      <c r="I87" s="68">
        <f t="shared" si="8"/>
        <v>63.84342424</v>
      </c>
      <c r="J87" s="79">
        <v>8338.53</v>
      </c>
      <c r="K87" s="68">
        <f t="shared" si="9"/>
        <v>8.422757576</v>
      </c>
      <c r="L87" s="42">
        <f>30000+1500+750+500+250</f>
        <v>33000</v>
      </c>
      <c r="M87" s="46">
        <f t="shared" si="25"/>
        <v>0.5221106751</v>
      </c>
      <c r="N87" s="69">
        <f t="shared" ref="N87:O87" si="101">Q87+U87</f>
        <v>12275.36</v>
      </c>
      <c r="O87" s="42">
        <f t="shared" si="101"/>
        <v>8338.53</v>
      </c>
      <c r="P87" s="70">
        <f t="shared" si="12"/>
        <v>20613.89</v>
      </c>
      <c r="Q87" s="49">
        <f t="shared" si="13"/>
        <v>6137.68</v>
      </c>
      <c r="R87" s="50">
        <f t="shared" si="14"/>
        <v>5836.971</v>
      </c>
      <c r="S87" s="51">
        <f t="shared" si="15"/>
        <v>2334.7884</v>
      </c>
      <c r="T87" s="52">
        <f t="shared" si="16"/>
        <v>9639.8626</v>
      </c>
      <c r="U87" s="69">
        <f t="shared" si="17"/>
        <v>6137.68</v>
      </c>
      <c r="V87" s="42">
        <f t="shared" si="18"/>
        <v>2501.559</v>
      </c>
      <c r="W87" s="70">
        <f t="shared" si="19"/>
        <v>8639.239</v>
      </c>
      <c r="X87" s="76">
        <v>12275.36</v>
      </c>
    </row>
    <row r="88" ht="15.75" customHeight="1">
      <c r="A88" s="54">
        <f t="shared" si="75"/>
        <v>82</v>
      </c>
      <c r="B88" s="77" t="s">
        <v>109</v>
      </c>
      <c r="C88" s="78">
        <v>46002.0</v>
      </c>
      <c r="D88" s="41">
        <f t="shared" si="63"/>
        <v>46002</v>
      </c>
      <c r="E88" s="79">
        <v>765.0</v>
      </c>
      <c r="F88" s="42">
        <v>1100.0</v>
      </c>
      <c r="G88" s="43">
        <f t="shared" si="7"/>
        <v>0.6954545455</v>
      </c>
      <c r="H88" s="79">
        <v>32978.27</v>
      </c>
      <c r="I88" s="68">
        <f t="shared" si="8"/>
        <v>43.10884967</v>
      </c>
      <c r="J88" s="79">
        <v>11592.59</v>
      </c>
      <c r="K88" s="68">
        <f t="shared" si="9"/>
        <v>15.15371242</v>
      </c>
      <c r="L88" s="42">
        <f>20000+500</f>
        <v>20500</v>
      </c>
      <c r="M88" s="46">
        <f t="shared" si="25"/>
        <v>0.6216214495</v>
      </c>
      <c r="N88" s="69">
        <f t="shared" ref="N88:O88" si="102">Q88+U88</f>
        <v>1040.38</v>
      </c>
      <c r="O88" s="42">
        <f t="shared" si="102"/>
        <v>11592.59</v>
      </c>
      <c r="P88" s="70">
        <f t="shared" si="12"/>
        <v>12632.97</v>
      </c>
      <c r="Q88" s="49">
        <f t="shared" si="13"/>
        <v>520.19</v>
      </c>
      <c r="R88" s="50">
        <f t="shared" si="14"/>
        <v>8114.813</v>
      </c>
      <c r="S88" s="51">
        <f t="shared" si="15"/>
        <v>3245.9252</v>
      </c>
      <c r="T88" s="52">
        <f t="shared" si="16"/>
        <v>5389.0778</v>
      </c>
      <c r="U88" s="69">
        <f t="shared" si="17"/>
        <v>520.19</v>
      </c>
      <c r="V88" s="42">
        <f t="shared" si="18"/>
        <v>3477.777</v>
      </c>
      <c r="W88" s="70">
        <f t="shared" si="19"/>
        <v>3997.967</v>
      </c>
      <c r="X88" s="76">
        <v>1040.38</v>
      </c>
    </row>
    <row r="89" ht="15.75" customHeight="1">
      <c r="A89" s="54">
        <f t="shared" si="75"/>
        <v>83</v>
      </c>
      <c r="B89" s="80" t="s">
        <v>110</v>
      </c>
      <c r="C89" s="81">
        <v>46007.0</v>
      </c>
      <c r="D89" s="82">
        <f t="shared" si="63"/>
        <v>46007</v>
      </c>
      <c r="E89" s="83">
        <v>864.0</v>
      </c>
      <c r="F89" s="84">
        <v>1100.0</v>
      </c>
      <c r="G89" s="85">
        <f t="shared" si="7"/>
        <v>0.7854545455</v>
      </c>
      <c r="H89" s="83">
        <v>50828.85</v>
      </c>
      <c r="I89" s="86">
        <f t="shared" si="8"/>
        <v>58.8296875</v>
      </c>
      <c r="J89" s="83">
        <v>12224.67</v>
      </c>
      <c r="K89" s="86">
        <f t="shared" si="9"/>
        <v>14.14892361</v>
      </c>
      <c r="L89" s="84">
        <f>32760.99</f>
        <v>32760.99</v>
      </c>
      <c r="M89" s="87">
        <f t="shared" si="25"/>
        <v>0.6445353377</v>
      </c>
      <c r="N89" s="88">
        <f t="shared" ref="N89:O89" si="103">Q89+U89</f>
        <v>10912.2</v>
      </c>
      <c r="O89" s="84">
        <f t="shared" si="103"/>
        <v>12224.67</v>
      </c>
      <c r="P89" s="89">
        <f t="shared" si="12"/>
        <v>23136.87</v>
      </c>
      <c r="Q89" s="90">
        <f t="shared" si="13"/>
        <v>5456.1</v>
      </c>
      <c r="R89" s="91">
        <f t="shared" si="14"/>
        <v>8557.269</v>
      </c>
      <c r="S89" s="92">
        <f t="shared" si="15"/>
        <v>3422.9076</v>
      </c>
      <c r="T89" s="93">
        <f t="shared" si="16"/>
        <v>10590.4614</v>
      </c>
      <c r="U89" s="88">
        <f t="shared" si="17"/>
        <v>5456.1</v>
      </c>
      <c r="V89" s="84">
        <f t="shared" si="18"/>
        <v>3667.401</v>
      </c>
      <c r="W89" s="89">
        <f t="shared" si="19"/>
        <v>9123.501</v>
      </c>
      <c r="X89" s="94">
        <v>10912.2</v>
      </c>
    </row>
    <row r="90" ht="15.75" customHeight="1">
      <c r="S90" s="95"/>
      <c r="X90" s="6"/>
    </row>
    <row r="91" ht="15.75" customHeight="1">
      <c r="S91" s="95"/>
      <c r="X91" s="6"/>
    </row>
    <row r="92" ht="15.75" customHeight="1">
      <c r="S92" s="95"/>
      <c r="X92" s="6"/>
    </row>
    <row r="93" ht="15.75" customHeight="1">
      <c r="S93" s="95"/>
      <c r="X93" s="6"/>
    </row>
    <row r="94" ht="15.75" customHeight="1">
      <c r="S94" s="95"/>
      <c r="X94" s="6"/>
    </row>
    <row r="95" ht="15.75" customHeight="1">
      <c r="S95" s="95"/>
      <c r="X95" s="6"/>
    </row>
    <row r="96" ht="15.75" customHeight="1">
      <c r="S96" s="95"/>
      <c r="X96" s="6"/>
    </row>
    <row r="97" ht="15.75" customHeight="1">
      <c r="S97" s="95"/>
      <c r="X97" s="6"/>
    </row>
    <row r="98" ht="15.75" customHeight="1">
      <c r="S98" s="95"/>
      <c r="X98" s="6"/>
    </row>
    <row r="99" ht="15.75" customHeight="1">
      <c r="S99" s="95"/>
      <c r="X99" s="6"/>
    </row>
    <row r="100" ht="15.75" customHeight="1">
      <c r="S100" s="95"/>
      <c r="X100" s="6"/>
    </row>
    <row r="101" ht="15.75" customHeight="1">
      <c r="S101" s="95"/>
      <c r="X101" s="6"/>
    </row>
    <row r="102" ht="15.75" customHeight="1">
      <c r="S102" s="95"/>
      <c r="X102" s="6"/>
    </row>
    <row r="103" ht="15.75" customHeight="1">
      <c r="S103" s="95"/>
      <c r="X103" s="6"/>
    </row>
    <row r="104" ht="15.75" customHeight="1">
      <c r="S104" s="95"/>
      <c r="X104" s="6"/>
    </row>
    <row r="105" ht="15.75" customHeight="1">
      <c r="S105" s="95"/>
      <c r="X105" s="6"/>
    </row>
    <row r="106" ht="15.75" customHeight="1">
      <c r="S106" s="95"/>
      <c r="X106" s="6"/>
    </row>
    <row r="107" ht="15.75" customHeight="1">
      <c r="S107" s="95"/>
      <c r="X107" s="6"/>
    </row>
    <row r="108" ht="15.75" customHeight="1">
      <c r="S108" s="95"/>
      <c r="X108" s="6"/>
    </row>
    <row r="109" ht="15.75" customHeight="1">
      <c r="S109" s="95"/>
      <c r="X109" s="6"/>
    </row>
    <row r="110" ht="15.75" customHeight="1">
      <c r="S110" s="95"/>
      <c r="X110" s="6"/>
    </row>
    <row r="111" ht="15.75" customHeight="1">
      <c r="S111" s="95"/>
      <c r="X111" s="6"/>
    </row>
    <row r="112" ht="15.75" customHeight="1">
      <c r="S112" s="95"/>
      <c r="X112" s="6"/>
    </row>
    <row r="113" ht="15.75" customHeight="1">
      <c r="S113" s="95"/>
      <c r="X113" s="6"/>
    </row>
    <row r="114" ht="15.75" customHeight="1">
      <c r="S114" s="95"/>
      <c r="X114" s="6"/>
    </row>
    <row r="115" ht="15.75" customHeight="1">
      <c r="S115" s="95"/>
      <c r="X115" s="6"/>
    </row>
    <row r="116" ht="15.75" customHeight="1">
      <c r="S116" s="95"/>
      <c r="X116" s="6"/>
    </row>
    <row r="117" ht="15.75" customHeight="1">
      <c r="S117" s="95"/>
      <c r="X117" s="6"/>
    </row>
    <row r="118" ht="15.75" customHeight="1">
      <c r="S118" s="95"/>
      <c r="X118" s="6"/>
    </row>
    <row r="119" ht="15.75" customHeight="1">
      <c r="S119" s="95"/>
      <c r="X119" s="6"/>
    </row>
    <row r="120" ht="15.75" customHeight="1">
      <c r="S120" s="95"/>
      <c r="X120" s="6"/>
    </row>
    <row r="121" ht="15.75" customHeight="1">
      <c r="S121" s="95"/>
      <c r="X121" s="6"/>
    </row>
    <row r="122" ht="15.75" customHeight="1">
      <c r="S122" s="95"/>
      <c r="X122" s="6"/>
    </row>
    <row r="123" ht="15.75" customHeight="1">
      <c r="S123" s="95"/>
      <c r="X123" s="6"/>
    </row>
    <row r="124" ht="15.75" customHeight="1">
      <c r="S124" s="95"/>
      <c r="X124" s="6"/>
    </row>
    <row r="125" ht="15.75" customHeight="1">
      <c r="S125" s="95"/>
      <c r="X125" s="6"/>
    </row>
    <row r="126" ht="15.75" customHeight="1">
      <c r="S126" s="95"/>
      <c r="X126" s="6"/>
    </row>
    <row r="127" ht="15.75" customHeight="1">
      <c r="S127" s="95"/>
      <c r="X127" s="6"/>
    </row>
    <row r="128" ht="15.75" customHeight="1">
      <c r="S128" s="95"/>
      <c r="X128" s="6"/>
    </row>
    <row r="129" ht="15.75" customHeight="1">
      <c r="S129" s="95"/>
      <c r="X129" s="6"/>
    </row>
    <row r="130" ht="15.75" customHeight="1">
      <c r="S130" s="95"/>
      <c r="X130" s="6"/>
    </row>
    <row r="131" ht="15.75" customHeight="1">
      <c r="S131" s="95"/>
      <c r="X131" s="6"/>
    </row>
    <row r="132" ht="15.75" customHeight="1">
      <c r="S132" s="95"/>
      <c r="X132" s="6"/>
    </row>
    <row r="133" ht="15.75" customHeight="1">
      <c r="S133" s="95"/>
      <c r="X133" s="6"/>
    </row>
    <row r="134" ht="15.75" customHeight="1">
      <c r="S134" s="95"/>
      <c r="X134" s="6"/>
    </row>
    <row r="135" ht="15.75" customHeight="1">
      <c r="S135" s="95"/>
      <c r="X135" s="6"/>
    </row>
    <row r="136" ht="15.75" customHeight="1">
      <c r="S136" s="95"/>
      <c r="X136" s="6"/>
    </row>
    <row r="137" ht="15.75" customHeight="1">
      <c r="S137" s="95"/>
      <c r="X137" s="6"/>
    </row>
    <row r="138" ht="15.75" customHeight="1">
      <c r="S138" s="95"/>
      <c r="X138" s="6"/>
    </row>
    <row r="139" ht="15.75" customHeight="1">
      <c r="S139" s="95"/>
      <c r="X139" s="6"/>
    </row>
    <row r="140" ht="15.75" customHeight="1">
      <c r="S140" s="95"/>
      <c r="X140" s="6"/>
    </row>
    <row r="141" ht="15.75" customHeight="1">
      <c r="S141" s="95"/>
      <c r="X141" s="6"/>
    </row>
    <row r="142" ht="15.75" customHeight="1">
      <c r="S142" s="95"/>
      <c r="X142" s="6"/>
    </row>
    <row r="143" ht="15.75" customHeight="1">
      <c r="S143" s="95"/>
      <c r="X143" s="6"/>
    </row>
    <row r="144" ht="15.75" customHeight="1">
      <c r="S144" s="95"/>
      <c r="X144" s="6"/>
    </row>
    <row r="145" ht="15.75" customHeight="1">
      <c r="S145" s="95"/>
      <c r="X145" s="6"/>
    </row>
    <row r="146" ht="15.75" customHeight="1">
      <c r="S146" s="95"/>
      <c r="X146" s="6"/>
    </row>
    <row r="147" ht="15.75" customHeight="1">
      <c r="S147" s="95"/>
      <c r="X147" s="6"/>
    </row>
    <row r="148" ht="15.75" customHeight="1">
      <c r="S148" s="95"/>
      <c r="X148" s="6"/>
    </row>
    <row r="149" ht="15.75" customHeight="1">
      <c r="S149" s="95"/>
      <c r="X149" s="6"/>
    </row>
    <row r="150" ht="15.75" customHeight="1">
      <c r="S150" s="95"/>
      <c r="X150" s="6"/>
    </row>
    <row r="151" ht="15.75" customHeight="1">
      <c r="S151" s="95"/>
      <c r="X151" s="6"/>
    </row>
    <row r="152" ht="15.75" customHeight="1">
      <c r="S152" s="95"/>
      <c r="X152" s="6"/>
    </row>
    <row r="153" ht="15.75" customHeight="1">
      <c r="S153" s="95"/>
      <c r="X153" s="6"/>
    </row>
    <row r="154" ht="15.75" customHeight="1">
      <c r="S154" s="95"/>
      <c r="X154" s="6"/>
    </row>
    <row r="155" ht="15.75" customHeight="1">
      <c r="S155" s="95"/>
      <c r="X155" s="6"/>
    </row>
    <row r="156" ht="15.75" customHeight="1">
      <c r="S156" s="95"/>
      <c r="X156" s="6"/>
    </row>
    <row r="157" ht="15.75" customHeight="1">
      <c r="S157" s="95"/>
      <c r="X157" s="6"/>
    </row>
    <row r="158" ht="15.75" customHeight="1">
      <c r="S158" s="95"/>
      <c r="X158" s="6"/>
    </row>
    <row r="159" ht="15.75" customHeight="1">
      <c r="S159" s="95"/>
      <c r="X159" s="6"/>
    </row>
    <row r="160" ht="15.75" customHeight="1">
      <c r="S160" s="95"/>
      <c r="X160" s="6"/>
    </row>
    <row r="161" ht="15.75" customHeight="1">
      <c r="S161" s="95"/>
      <c r="X161" s="6"/>
    </row>
    <row r="162" ht="15.75" customHeight="1">
      <c r="S162" s="95"/>
      <c r="X162" s="6"/>
    </row>
    <row r="163" ht="15.75" customHeight="1">
      <c r="S163" s="95"/>
      <c r="X163" s="6"/>
    </row>
    <row r="164" ht="15.75" customHeight="1">
      <c r="S164" s="95"/>
      <c r="X164" s="6"/>
    </row>
    <row r="165" ht="15.75" customHeight="1">
      <c r="S165" s="95"/>
      <c r="X165" s="6"/>
    </row>
    <row r="166" ht="15.75" customHeight="1">
      <c r="S166" s="95"/>
      <c r="X166" s="6"/>
    </row>
    <row r="167" ht="15.75" customHeight="1">
      <c r="S167" s="95"/>
      <c r="X167" s="6"/>
    </row>
    <row r="168" ht="15.75" customHeight="1">
      <c r="S168" s="95"/>
      <c r="X168" s="6"/>
    </row>
    <row r="169" ht="15.75" customHeight="1">
      <c r="S169" s="95"/>
      <c r="X169" s="6"/>
    </row>
    <row r="170" ht="15.75" customHeight="1">
      <c r="S170" s="95"/>
      <c r="X170" s="6"/>
    </row>
    <row r="171" ht="15.75" customHeight="1">
      <c r="S171" s="95"/>
      <c r="X171" s="6"/>
    </row>
    <row r="172" ht="15.75" customHeight="1">
      <c r="S172" s="95"/>
      <c r="X172" s="6"/>
    </row>
    <row r="173" ht="15.75" customHeight="1">
      <c r="S173" s="95"/>
      <c r="X173" s="6"/>
    </row>
    <row r="174" ht="15.75" customHeight="1">
      <c r="S174" s="95"/>
      <c r="X174" s="6"/>
    </row>
    <row r="175" ht="15.75" customHeight="1">
      <c r="S175" s="95"/>
      <c r="X175" s="6"/>
    </row>
    <row r="176" ht="15.75" customHeight="1">
      <c r="S176" s="95"/>
      <c r="X176" s="6"/>
    </row>
    <row r="177" ht="15.75" customHeight="1">
      <c r="S177" s="95"/>
      <c r="X177" s="6"/>
    </row>
    <row r="178" ht="15.75" customHeight="1">
      <c r="S178" s="95"/>
      <c r="X178" s="6"/>
    </row>
    <row r="179" ht="15.75" customHeight="1">
      <c r="S179" s="95"/>
      <c r="X179" s="6"/>
    </row>
    <row r="180" ht="15.75" customHeight="1">
      <c r="S180" s="95"/>
      <c r="X180" s="6"/>
    </row>
    <row r="181" ht="15.75" customHeight="1">
      <c r="S181" s="95"/>
      <c r="X181" s="6"/>
    </row>
    <row r="182" ht="15.75" customHeight="1">
      <c r="S182" s="95"/>
      <c r="X182" s="6"/>
    </row>
    <row r="183" ht="15.75" customHeight="1">
      <c r="S183" s="95"/>
      <c r="X183" s="6"/>
    </row>
    <row r="184" ht="15.75" customHeight="1">
      <c r="S184" s="95"/>
      <c r="X184" s="6"/>
    </row>
    <row r="185" ht="15.75" customHeight="1">
      <c r="S185" s="95"/>
      <c r="X185" s="6"/>
    </row>
    <row r="186" ht="15.75" customHeight="1">
      <c r="S186" s="95"/>
      <c r="X186" s="6"/>
    </row>
    <row r="187" ht="15.75" customHeight="1">
      <c r="S187" s="95"/>
      <c r="X187" s="6"/>
    </row>
    <row r="188" ht="15.75" customHeight="1">
      <c r="S188" s="95"/>
      <c r="X188" s="6"/>
    </row>
    <row r="189" ht="15.75" customHeight="1">
      <c r="S189" s="95"/>
      <c r="X189" s="6"/>
    </row>
    <row r="190" ht="15.75" customHeight="1">
      <c r="S190" s="95"/>
      <c r="X190" s="6"/>
    </row>
    <row r="191" ht="15.75" customHeight="1">
      <c r="S191" s="95"/>
      <c r="X191" s="6"/>
    </row>
    <row r="192" ht="15.75" customHeight="1">
      <c r="S192" s="95"/>
      <c r="X192" s="6"/>
    </row>
    <row r="193" ht="15.75" customHeight="1">
      <c r="S193" s="95"/>
      <c r="X193" s="6"/>
    </row>
    <row r="194" ht="15.75" customHeight="1">
      <c r="S194" s="95"/>
      <c r="X194" s="6"/>
    </row>
    <row r="195" ht="15.75" customHeight="1">
      <c r="S195" s="95"/>
      <c r="X195" s="6"/>
    </row>
    <row r="196" ht="15.75" customHeight="1">
      <c r="S196" s="95"/>
      <c r="X196" s="6"/>
    </row>
    <row r="197" ht="15.75" customHeight="1">
      <c r="S197" s="95"/>
      <c r="X197" s="6"/>
    </row>
    <row r="198" ht="15.75" customHeight="1">
      <c r="S198" s="95"/>
      <c r="X198" s="6"/>
    </row>
    <row r="199" ht="15.75" customHeight="1">
      <c r="S199" s="95"/>
      <c r="X199" s="6"/>
    </row>
    <row r="200" ht="15.75" customHeight="1">
      <c r="S200" s="95"/>
      <c r="X200" s="6"/>
    </row>
    <row r="201" ht="15.75" customHeight="1">
      <c r="S201" s="95"/>
      <c r="X201" s="6"/>
    </row>
    <row r="202" ht="15.75" customHeight="1">
      <c r="S202" s="95"/>
      <c r="X202" s="6"/>
    </row>
    <row r="203" ht="15.75" customHeight="1">
      <c r="S203" s="95"/>
      <c r="X203" s="6"/>
    </row>
    <row r="204" ht="15.75" customHeight="1">
      <c r="S204" s="95"/>
      <c r="X204" s="6"/>
    </row>
    <row r="205" ht="15.75" customHeight="1">
      <c r="S205" s="95"/>
      <c r="X205" s="6"/>
    </row>
    <row r="206" ht="15.75" customHeight="1">
      <c r="S206" s="95"/>
      <c r="X206" s="6"/>
    </row>
    <row r="207" ht="15.75" customHeight="1">
      <c r="S207" s="95"/>
      <c r="X207" s="6"/>
    </row>
    <row r="208" ht="15.75" customHeight="1">
      <c r="S208" s="95"/>
      <c r="X208" s="6"/>
    </row>
    <row r="209" ht="15.75" customHeight="1">
      <c r="S209" s="95"/>
      <c r="X209" s="6"/>
    </row>
    <row r="210" ht="15.75" customHeight="1">
      <c r="S210" s="95"/>
      <c r="X210" s="6"/>
    </row>
    <row r="211" ht="15.75" customHeight="1">
      <c r="S211" s="95"/>
      <c r="X211" s="6"/>
    </row>
    <row r="212" ht="15.75" customHeight="1">
      <c r="S212" s="95"/>
      <c r="X212" s="6"/>
    </row>
    <row r="213" ht="15.75" customHeight="1">
      <c r="S213" s="95"/>
      <c r="X213" s="6"/>
    </row>
    <row r="214" ht="15.75" customHeight="1">
      <c r="S214" s="95"/>
      <c r="X214" s="6"/>
    </row>
    <row r="215" ht="15.75" customHeight="1">
      <c r="S215" s="95"/>
      <c r="X215" s="6"/>
    </row>
    <row r="216" ht="15.75" customHeight="1">
      <c r="S216" s="95"/>
      <c r="X216" s="6"/>
    </row>
    <row r="217" ht="15.75" customHeight="1">
      <c r="S217" s="95"/>
      <c r="X217" s="6"/>
    </row>
    <row r="218" ht="15.75" customHeight="1">
      <c r="S218" s="95"/>
      <c r="X218" s="6"/>
    </row>
    <row r="219" ht="15.75" customHeight="1">
      <c r="S219" s="95"/>
      <c r="X219" s="6"/>
    </row>
    <row r="220" ht="15.75" customHeight="1">
      <c r="S220" s="95"/>
      <c r="X220" s="6"/>
    </row>
    <row r="221" ht="15.75" customHeight="1">
      <c r="S221" s="95"/>
      <c r="X221" s="6"/>
    </row>
    <row r="222" ht="15.75" customHeight="1">
      <c r="S222" s="95"/>
      <c r="X222" s="6"/>
    </row>
    <row r="223" ht="15.75" customHeight="1">
      <c r="S223" s="95"/>
      <c r="X223" s="6"/>
    </row>
    <row r="224" ht="15.75" customHeight="1">
      <c r="S224" s="95"/>
      <c r="X224" s="6"/>
    </row>
    <row r="225" ht="15.75" customHeight="1">
      <c r="S225" s="95"/>
      <c r="X225" s="6"/>
    </row>
    <row r="226" ht="15.75" customHeight="1">
      <c r="S226" s="95"/>
      <c r="X226" s="6"/>
    </row>
    <row r="227" ht="15.75" customHeight="1">
      <c r="S227" s="95"/>
      <c r="X227" s="6"/>
    </row>
    <row r="228" ht="15.75" customHeight="1">
      <c r="S228" s="95"/>
      <c r="X228" s="6"/>
    </row>
    <row r="229" ht="15.75" customHeight="1">
      <c r="S229" s="95"/>
      <c r="X229" s="6"/>
    </row>
    <row r="230" ht="15.75" customHeight="1">
      <c r="S230" s="95"/>
      <c r="X230" s="6"/>
    </row>
    <row r="231" ht="15.75" customHeight="1">
      <c r="S231" s="95"/>
      <c r="X231" s="6"/>
    </row>
    <row r="232" ht="15.75" customHeight="1">
      <c r="S232" s="95"/>
      <c r="X232" s="6"/>
    </row>
    <row r="233" ht="15.75" customHeight="1">
      <c r="S233" s="95"/>
      <c r="X233" s="6"/>
    </row>
    <row r="234" ht="15.75" customHeight="1">
      <c r="S234" s="95"/>
      <c r="X234" s="6"/>
    </row>
    <row r="235" ht="15.75" customHeight="1">
      <c r="S235" s="95"/>
      <c r="X235" s="6"/>
    </row>
    <row r="236" ht="15.75" customHeight="1">
      <c r="S236" s="95"/>
      <c r="X236" s="6"/>
    </row>
    <row r="237" ht="15.75" customHeight="1">
      <c r="S237" s="95"/>
      <c r="X237" s="6"/>
    </row>
    <row r="238" ht="15.75" customHeight="1">
      <c r="S238" s="95"/>
      <c r="X238" s="6"/>
    </row>
    <row r="239" ht="15.75" customHeight="1">
      <c r="S239" s="95"/>
      <c r="X239" s="6"/>
    </row>
    <row r="240" ht="15.75" customHeight="1">
      <c r="S240" s="95"/>
      <c r="X240" s="6"/>
    </row>
    <row r="241" ht="15.75" customHeight="1">
      <c r="S241" s="95"/>
      <c r="X241" s="6"/>
    </row>
    <row r="242" ht="15.75" customHeight="1">
      <c r="S242" s="95"/>
      <c r="X242" s="6"/>
    </row>
    <row r="243" ht="15.75" customHeight="1">
      <c r="S243" s="95"/>
      <c r="X243" s="6"/>
    </row>
    <row r="244" ht="15.75" customHeight="1">
      <c r="S244" s="95"/>
      <c r="X244" s="6"/>
    </row>
    <row r="245" ht="15.75" customHeight="1">
      <c r="S245" s="95"/>
      <c r="X245" s="6"/>
    </row>
    <row r="246" ht="15.75" customHeight="1">
      <c r="S246" s="95"/>
      <c r="X246" s="6"/>
    </row>
    <row r="247" ht="15.75" customHeight="1">
      <c r="S247" s="95"/>
      <c r="X247" s="6"/>
    </row>
    <row r="248" ht="15.75" customHeight="1">
      <c r="S248" s="95"/>
      <c r="X248" s="6"/>
    </row>
    <row r="249" ht="15.75" customHeight="1">
      <c r="S249" s="95"/>
      <c r="X249" s="6"/>
    </row>
    <row r="250" ht="15.75" customHeight="1">
      <c r="S250" s="95"/>
      <c r="X250" s="6"/>
    </row>
    <row r="251" ht="15.75" customHeight="1">
      <c r="S251" s="95"/>
      <c r="X251" s="6"/>
    </row>
    <row r="252" ht="15.75" customHeight="1">
      <c r="S252" s="95"/>
      <c r="X252" s="6"/>
    </row>
    <row r="253" ht="15.75" customHeight="1">
      <c r="S253" s="95"/>
      <c r="X253" s="6"/>
    </row>
    <row r="254" ht="15.75" customHeight="1">
      <c r="S254" s="95"/>
      <c r="X254" s="6"/>
    </row>
    <row r="255" ht="15.75" customHeight="1">
      <c r="S255" s="95"/>
      <c r="X255" s="6"/>
    </row>
    <row r="256" ht="15.75" customHeight="1">
      <c r="S256" s="95"/>
      <c r="X256" s="6"/>
    </row>
    <row r="257" ht="15.75" customHeight="1">
      <c r="S257" s="95"/>
      <c r="X257" s="6"/>
    </row>
    <row r="258" ht="15.75" customHeight="1">
      <c r="S258" s="95"/>
      <c r="X258" s="6"/>
    </row>
    <row r="259" ht="15.75" customHeight="1">
      <c r="S259" s="95"/>
      <c r="X259" s="6"/>
    </row>
    <row r="260" ht="15.75" customHeight="1">
      <c r="S260" s="95"/>
      <c r="X260" s="6"/>
    </row>
    <row r="261" ht="15.75" customHeight="1">
      <c r="S261" s="95"/>
      <c r="X261" s="6"/>
    </row>
    <row r="262" ht="15.75" customHeight="1">
      <c r="S262" s="95"/>
      <c r="X262" s="6"/>
    </row>
    <row r="263" ht="15.75" customHeight="1">
      <c r="S263" s="95"/>
      <c r="X263" s="6"/>
    </row>
    <row r="264" ht="15.75" customHeight="1">
      <c r="S264" s="95"/>
      <c r="X264" s="6"/>
    </row>
    <row r="265" ht="15.75" customHeight="1">
      <c r="S265" s="95"/>
      <c r="X265" s="6"/>
    </row>
    <row r="266" ht="15.75" customHeight="1">
      <c r="S266" s="95"/>
      <c r="X266" s="6"/>
    </row>
    <row r="267" ht="15.75" customHeight="1">
      <c r="S267" s="95"/>
      <c r="X267" s="6"/>
    </row>
    <row r="268" ht="15.75" customHeight="1">
      <c r="S268" s="95"/>
      <c r="X268" s="6"/>
    </row>
    <row r="269" ht="15.75" customHeight="1">
      <c r="S269" s="95"/>
      <c r="X269" s="6"/>
    </row>
    <row r="270" ht="15.75" customHeight="1">
      <c r="S270" s="95"/>
      <c r="X270" s="6"/>
    </row>
    <row r="271" ht="15.75" customHeight="1">
      <c r="S271" s="95"/>
      <c r="X271" s="6"/>
    </row>
    <row r="272" ht="15.75" customHeight="1">
      <c r="S272" s="95"/>
      <c r="X272" s="6"/>
    </row>
    <row r="273" ht="15.75" customHeight="1">
      <c r="S273" s="95"/>
      <c r="X273" s="6"/>
    </row>
    <row r="274" ht="15.75" customHeight="1">
      <c r="S274" s="95"/>
      <c r="X274" s="6"/>
    </row>
    <row r="275" ht="15.75" customHeight="1">
      <c r="S275" s="95"/>
      <c r="X275" s="6"/>
    </row>
    <row r="276" ht="15.75" customHeight="1">
      <c r="S276" s="95"/>
      <c r="X276" s="6"/>
    </row>
    <row r="277" ht="15.75" customHeight="1">
      <c r="S277" s="95"/>
      <c r="X277" s="6"/>
    </row>
    <row r="278" ht="15.75" customHeight="1">
      <c r="S278" s="95"/>
      <c r="X278" s="6"/>
    </row>
    <row r="279" ht="15.75" customHeight="1">
      <c r="S279" s="95"/>
      <c r="X279" s="6"/>
    </row>
    <row r="280" ht="15.75" customHeight="1">
      <c r="S280" s="95"/>
      <c r="X280" s="6"/>
    </row>
    <row r="281" ht="15.75" customHeight="1">
      <c r="S281" s="95"/>
      <c r="X281" s="6"/>
    </row>
    <row r="282" ht="15.75" customHeight="1">
      <c r="S282" s="95"/>
      <c r="X282" s="6"/>
    </row>
    <row r="283" ht="15.75" customHeight="1">
      <c r="S283" s="95"/>
      <c r="X283" s="6"/>
    </row>
    <row r="284" ht="15.75" customHeight="1">
      <c r="S284" s="95"/>
      <c r="X284" s="6"/>
    </row>
    <row r="285" ht="15.75" customHeight="1">
      <c r="S285" s="95"/>
      <c r="X285" s="6"/>
    </row>
    <row r="286" ht="15.75" customHeight="1">
      <c r="S286" s="95"/>
      <c r="X286" s="6"/>
    </row>
    <row r="287" ht="15.75" customHeight="1">
      <c r="S287" s="95"/>
      <c r="X287" s="6"/>
    </row>
    <row r="288" ht="15.75" customHeight="1">
      <c r="S288" s="95"/>
      <c r="X288" s="6"/>
    </row>
    <row r="289" ht="15.75" customHeight="1">
      <c r="S289" s="95"/>
      <c r="X289" s="6"/>
    </row>
    <row r="290" ht="15.75" customHeight="1">
      <c r="S290" s="95"/>
      <c r="X290" s="6"/>
    </row>
    <row r="291" ht="15.75" customHeight="1">
      <c r="S291" s="95"/>
      <c r="X291" s="6"/>
    </row>
    <row r="292" ht="15.75" customHeight="1">
      <c r="S292" s="95"/>
      <c r="X292" s="6"/>
    </row>
    <row r="293" ht="15.75" customHeight="1">
      <c r="S293" s="95"/>
      <c r="X293" s="6"/>
    </row>
    <row r="294" ht="15.75" customHeight="1">
      <c r="S294" s="95"/>
      <c r="X294" s="6"/>
    </row>
    <row r="295" ht="15.75" customHeight="1">
      <c r="S295" s="95"/>
      <c r="X295" s="6"/>
    </row>
    <row r="296" ht="15.75" customHeight="1">
      <c r="S296" s="95"/>
      <c r="X296" s="6"/>
    </row>
    <row r="297" ht="15.75" customHeight="1">
      <c r="S297" s="95"/>
      <c r="X297" s="6"/>
    </row>
    <row r="298" ht="15.75" customHeight="1">
      <c r="S298" s="95"/>
      <c r="X298" s="6"/>
    </row>
    <row r="299" ht="15.75" customHeight="1">
      <c r="S299" s="95"/>
      <c r="X299" s="6"/>
    </row>
    <row r="300" ht="15.75" customHeight="1">
      <c r="S300" s="95"/>
      <c r="X300" s="6"/>
    </row>
    <row r="301" ht="15.75" customHeight="1">
      <c r="S301" s="95"/>
      <c r="X301" s="6"/>
    </row>
    <row r="302" ht="15.75" customHeight="1">
      <c r="S302" s="95"/>
      <c r="X302" s="6"/>
    </row>
    <row r="303" ht="15.75" customHeight="1">
      <c r="S303" s="95"/>
      <c r="X303" s="6"/>
    </row>
    <row r="304" ht="15.75" customHeight="1">
      <c r="S304" s="95"/>
      <c r="X304" s="6"/>
    </row>
    <row r="305" ht="15.75" customHeight="1">
      <c r="S305" s="95"/>
      <c r="X305" s="6"/>
    </row>
    <row r="306" ht="15.75" customHeight="1">
      <c r="S306" s="95"/>
      <c r="X306" s="6"/>
    </row>
    <row r="307" ht="15.75" customHeight="1">
      <c r="S307" s="95"/>
      <c r="X307" s="6"/>
    </row>
    <row r="308" ht="15.75" customHeight="1">
      <c r="S308" s="95"/>
      <c r="X308" s="6"/>
    </row>
    <row r="309" ht="15.75" customHeight="1">
      <c r="S309" s="95"/>
      <c r="X309" s="6"/>
    </row>
    <row r="310" ht="15.75" customHeight="1">
      <c r="S310" s="95"/>
      <c r="X310" s="6"/>
    </row>
    <row r="311" ht="15.75" customHeight="1">
      <c r="S311" s="95"/>
      <c r="X311" s="6"/>
    </row>
    <row r="312" ht="15.75" customHeight="1">
      <c r="S312" s="95"/>
      <c r="X312" s="6"/>
    </row>
    <row r="313" ht="15.75" customHeight="1">
      <c r="S313" s="95"/>
      <c r="X313" s="6"/>
    </row>
    <row r="314" ht="15.75" customHeight="1">
      <c r="S314" s="95"/>
      <c r="X314" s="6"/>
    </row>
    <row r="315" ht="15.75" customHeight="1">
      <c r="S315" s="95"/>
      <c r="X315" s="6"/>
    </row>
    <row r="316" ht="15.75" customHeight="1">
      <c r="S316" s="95"/>
      <c r="X316" s="6"/>
    </row>
    <row r="317" ht="15.75" customHeight="1">
      <c r="S317" s="95"/>
      <c r="X317" s="6"/>
    </row>
    <row r="318" ht="15.75" customHeight="1">
      <c r="S318" s="95"/>
      <c r="X318" s="6"/>
    </row>
    <row r="319" ht="15.75" customHeight="1">
      <c r="S319" s="95"/>
      <c r="X319" s="6"/>
    </row>
    <row r="320" ht="15.75" customHeight="1">
      <c r="S320" s="95"/>
      <c r="X320" s="6"/>
    </row>
    <row r="321" ht="15.75" customHeight="1">
      <c r="S321" s="95"/>
      <c r="X321" s="6"/>
    </row>
    <row r="322" ht="15.75" customHeight="1">
      <c r="S322" s="95"/>
      <c r="X322" s="6"/>
    </row>
    <row r="323" ht="15.75" customHeight="1">
      <c r="S323" s="95"/>
      <c r="X323" s="6"/>
    </row>
    <row r="324" ht="15.75" customHeight="1">
      <c r="S324" s="95"/>
      <c r="X324" s="6"/>
    </row>
    <row r="325" ht="15.75" customHeight="1">
      <c r="S325" s="95"/>
      <c r="X325" s="6"/>
    </row>
    <row r="326" ht="15.75" customHeight="1">
      <c r="S326" s="95"/>
      <c r="X326" s="6"/>
    </row>
    <row r="327" ht="15.75" customHeight="1">
      <c r="S327" s="95"/>
      <c r="X327" s="6"/>
    </row>
    <row r="328" ht="15.75" customHeight="1">
      <c r="S328" s="95"/>
      <c r="X328" s="6"/>
    </row>
    <row r="329" ht="15.75" customHeight="1">
      <c r="S329" s="95"/>
      <c r="X329" s="6"/>
    </row>
    <row r="330" ht="15.75" customHeight="1">
      <c r="S330" s="95"/>
      <c r="X330" s="6"/>
    </row>
    <row r="331" ht="15.75" customHeight="1">
      <c r="S331" s="95"/>
      <c r="X331" s="6"/>
    </row>
    <row r="332" ht="15.75" customHeight="1">
      <c r="S332" s="95"/>
      <c r="X332" s="6"/>
    </row>
    <row r="333" ht="15.75" customHeight="1">
      <c r="S333" s="95"/>
      <c r="X333" s="6"/>
    </row>
    <row r="334" ht="15.75" customHeight="1">
      <c r="S334" s="95"/>
      <c r="X334" s="6"/>
    </row>
    <row r="335" ht="15.75" customHeight="1">
      <c r="S335" s="95"/>
      <c r="X335" s="6"/>
    </row>
    <row r="336" ht="15.75" customHeight="1">
      <c r="S336" s="95"/>
      <c r="X336" s="6"/>
    </row>
    <row r="337" ht="15.75" customHeight="1">
      <c r="S337" s="95"/>
      <c r="X337" s="6"/>
    </row>
    <row r="338" ht="15.75" customHeight="1">
      <c r="S338" s="95"/>
      <c r="X338" s="6"/>
    </row>
    <row r="339" ht="15.75" customHeight="1">
      <c r="S339" s="95"/>
      <c r="X339" s="6"/>
    </row>
    <row r="340" ht="15.75" customHeight="1">
      <c r="S340" s="95"/>
      <c r="X340" s="6"/>
    </row>
    <row r="341" ht="15.75" customHeight="1">
      <c r="S341" s="95"/>
      <c r="X341" s="6"/>
    </row>
    <row r="342" ht="15.75" customHeight="1">
      <c r="S342" s="95"/>
      <c r="X342" s="6"/>
    </row>
    <row r="343" ht="15.75" customHeight="1">
      <c r="S343" s="95"/>
      <c r="X343" s="6"/>
    </row>
    <row r="344" ht="15.75" customHeight="1">
      <c r="S344" s="95"/>
      <c r="X344" s="6"/>
    </row>
    <row r="345" ht="15.75" customHeight="1">
      <c r="S345" s="95"/>
      <c r="X345" s="6"/>
    </row>
    <row r="346" ht="15.75" customHeight="1">
      <c r="S346" s="95"/>
      <c r="X346" s="6"/>
    </row>
    <row r="347" ht="15.75" customHeight="1">
      <c r="S347" s="95"/>
      <c r="X347" s="6"/>
    </row>
    <row r="348" ht="15.75" customHeight="1">
      <c r="S348" s="95"/>
      <c r="X348" s="6"/>
    </row>
    <row r="349" ht="15.75" customHeight="1">
      <c r="S349" s="95"/>
      <c r="X349" s="6"/>
    </row>
    <row r="350" ht="15.75" customHeight="1">
      <c r="S350" s="95"/>
      <c r="X350" s="6"/>
    </row>
    <row r="351" ht="15.75" customHeight="1">
      <c r="S351" s="95"/>
      <c r="X351" s="6"/>
    </row>
    <row r="352" ht="15.75" customHeight="1">
      <c r="S352" s="95"/>
      <c r="X352" s="6"/>
    </row>
    <row r="353" ht="15.75" customHeight="1">
      <c r="S353" s="95"/>
      <c r="X353" s="6"/>
    </row>
    <row r="354" ht="15.75" customHeight="1">
      <c r="S354" s="95"/>
      <c r="X354" s="6"/>
    </row>
    <row r="355" ht="15.75" customHeight="1">
      <c r="S355" s="95"/>
      <c r="X355" s="6"/>
    </row>
    <row r="356" ht="15.75" customHeight="1">
      <c r="S356" s="95"/>
      <c r="X356" s="6"/>
    </row>
    <row r="357" ht="15.75" customHeight="1">
      <c r="S357" s="95"/>
      <c r="X357" s="6"/>
    </row>
    <row r="358" ht="15.75" customHeight="1">
      <c r="S358" s="95"/>
      <c r="X358" s="6"/>
    </row>
    <row r="359" ht="15.75" customHeight="1">
      <c r="S359" s="95"/>
      <c r="X359" s="6"/>
    </row>
    <row r="360" ht="15.75" customHeight="1">
      <c r="S360" s="95"/>
      <c r="X360" s="6"/>
    </row>
    <row r="361" ht="15.75" customHeight="1">
      <c r="S361" s="95"/>
      <c r="X361" s="6"/>
    </row>
    <row r="362" ht="15.75" customHeight="1">
      <c r="S362" s="95"/>
      <c r="X362" s="6"/>
    </row>
    <row r="363" ht="15.75" customHeight="1">
      <c r="S363" s="95"/>
      <c r="X363" s="6"/>
    </row>
    <row r="364" ht="15.75" customHeight="1">
      <c r="S364" s="95"/>
      <c r="X364" s="6"/>
    </row>
    <row r="365" ht="15.75" customHeight="1">
      <c r="S365" s="95"/>
      <c r="X365" s="6"/>
    </row>
    <row r="366" ht="15.75" customHeight="1">
      <c r="S366" s="95"/>
      <c r="X366" s="6"/>
    </row>
    <row r="367" ht="15.75" customHeight="1">
      <c r="S367" s="95"/>
      <c r="X367" s="6"/>
    </row>
    <row r="368" ht="15.75" customHeight="1">
      <c r="S368" s="95"/>
      <c r="X368" s="6"/>
    </row>
    <row r="369" ht="15.75" customHeight="1">
      <c r="S369" s="95"/>
      <c r="X369" s="6"/>
    </row>
    <row r="370" ht="15.75" customHeight="1">
      <c r="S370" s="95"/>
      <c r="X370" s="6"/>
    </row>
    <row r="371" ht="15.75" customHeight="1">
      <c r="S371" s="95"/>
      <c r="X371" s="6"/>
    </row>
    <row r="372" ht="15.75" customHeight="1">
      <c r="S372" s="95"/>
      <c r="X372" s="6"/>
    </row>
    <row r="373" ht="15.75" customHeight="1">
      <c r="S373" s="95"/>
      <c r="X373" s="6"/>
    </row>
    <row r="374" ht="15.75" customHeight="1">
      <c r="S374" s="95"/>
      <c r="X374" s="6"/>
    </row>
    <row r="375" ht="15.75" customHeight="1">
      <c r="S375" s="95"/>
      <c r="X375" s="6"/>
    </row>
    <row r="376" ht="15.75" customHeight="1">
      <c r="S376" s="95"/>
      <c r="X376" s="6"/>
    </row>
    <row r="377" ht="15.75" customHeight="1">
      <c r="S377" s="95"/>
      <c r="X377" s="6"/>
    </row>
    <row r="378" ht="15.75" customHeight="1">
      <c r="S378" s="95"/>
      <c r="X378" s="6"/>
    </row>
    <row r="379" ht="15.75" customHeight="1">
      <c r="S379" s="95"/>
      <c r="X379" s="6"/>
    </row>
    <row r="380" ht="15.75" customHeight="1">
      <c r="S380" s="95"/>
      <c r="X380" s="6"/>
    </row>
    <row r="381" ht="15.75" customHeight="1">
      <c r="S381" s="95"/>
      <c r="X381" s="6"/>
    </row>
    <row r="382" ht="15.75" customHeight="1">
      <c r="S382" s="95"/>
      <c r="X382" s="6"/>
    </row>
    <row r="383" ht="15.75" customHeight="1">
      <c r="S383" s="95"/>
      <c r="X383" s="6"/>
    </row>
    <row r="384" ht="15.75" customHeight="1">
      <c r="S384" s="95"/>
      <c r="X384" s="6"/>
    </row>
    <row r="385" ht="15.75" customHeight="1">
      <c r="S385" s="95"/>
      <c r="X385" s="6"/>
    </row>
    <row r="386" ht="15.75" customHeight="1">
      <c r="S386" s="95"/>
      <c r="X386" s="6"/>
    </row>
    <row r="387" ht="15.75" customHeight="1">
      <c r="S387" s="95"/>
      <c r="X387" s="6"/>
    </row>
    <row r="388" ht="15.75" customHeight="1">
      <c r="S388" s="95"/>
      <c r="X388" s="6"/>
    </row>
    <row r="389" ht="15.75" customHeight="1">
      <c r="S389" s="95"/>
      <c r="X389" s="6"/>
    </row>
    <row r="390" ht="15.75" customHeight="1">
      <c r="S390" s="95"/>
      <c r="X390" s="6"/>
    </row>
    <row r="391" ht="15.75" customHeight="1">
      <c r="S391" s="95"/>
      <c r="X391" s="6"/>
    </row>
    <row r="392" ht="15.75" customHeight="1">
      <c r="S392" s="95"/>
      <c r="X392" s="6"/>
    </row>
    <row r="393" ht="15.75" customHeight="1">
      <c r="S393" s="95"/>
      <c r="X393" s="6"/>
    </row>
    <row r="394" ht="15.75" customHeight="1">
      <c r="S394" s="95"/>
      <c r="X394" s="6"/>
    </row>
    <row r="395" ht="15.75" customHeight="1">
      <c r="S395" s="95"/>
      <c r="X395" s="6"/>
    </row>
    <row r="396" ht="15.75" customHeight="1">
      <c r="S396" s="95"/>
      <c r="X396" s="6"/>
    </row>
    <row r="397" ht="15.75" customHeight="1">
      <c r="S397" s="95"/>
      <c r="X397" s="6"/>
    </row>
    <row r="398" ht="15.75" customHeight="1">
      <c r="S398" s="95"/>
      <c r="X398" s="6"/>
    </row>
    <row r="399" ht="15.75" customHeight="1">
      <c r="S399" s="95"/>
      <c r="X399" s="6"/>
    </row>
    <row r="400" ht="15.75" customHeight="1">
      <c r="S400" s="95"/>
      <c r="X400" s="6"/>
    </row>
    <row r="401" ht="15.75" customHeight="1">
      <c r="S401" s="95"/>
      <c r="X401" s="6"/>
    </row>
    <row r="402" ht="15.75" customHeight="1">
      <c r="S402" s="95"/>
      <c r="X402" s="6"/>
    </row>
    <row r="403" ht="15.75" customHeight="1">
      <c r="S403" s="95"/>
      <c r="X403" s="6"/>
    </row>
    <row r="404" ht="15.75" customHeight="1">
      <c r="S404" s="95"/>
      <c r="X404" s="6"/>
    </row>
    <row r="405" ht="15.75" customHeight="1">
      <c r="S405" s="95"/>
      <c r="X405" s="6"/>
    </row>
    <row r="406" ht="15.75" customHeight="1">
      <c r="S406" s="95"/>
      <c r="X406" s="6"/>
    </row>
    <row r="407" ht="15.75" customHeight="1">
      <c r="S407" s="95"/>
      <c r="X407" s="6"/>
    </row>
    <row r="408" ht="15.75" customHeight="1">
      <c r="S408" s="95"/>
      <c r="X408" s="6"/>
    </row>
    <row r="409" ht="15.75" customHeight="1">
      <c r="S409" s="95"/>
      <c r="X409" s="6"/>
    </row>
    <row r="410" ht="15.75" customHeight="1">
      <c r="S410" s="95"/>
      <c r="X410" s="6"/>
    </row>
    <row r="411" ht="15.75" customHeight="1">
      <c r="S411" s="95"/>
      <c r="X411" s="6"/>
    </row>
    <row r="412" ht="15.75" customHeight="1">
      <c r="S412" s="95"/>
      <c r="X412" s="6"/>
    </row>
    <row r="413" ht="15.75" customHeight="1">
      <c r="S413" s="95"/>
      <c r="X413" s="6"/>
    </row>
    <row r="414" ht="15.75" customHeight="1">
      <c r="S414" s="95"/>
      <c r="X414" s="6"/>
    </row>
    <row r="415" ht="15.75" customHeight="1">
      <c r="S415" s="95"/>
      <c r="X415" s="6"/>
    </row>
    <row r="416" ht="15.75" customHeight="1">
      <c r="S416" s="95"/>
      <c r="X416" s="6"/>
    </row>
    <row r="417" ht="15.75" customHeight="1">
      <c r="S417" s="95"/>
      <c r="X417" s="6"/>
    </row>
    <row r="418" ht="15.75" customHeight="1">
      <c r="S418" s="95"/>
      <c r="X418" s="6"/>
    </row>
    <row r="419" ht="15.75" customHeight="1">
      <c r="S419" s="95"/>
      <c r="X419" s="6"/>
    </row>
    <row r="420" ht="15.75" customHeight="1">
      <c r="S420" s="95"/>
      <c r="X420" s="6"/>
    </row>
    <row r="421" ht="15.75" customHeight="1">
      <c r="S421" s="95"/>
      <c r="X421" s="6"/>
    </row>
    <row r="422" ht="15.75" customHeight="1">
      <c r="S422" s="95"/>
      <c r="X422" s="6"/>
    </row>
    <row r="423" ht="15.75" customHeight="1">
      <c r="S423" s="95"/>
      <c r="X423" s="6"/>
    </row>
    <row r="424" ht="15.75" customHeight="1">
      <c r="S424" s="95"/>
      <c r="X424" s="6"/>
    </row>
    <row r="425" ht="15.75" customHeight="1">
      <c r="S425" s="95"/>
      <c r="X425" s="6"/>
    </row>
    <row r="426" ht="15.75" customHeight="1">
      <c r="S426" s="95"/>
      <c r="X426" s="6"/>
    </row>
    <row r="427" ht="15.75" customHeight="1">
      <c r="S427" s="95"/>
      <c r="X427" s="6"/>
    </row>
    <row r="428" ht="15.75" customHeight="1">
      <c r="S428" s="95"/>
      <c r="X428" s="6"/>
    </row>
    <row r="429" ht="15.75" customHeight="1">
      <c r="S429" s="95"/>
      <c r="X429" s="6"/>
    </row>
    <row r="430" ht="15.75" customHeight="1">
      <c r="S430" s="95"/>
      <c r="X430" s="6"/>
    </row>
    <row r="431" ht="15.75" customHeight="1">
      <c r="S431" s="95"/>
      <c r="X431" s="6"/>
    </row>
    <row r="432" ht="15.75" customHeight="1">
      <c r="S432" s="95"/>
      <c r="X432" s="6"/>
    </row>
    <row r="433" ht="15.75" customHeight="1">
      <c r="S433" s="95"/>
      <c r="X433" s="6"/>
    </row>
    <row r="434" ht="15.75" customHeight="1">
      <c r="S434" s="95"/>
      <c r="X434" s="6"/>
    </row>
    <row r="435" ht="15.75" customHeight="1">
      <c r="S435" s="95"/>
      <c r="X435" s="6"/>
    </row>
    <row r="436" ht="15.75" customHeight="1">
      <c r="S436" s="95"/>
      <c r="X436" s="6"/>
    </row>
    <row r="437" ht="15.75" customHeight="1">
      <c r="S437" s="95"/>
      <c r="X437" s="6"/>
    </row>
    <row r="438" ht="15.75" customHeight="1">
      <c r="S438" s="95"/>
      <c r="X438" s="6"/>
    </row>
    <row r="439" ht="15.75" customHeight="1">
      <c r="S439" s="95"/>
      <c r="X439" s="6"/>
    </row>
    <row r="440" ht="15.75" customHeight="1">
      <c r="S440" s="95"/>
      <c r="X440" s="6"/>
    </row>
    <row r="441" ht="15.75" customHeight="1">
      <c r="S441" s="95"/>
      <c r="X441" s="6"/>
    </row>
    <row r="442" ht="15.75" customHeight="1">
      <c r="S442" s="95"/>
      <c r="X442" s="6"/>
    </row>
    <row r="443" ht="15.75" customHeight="1">
      <c r="S443" s="95"/>
      <c r="X443" s="6"/>
    </row>
    <row r="444" ht="15.75" customHeight="1">
      <c r="S444" s="95"/>
      <c r="X444" s="6"/>
    </row>
    <row r="445" ht="15.75" customHeight="1">
      <c r="S445" s="95"/>
      <c r="X445" s="6"/>
    </row>
    <row r="446" ht="15.75" customHeight="1">
      <c r="S446" s="95"/>
      <c r="X446" s="6"/>
    </row>
    <row r="447" ht="15.75" customHeight="1">
      <c r="S447" s="95"/>
      <c r="X447" s="6"/>
    </row>
    <row r="448" ht="15.75" customHeight="1">
      <c r="S448" s="95"/>
      <c r="X448" s="6"/>
    </row>
    <row r="449" ht="15.75" customHeight="1">
      <c r="S449" s="95"/>
      <c r="X449" s="6"/>
    </row>
    <row r="450" ht="15.75" customHeight="1">
      <c r="S450" s="95"/>
      <c r="X450" s="6"/>
    </row>
    <row r="451" ht="15.75" customHeight="1">
      <c r="S451" s="95"/>
      <c r="X451" s="6"/>
    </row>
    <row r="452" ht="15.75" customHeight="1">
      <c r="S452" s="95"/>
      <c r="X452" s="6"/>
    </row>
    <row r="453" ht="15.75" customHeight="1">
      <c r="S453" s="95"/>
      <c r="X453" s="6"/>
    </row>
    <row r="454" ht="15.75" customHeight="1">
      <c r="S454" s="95"/>
      <c r="X454" s="6"/>
    </row>
    <row r="455" ht="15.75" customHeight="1">
      <c r="S455" s="95"/>
      <c r="X455" s="6"/>
    </row>
    <row r="456" ht="15.75" customHeight="1">
      <c r="S456" s="95"/>
      <c r="X456" s="6"/>
    </row>
    <row r="457" ht="15.75" customHeight="1">
      <c r="S457" s="95"/>
      <c r="X457" s="6"/>
    </row>
    <row r="458" ht="15.75" customHeight="1">
      <c r="S458" s="95"/>
      <c r="X458" s="6"/>
    </row>
    <row r="459" ht="15.75" customHeight="1">
      <c r="S459" s="95"/>
      <c r="X459" s="6"/>
    </row>
    <row r="460" ht="15.75" customHeight="1">
      <c r="S460" s="95"/>
      <c r="X460" s="6"/>
    </row>
    <row r="461" ht="15.75" customHeight="1">
      <c r="S461" s="95"/>
      <c r="X461" s="6"/>
    </row>
    <row r="462" ht="15.75" customHeight="1">
      <c r="S462" s="95"/>
      <c r="X462" s="6"/>
    </row>
    <row r="463" ht="15.75" customHeight="1">
      <c r="S463" s="95"/>
      <c r="X463" s="6"/>
    </row>
    <row r="464" ht="15.75" customHeight="1">
      <c r="S464" s="95"/>
      <c r="X464" s="6"/>
    </row>
    <row r="465" ht="15.75" customHeight="1">
      <c r="S465" s="95"/>
      <c r="X465" s="6"/>
    </row>
    <row r="466" ht="15.75" customHeight="1">
      <c r="S466" s="95"/>
      <c r="X466" s="6"/>
    </row>
    <row r="467" ht="15.75" customHeight="1">
      <c r="S467" s="95"/>
      <c r="X467" s="6"/>
    </row>
    <row r="468" ht="15.75" customHeight="1">
      <c r="S468" s="95"/>
      <c r="X468" s="6"/>
    </row>
    <row r="469" ht="15.75" customHeight="1">
      <c r="S469" s="95"/>
      <c r="X469" s="6"/>
    </row>
    <row r="470" ht="15.75" customHeight="1">
      <c r="S470" s="95"/>
      <c r="X470" s="6"/>
    </row>
    <row r="471" ht="15.75" customHeight="1">
      <c r="S471" s="95"/>
      <c r="X471" s="6"/>
    </row>
    <row r="472" ht="15.75" customHeight="1">
      <c r="S472" s="95"/>
      <c r="X472" s="6"/>
    </row>
    <row r="473" ht="15.75" customHeight="1">
      <c r="S473" s="95"/>
      <c r="X473" s="6"/>
    </row>
    <row r="474" ht="15.75" customHeight="1">
      <c r="S474" s="95"/>
      <c r="X474" s="6"/>
    </row>
    <row r="475" ht="15.75" customHeight="1">
      <c r="S475" s="95"/>
      <c r="X475" s="6"/>
    </row>
    <row r="476" ht="15.75" customHeight="1">
      <c r="S476" s="95"/>
      <c r="X476" s="6"/>
    </row>
    <row r="477" ht="15.75" customHeight="1">
      <c r="S477" s="95"/>
      <c r="X477" s="6"/>
    </row>
    <row r="478" ht="15.75" customHeight="1">
      <c r="S478" s="95"/>
      <c r="X478" s="6"/>
    </row>
    <row r="479" ht="15.75" customHeight="1">
      <c r="S479" s="95"/>
      <c r="X479" s="6"/>
    </row>
    <row r="480" ht="15.75" customHeight="1">
      <c r="S480" s="95"/>
      <c r="X480" s="6"/>
    </row>
    <row r="481" ht="15.75" customHeight="1">
      <c r="S481" s="95"/>
      <c r="X481" s="6"/>
    </row>
    <row r="482" ht="15.75" customHeight="1">
      <c r="S482" s="95"/>
      <c r="X482" s="6"/>
    </row>
    <row r="483" ht="15.75" customHeight="1">
      <c r="S483" s="95"/>
      <c r="X483" s="6"/>
    </row>
    <row r="484" ht="15.75" customHeight="1">
      <c r="S484" s="95"/>
      <c r="X484" s="6"/>
    </row>
    <row r="485" ht="15.75" customHeight="1">
      <c r="S485" s="95"/>
      <c r="X485" s="6"/>
    </row>
    <row r="486" ht="15.75" customHeight="1">
      <c r="S486" s="95"/>
      <c r="X486" s="6"/>
    </row>
    <row r="487" ht="15.75" customHeight="1">
      <c r="S487" s="95"/>
      <c r="X487" s="6"/>
    </row>
    <row r="488" ht="15.75" customHeight="1">
      <c r="S488" s="95"/>
      <c r="X488" s="6"/>
    </row>
    <row r="489" ht="15.75" customHeight="1">
      <c r="S489" s="95"/>
      <c r="X489" s="6"/>
    </row>
    <row r="490" ht="15.75" customHeight="1">
      <c r="S490" s="95"/>
      <c r="X490" s="6"/>
    </row>
    <row r="491" ht="15.75" customHeight="1">
      <c r="S491" s="95"/>
      <c r="X491" s="6"/>
    </row>
    <row r="492" ht="15.75" customHeight="1">
      <c r="S492" s="95"/>
      <c r="X492" s="6"/>
    </row>
    <row r="493" ht="15.75" customHeight="1">
      <c r="S493" s="95"/>
      <c r="X493" s="6"/>
    </row>
    <row r="494" ht="15.75" customHeight="1">
      <c r="S494" s="95"/>
      <c r="X494" s="6"/>
    </row>
    <row r="495" ht="15.75" customHeight="1">
      <c r="S495" s="95"/>
      <c r="X495" s="6"/>
    </row>
    <row r="496" ht="15.75" customHeight="1">
      <c r="S496" s="95"/>
      <c r="X496" s="6"/>
    </row>
    <row r="497" ht="15.75" customHeight="1">
      <c r="S497" s="95"/>
      <c r="X497" s="6"/>
    </row>
    <row r="498" ht="15.75" customHeight="1">
      <c r="S498" s="95"/>
      <c r="X498" s="6"/>
    </row>
    <row r="499" ht="15.75" customHeight="1">
      <c r="S499" s="95"/>
      <c r="X499" s="6"/>
    </row>
    <row r="500" ht="15.75" customHeight="1">
      <c r="S500" s="95"/>
      <c r="X500" s="6"/>
    </row>
    <row r="501" ht="15.75" customHeight="1">
      <c r="S501" s="95"/>
      <c r="X501" s="6"/>
    </row>
    <row r="502" ht="15.75" customHeight="1">
      <c r="S502" s="95"/>
      <c r="X502" s="6"/>
    </row>
    <row r="503" ht="15.75" customHeight="1">
      <c r="S503" s="95"/>
      <c r="X503" s="6"/>
    </row>
    <row r="504" ht="15.75" customHeight="1">
      <c r="S504" s="95"/>
      <c r="X504" s="6"/>
    </row>
    <row r="505" ht="15.75" customHeight="1">
      <c r="S505" s="95"/>
      <c r="X505" s="6"/>
    </row>
    <row r="506" ht="15.75" customHeight="1">
      <c r="S506" s="95"/>
      <c r="X506" s="6"/>
    </row>
    <row r="507" ht="15.75" customHeight="1">
      <c r="S507" s="95"/>
      <c r="X507" s="6"/>
    </row>
    <row r="508" ht="15.75" customHeight="1">
      <c r="S508" s="95"/>
      <c r="X508" s="6"/>
    </row>
    <row r="509" ht="15.75" customHeight="1">
      <c r="S509" s="95"/>
      <c r="X509" s="6"/>
    </row>
    <row r="510" ht="15.75" customHeight="1">
      <c r="S510" s="95"/>
      <c r="X510" s="6"/>
    </row>
    <row r="511" ht="15.75" customHeight="1">
      <c r="S511" s="95"/>
      <c r="X511" s="6"/>
    </row>
    <row r="512" ht="15.75" customHeight="1">
      <c r="S512" s="95"/>
      <c r="X512" s="6"/>
    </row>
    <row r="513" ht="15.75" customHeight="1">
      <c r="S513" s="95"/>
      <c r="X513" s="6"/>
    </row>
    <row r="514" ht="15.75" customHeight="1">
      <c r="S514" s="95"/>
      <c r="X514" s="6"/>
    </row>
    <row r="515" ht="15.75" customHeight="1">
      <c r="S515" s="95"/>
      <c r="X515" s="6"/>
    </row>
    <row r="516" ht="15.75" customHeight="1">
      <c r="S516" s="95"/>
      <c r="X516" s="6"/>
    </row>
    <row r="517" ht="15.75" customHeight="1">
      <c r="S517" s="95"/>
      <c r="X517" s="6"/>
    </row>
    <row r="518" ht="15.75" customHeight="1">
      <c r="S518" s="95"/>
      <c r="X518" s="6"/>
    </row>
    <row r="519" ht="15.75" customHeight="1">
      <c r="S519" s="95"/>
      <c r="X519" s="6"/>
    </row>
    <row r="520" ht="15.75" customHeight="1">
      <c r="S520" s="95"/>
      <c r="X520" s="6"/>
    </row>
    <row r="521" ht="15.75" customHeight="1">
      <c r="S521" s="95"/>
      <c r="X521" s="6"/>
    </row>
    <row r="522" ht="15.75" customHeight="1">
      <c r="S522" s="95"/>
      <c r="X522" s="6"/>
    </row>
    <row r="523" ht="15.75" customHeight="1">
      <c r="S523" s="95"/>
      <c r="X523" s="6"/>
    </row>
    <row r="524" ht="15.75" customHeight="1">
      <c r="S524" s="95"/>
      <c r="X524" s="6"/>
    </row>
    <row r="525" ht="15.75" customHeight="1">
      <c r="S525" s="95"/>
      <c r="X525" s="6"/>
    </row>
    <row r="526" ht="15.75" customHeight="1">
      <c r="S526" s="95"/>
      <c r="X526" s="6"/>
    </row>
    <row r="527" ht="15.75" customHeight="1">
      <c r="S527" s="95"/>
      <c r="X527" s="6"/>
    </row>
    <row r="528" ht="15.75" customHeight="1">
      <c r="S528" s="95"/>
      <c r="X528" s="6"/>
    </row>
    <row r="529" ht="15.75" customHeight="1">
      <c r="S529" s="95"/>
      <c r="X529" s="6"/>
    </row>
    <row r="530" ht="15.75" customHeight="1">
      <c r="S530" s="95"/>
      <c r="X530" s="6"/>
    </row>
    <row r="531" ht="15.75" customHeight="1">
      <c r="S531" s="95"/>
      <c r="X531" s="6"/>
    </row>
    <row r="532" ht="15.75" customHeight="1">
      <c r="S532" s="95"/>
      <c r="X532" s="6"/>
    </row>
    <row r="533" ht="15.75" customHeight="1">
      <c r="S533" s="95"/>
      <c r="X533" s="6"/>
    </row>
    <row r="534" ht="15.75" customHeight="1">
      <c r="S534" s="95"/>
      <c r="X534" s="6"/>
    </row>
    <row r="535" ht="15.75" customHeight="1">
      <c r="S535" s="95"/>
      <c r="X535" s="6"/>
    </row>
    <row r="536" ht="15.75" customHeight="1">
      <c r="S536" s="95"/>
      <c r="X536" s="6"/>
    </row>
    <row r="537" ht="15.75" customHeight="1">
      <c r="S537" s="95"/>
      <c r="X537" s="6"/>
    </row>
    <row r="538" ht="15.75" customHeight="1">
      <c r="S538" s="95"/>
      <c r="X538" s="6"/>
    </row>
    <row r="539" ht="15.75" customHeight="1">
      <c r="S539" s="95"/>
      <c r="X539" s="6"/>
    </row>
    <row r="540" ht="15.75" customHeight="1">
      <c r="S540" s="95"/>
      <c r="X540" s="6"/>
    </row>
    <row r="541" ht="15.75" customHeight="1">
      <c r="S541" s="95"/>
      <c r="X541" s="6"/>
    </row>
    <row r="542" ht="15.75" customHeight="1">
      <c r="S542" s="95"/>
      <c r="X542" s="6"/>
    </row>
    <row r="543" ht="15.75" customHeight="1">
      <c r="S543" s="95"/>
      <c r="X543" s="6"/>
    </row>
    <row r="544" ht="15.75" customHeight="1">
      <c r="S544" s="95"/>
      <c r="X544" s="6"/>
    </row>
    <row r="545" ht="15.75" customHeight="1">
      <c r="S545" s="95"/>
      <c r="X545" s="6"/>
    </row>
    <row r="546" ht="15.75" customHeight="1">
      <c r="S546" s="95"/>
      <c r="X546" s="6"/>
    </row>
    <row r="547" ht="15.75" customHeight="1">
      <c r="S547" s="95"/>
      <c r="X547" s="6"/>
    </row>
    <row r="548" ht="15.75" customHeight="1">
      <c r="S548" s="95"/>
      <c r="X548" s="6"/>
    </row>
    <row r="549" ht="15.75" customHeight="1">
      <c r="S549" s="95"/>
      <c r="X549" s="6"/>
    </row>
    <row r="550" ht="15.75" customHeight="1">
      <c r="S550" s="95"/>
      <c r="X550" s="6"/>
    </row>
    <row r="551" ht="15.75" customHeight="1">
      <c r="S551" s="95"/>
      <c r="X551" s="6"/>
    </row>
    <row r="552" ht="15.75" customHeight="1">
      <c r="S552" s="95"/>
      <c r="X552" s="6"/>
    </row>
    <row r="553" ht="15.75" customHeight="1">
      <c r="S553" s="95"/>
      <c r="X553" s="6"/>
    </row>
    <row r="554" ht="15.75" customHeight="1">
      <c r="S554" s="95"/>
      <c r="X554" s="6"/>
    </row>
    <row r="555" ht="15.75" customHeight="1">
      <c r="S555" s="95"/>
      <c r="X555" s="6"/>
    </row>
    <row r="556" ht="15.75" customHeight="1">
      <c r="S556" s="95"/>
      <c r="X556" s="6"/>
    </row>
    <row r="557" ht="15.75" customHeight="1">
      <c r="S557" s="95"/>
      <c r="X557" s="6"/>
    </row>
    <row r="558" ht="15.75" customHeight="1">
      <c r="S558" s="95"/>
      <c r="X558" s="6"/>
    </row>
    <row r="559" ht="15.75" customHeight="1">
      <c r="S559" s="95"/>
      <c r="X559" s="6"/>
    </row>
    <row r="560" ht="15.75" customHeight="1">
      <c r="S560" s="95"/>
      <c r="X560" s="6"/>
    </row>
    <row r="561" ht="15.75" customHeight="1">
      <c r="S561" s="95"/>
      <c r="X561" s="6"/>
    </row>
    <row r="562" ht="15.75" customHeight="1">
      <c r="S562" s="95"/>
      <c r="X562" s="6"/>
    </row>
    <row r="563" ht="15.75" customHeight="1">
      <c r="S563" s="95"/>
      <c r="X563" s="6"/>
    </row>
    <row r="564" ht="15.75" customHeight="1">
      <c r="S564" s="95"/>
      <c r="X564" s="6"/>
    </row>
    <row r="565" ht="15.75" customHeight="1">
      <c r="S565" s="95"/>
      <c r="X565" s="6"/>
    </row>
    <row r="566" ht="15.75" customHeight="1">
      <c r="S566" s="95"/>
      <c r="X566" s="6"/>
    </row>
    <row r="567" ht="15.75" customHeight="1">
      <c r="S567" s="95"/>
      <c r="X567" s="6"/>
    </row>
    <row r="568" ht="15.75" customHeight="1">
      <c r="S568" s="95"/>
      <c r="X568" s="6"/>
    </row>
    <row r="569" ht="15.75" customHeight="1">
      <c r="S569" s="95"/>
      <c r="X569" s="6"/>
    </row>
    <row r="570" ht="15.75" customHeight="1">
      <c r="S570" s="95"/>
      <c r="X570" s="6"/>
    </row>
    <row r="571" ht="15.75" customHeight="1">
      <c r="S571" s="95"/>
      <c r="X571" s="6"/>
    </row>
    <row r="572" ht="15.75" customHeight="1">
      <c r="S572" s="95"/>
      <c r="X572" s="6"/>
    </row>
    <row r="573" ht="15.75" customHeight="1">
      <c r="S573" s="95"/>
      <c r="X573" s="6"/>
    </row>
    <row r="574" ht="15.75" customHeight="1">
      <c r="S574" s="95"/>
      <c r="X574" s="6"/>
    </row>
    <row r="575" ht="15.75" customHeight="1">
      <c r="S575" s="95"/>
      <c r="X575" s="6"/>
    </row>
    <row r="576" ht="15.75" customHeight="1">
      <c r="S576" s="95"/>
      <c r="X576" s="6"/>
    </row>
    <row r="577" ht="15.75" customHeight="1">
      <c r="S577" s="95"/>
      <c r="X577" s="6"/>
    </row>
    <row r="578" ht="15.75" customHeight="1">
      <c r="S578" s="95"/>
      <c r="X578" s="6"/>
    </row>
    <row r="579" ht="15.75" customHeight="1">
      <c r="S579" s="95"/>
      <c r="X579" s="6"/>
    </row>
    <row r="580" ht="15.75" customHeight="1">
      <c r="S580" s="95"/>
      <c r="X580" s="6"/>
    </row>
    <row r="581" ht="15.75" customHeight="1">
      <c r="S581" s="95"/>
      <c r="X581" s="6"/>
    </row>
    <row r="582" ht="15.75" customHeight="1">
      <c r="S582" s="95"/>
      <c r="X582" s="6"/>
    </row>
    <row r="583" ht="15.75" customHeight="1">
      <c r="S583" s="95"/>
      <c r="X583" s="6"/>
    </row>
    <row r="584" ht="15.75" customHeight="1">
      <c r="S584" s="95"/>
      <c r="X584" s="6"/>
    </row>
    <row r="585" ht="15.75" customHeight="1">
      <c r="S585" s="95"/>
      <c r="X585" s="6"/>
    </row>
    <row r="586" ht="15.75" customHeight="1">
      <c r="S586" s="95"/>
      <c r="X586" s="6"/>
    </row>
    <row r="587" ht="15.75" customHeight="1">
      <c r="S587" s="95"/>
      <c r="X587" s="6"/>
    </row>
    <row r="588" ht="15.75" customHeight="1">
      <c r="S588" s="95"/>
      <c r="X588" s="6"/>
    </row>
    <row r="589" ht="15.75" customHeight="1">
      <c r="S589" s="95"/>
      <c r="X589" s="6"/>
    </row>
    <row r="590" ht="15.75" customHeight="1">
      <c r="S590" s="95"/>
      <c r="X590" s="6"/>
    </row>
    <row r="591" ht="15.75" customHeight="1">
      <c r="S591" s="95"/>
      <c r="X591" s="6"/>
    </row>
    <row r="592" ht="15.75" customHeight="1">
      <c r="S592" s="95"/>
      <c r="X592" s="6"/>
    </row>
    <row r="593" ht="15.75" customHeight="1">
      <c r="S593" s="95"/>
      <c r="X593" s="6"/>
    </row>
    <row r="594" ht="15.75" customHeight="1">
      <c r="S594" s="95"/>
      <c r="X594" s="6"/>
    </row>
    <row r="595" ht="15.75" customHeight="1">
      <c r="S595" s="95"/>
      <c r="X595" s="6"/>
    </row>
    <row r="596" ht="15.75" customHeight="1">
      <c r="S596" s="95"/>
      <c r="X596" s="6"/>
    </row>
    <row r="597" ht="15.75" customHeight="1">
      <c r="S597" s="95"/>
      <c r="X597" s="6"/>
    </row>
    <row r="598" ht="15.75" customHeight="1">
      <c r="S598" s="95"/>
      <c r="X598" s="6"/>
    </row>
    <row r="599" ht="15.75" customHeight="1">
      <c r="S599" s="95"/>
      <c r="X599" s="6"/>
    </row>
    <row r="600" ht="15.75" customHeight="1">
      <c r="S600" s="95"/>
      <c r="X600" s="6"/>
    </row>
    <row r="601" ht="15.75" customHeight="1">
      <c r="S601" s="95"/>
      <c r="X601" s="6"/>
    </row>
    <row r="602" ht="15.75" customHeight="1">
      <c r="S602" s="95"/>
      <c r="X602" s="6"/>
    </row>
    <row r="603" ht="15.75" customHeight="1">
      <c r="S603" s="95"/>
      <c r="X603" s="6"/>
    </row>
    <row r="604" ht="15.75" customHeight="1">
      <c r="S604" s="95"/>
      <c r="X604" s="6"/>
    </row>
    <row r="605" ht="15.75" customHeight="1">
      <c r="S605" s="95"/>
      <c r="X605" s="6"/>
    </row>
    <row r="606" ht="15.75" customHeight="1">
      <c r="S606" s="95"/>
      <c r="X606" s="6"/>
    </row>
    <row r="607" ht="15.75" customHeight="1">
      <c r="S607" s="95"/>
      <c r="X607" s="6"/>
    </row>
    <row r="608" ht="15.75" customHeight="1">
      <c r="S608" s="95"/>
      <c r="X608" s="6"/>
    </row>
    <row r="609" ht="15.75" customHeight="1">
      <c r="S609" s="95"/>
      <c r="X609" s="6"/>
    </row>
    <row r="610" ht="15.75" customHeight="1">
      <c r="S610" s="95"/>
      <c r="X610" s="6"/>
    </row>
    <row r="611" ht="15.75" customHeight="1">
      <c r="S611" s="95"/>
      <c r="X611" s="6"/>
    </row>
    <row r="612" ht="15.75" customHeight="1">
      <c r="S612" s="95"/>
      <c r="X612" s="6"/>
    </row>
    <row r="613" ht="15.75" customHeight="1">
      <c r="S613" s="95"/>
      <c r="X613" s="6"/>
    </row>
    <row r="614" ht="15.75" customHeight="1">
      <c r="S614" s="95"/>
      <c r="X614" s="6"/>
    </row>
    <row r="615" ht="15.75" customHeight="1">
      <c r="S615" s="95"/>
      <c r="X615" s="6"/>
    </row>
    <row r="616" ht="15.75" customHeight="1">
      <c r="S616" s="95"/>
      <c r="X616" s="6"/>
    </row>
    <row r="617" ht="15.75" customHeight="1">
      <c r="S617" s="95"/>
      <c r="X617" s="6"/>
    </row>
    <row r="618" ht="15.75" customHeight="1">
      <c r="S618" s="95"/>
      <c r="X618" s="6"/>
    </row>
    <row r="619" ht="15.75" customHeight="1">
      <c r="S619" s="95"/>
      <c r="X619" s="6"/>
    </row>
    <row r="620" ht="15.75" customHeight="1">
      <c r="S620" s="95"/>
      <c r="X620" s="6"/>
    </row>
    <row r="621" ht="15.75" customHeight="1">
      <c r="S621" s="95"/>
      <c r="X621" s="6"/>
    </row>
    <row r="622" ht="15.75" customHeight="1">
      <c r="S622" s="95"/>
      <c r="X622" s="6"/>
    </row>
    <row r="623" ht="15.75" customHeight="1">
      <c r="S623" s="95"/>
      <c r="X623" s="6"/>
    </row>
    <row r="624" ht="15.75" customHeight="1">
      <c r="S624" s="95"/>
      <c r="X624" s="6"/>
    </row>
    <row r="625" ht="15.75" customHeight="1">
      <c r="S625" s="95"/>
      <c r="X625" s="6"/>
    </row>
    <row r="626" ht="15.75" customHeight="1">
      <c r="S626" s="95"/>
      <c r="X626" s="6"/>
    </row>
    <row r="627" ht="15.75" customHeight="1">
      <c r="S627" s="95"/>
      <c r="X627" s="6"/>
    </row>
    <row r="628" ht="15.75" customHeight="1">
      <c r="S628" s="95"/>
      <c r="X628" s="6"/>
    </row>
    <row r="629" ht="15.75" customHeight="1">
      <c r="S629" s="95"/>
      <c r="X629" s="6"/>
    </row>
    <row r="630" ht="15.75" customHeight="1">
      <c r="S630" s="95"/>
      <c r="X630" s="6"/>
    </row>
    <row r="631" ht="15.75" customHeight="1">
      <c r="S631" s="95"/>
      <c r="X631" s="6"/>
    </row>
    <row r="632" ht="15.75" customHeight="1">
      <c r="S632" s="95"/>
      <c r="X632" s="6"/>
    </row>
    <row r="633" ht="15.75" customHeight="1">
      <c r="S633" s="95"/>
      <c r="X633" s="6"/>
    </row>
    <row r="634" ht="15.75" customHeight="1">
      <c r="S634" s="95"/>
      <c r="X634" s="6"/>
    </row>
    <row r="635" ht="15.75" customHeight="1">
      <c r="S635" s="95"/>
      <c r="X635" s="6"/>
    </row>
    <row r="636" ht="15.75" customHeight="1">
      <c r="S636" s="95"/>
      <c r="X636" s="6"/>
    </row>
    <row r="637" ht="15.75" customHeight="1">
      <c r="S637" s="95"/>
      <c r="X637" s="6"/>
    </row>
    <row r="638" ht="15.75" customHeight="1">
      <c r="S638" s="95"/>
      <c r="X638" s="6"/>
    </row>
    <row r="639" ht="15.75" customHeight="1">
      <c r="S639" s="95"/>
      <c r="X639" s="6"/>
    </row>
    <row r="640" ht="15.75" customHeight="1">
      <c r="S640" s="95"/>
      <c r="X640" s="6"/>
    </row>
    <row r="641" ht="15.75" customHeight="1">
      <c r="S641" s="95"/>
      <c r="X641" s="6"/>
    </row>
    <row r="642" ht="15.75" customHeight="1">
      <c r="S642" s="95"/>
      <c r="X642" s="6"/>
    </row>
    <row r="643" ht="15.75" customHeight="1">
      <c r="S643" s="95"/>
      <c r="X643" s="6"/>
    </row>
    <row r="644" ht="15.75" customHeight="1">
      <c r="S644" s="95"/>
      <c r="X644" s="6"/>
    </row>
    <row r="645" ht="15.75" customHeight="1">
      <c r="S645" s="95"/>
      <c r="X645" s="6"/>
    </row>
    <row r="646" ht="15.75" customHeight="1">
      <c r="S646" s="95"/>
      <c r="X646" s="6"/>
    </row>
    <row r="647" ht="15.75" customHeight="1">
      <c r="S647" s="95"/>
      <c r="X647" s="6"/>
    </row>
    <row r="648" ht="15.75" customHeight="1">
      <c r="S648" s="95"/>
      <c r="X648" s="6"/>
    </row>
    <row r="649" ht="15.75" customHeight="1">
      <c r="S649" s="95"/>
      <c r="X649" s="6"/>
    </row>
    <row r="650" ht="15.75" customHeight="1">
      <c r="S650" s="95"/>
      <c r="X650" s="6"/>
    </row>
    <row r="651" ht="15.75" customHeight="1">
      <c r="S651" s="95"/>
      <c r="X651" s="6"/>
    </row>
    <row r="652" ht="15.75" customHeight="1">
      <c r="S652" s="95"/>
      <c r="X652" s="6"/>
    </row>
    <row r="653" ht="15.75" customHeight="1">
      <c r="S653" s="95"/>
      <c r="X653" s="6"/>
    </row>
    <row r="654" ht="15.75" customHeight="1">
      <c r="S654" s="95"/>
      <c r="X654" s="6"/>
    </row>
    <row r="655" ht="15.75" customHeight="1">
      <c r="S655" s="95"/>
      <c r="X655" s="6"/>
    </row>
    <row r="656" ht="15.75" customHeight="1">
      <c r="S656" s="95"/>
      <c r="X656" s="6"/>
    </row>
    <row r="657" ht="15.75" customHeight="1">
      <c r="S657" s="95"/>
      <c r="X657" s="6"/>
    </row>
    <row r="658" ht="15.75" customHeight="1">
      <c r="S658" s="95"/>
      <c r="X658" s="6"/>
    </row>
    <row r="659" ht="15.75" customHeight="1">
      <c r="S659" s="95"/>
      <c r="X659" s="6"/>
    </row>
    <row r="660" ht="15.75" customHeight="1">
      <c r="S660" s="95"/>
      <c r="X660" s="6"/>
    </row>
    <row r="661" ht="15.75" customHeight="1">
      <c r="S661" s="95"/>
      <c r="X661" s="6"/>
    </row>
    <row r="662" ht="15.75" customHeight="1">
      <c r="S662" s="95"/>
      <c r="X662" s="6"/>
    </row>
    <row r="663" ht="15.75" customHeight="1">
      <c r="S663" s="95"/>
      <c r="X663" s="6"/>
    </row>
    <row r="664" ht="15.75" customHeight="1">
      <c r="S664" s="95"/>
      <c r="X664" s="6"/>
    </row>
    <row r="665" ht="15.75" customHeight="1">
      <c r="S665" s="95"/>
      <c r="X665" s="6"/>
    </row>
    <row r="666" ht="15.75" customHeight="1">
      <c r="S666" s="95"/>
      <c r="X666" s="6"/>
    </row>
    <row r="667" ht="15.75" customHeight="1">
      <c r="S667" s="95"/>
      <c r="X667" s="6"/>
    </row>
    <row r="668" ht="15.75" customHeight="1">
      <c r="S668" s="95"/>
      <c r="X668" s="6"/>
    </row>
    <row r="669" ht="15.75" customHeight="1">
      <c r="S669" s="95"/>
      <c r="X669" s="6"/>
    </row>
    <row r="670" ht="15.75" customHeight="1">
      <c r="S670" s="95"/>
      <c r="X670" s="6"/>
    </row>
    <row r="671" ht="15.75" customHeight="1">
      <c r="S671" s="95"/>
      <c r="X671" s="6"/>
    </row>
    <row r="672" ht="15.75" customHeight="1">
      <c r="S672" s="95"/>
      <c r="X672" s="6"/>
    </row>
    <row r="673" ht="15.75" customHeight="1">
      <c r="S673" s="95"/>
      <c r="X673" s="6"/>
    </row>
    <row r="674" ht="15.75" customHeight="1">
      <c r="S674" s="95"/>
      <c r="X674" s="6"/>
    </row>
    <row r="675" ht="15.75" customHeight="1">
      <c r="S675" s="95"/>
      <c r="X675" s="6"/>
    </row>
    <row r="676" ht="15.75" customHeight="1">
      <c r="S676" s="95"/>
      <c r="X676" s="6"/>
    </row>
    <row r="677" ht="15.75" customHeight="1">
      <c r="S677" s="95"/>
      <c r="X677" s="6"/>
    </row>
    <row r="678" ht="15.75" customHeight="1">
      <c r="S678" s="95"/>
      <c r="X678" s="6"/>
    </row>
    <row r="679" ht="15.75" customHeight="1">
      <c r="S679" s="95"/>
      <c r="X679" s="6"/>
    </row>
    <row r="680" ht="15.75" customHeight="1">
      <c r="S680" s="95"/>
      <c r="X680" s="6"/>
    </row>
    <row r="681" ht="15.75" customHeight="1">
      <c r="S681" s="95"/>
      <c r="X681" s="6"/>
    </row>
    <row r="682" ht="15.75" customHeight="1">
      <c r="S682" s="95"/>
      <c r="X682" s="6"/>
    </row>
    <row r="683" ht="15.75" customHeight="1">
      <c r="S683" s="95"/>
      <c r="X683" s="6"/>
    </row>
    <row r="684" ht="15.75" customHeight="1">
      <c r="S684" s="95"/>
      <c r="X684" s="6"/>
    </row>
    <row r="685" ht="15.75" customHeight="1">
      <c r="S685" s="95"/>
      <c r="X685" s="6"/>
    </row>
    <row r="686" ht="15.75" customHeight="1">
      <c r="S686" s="95"/>
      <c r="X686" s="6"/>
    </row>
    <row r="687" ht="15.75" customHeight="1">
      <c r="S687" s="95"/>
      <c r="X687" s="6"/>
    </row>
    <row r="688" ht="15.75" customHeight="1">
      <c r="S688" s="95"/>
      <c r="X688" s="6"/>
    </row>
    <row r="689" ht="15.75" customHeight="1">
      <c r="S689" s="95"/>
      <c r="X689" s="6"/>
    </row>
    <row r="690" ht="15.75" customHeight="1">
      <c r="S690" s="95"/>
      <c r="X690" s="6"/>
    </row>
    <row r="691" ht="15.75" customHeight="1">
      <c r="S691" s="95"/>
      <c r="X691" s="6"/>
    </row>
    <row r="692" ht="15.75" customHeight="1">
      <c r="S692" s="95"/>
      <c r="X692" s="6"/>
    </row>
    <row r="693" ht="15.75" customHeight="1">
      <c r="S693" s="95"/>
      <c r="X693" s="6"/>
    </row>
    <row r="694" ht="15.75" customHeight="1">
      <c r="S694" s="95"/>
      <c r="X694" s="6"/>
    </row>
    <row r="695" ht="15.75" customHeight="1">
      <c r="S695" s="95"/>
      <c r="X695" s="6"/>
    </row>
    <row r="696" ht="15.75" customHeight="1">
      <c r="S696" s="95"/>
      <c r="X696" s="6"/>
    </row>
    <row r="697" ht="15.75" customHeight="1">
      <c r="S697" s="95"/>
      <c r="X697" s="6"/>
    </row>
    <row r="698" ht="15.75" customHeight="1">
      <c r="S698" s="95"/>
      <c r="X698" s="6"/>
    </row>
    <row r="699" ht="15.75" customHeight="1">
      <c r="S699" s="95"/>
      <c r="X699" s="6"/>
    </row>
    <row r="700" ht="15.75" customHeight="1">
      <c r="S700" s="95"/>
      <c r="X700" s="6"/>
    </row>
    <row r="701" ht="15.75" customHeight="1">
      <c r="S701" s="95"/>
      <c r="X701" s="6"/>
    </row>
    <row r="702" ht="15.75" customHeight="1">
      <c r="S702" s="95"/>
      <c r="X702" s="6"/>
    </row>
    <row r="703" ht="15.75" customHeight="1">
      <c r="S703" s="95"/>
      <c r="X703" s="6"/>
    </row>
    <row r="704" ht="15.75" customHeight="1">
      <c r="S704" s="95"/>
      <c r="X704" s="6"/>
    </row>
    <row r="705" ht="15.75" customHeight="1">
      <c r="S705" s="95"/>
      <c r="X705" s="6"/>
    </row>
    <row r="706" ht="15.75" customHeight="1">
      <c r="S706" s="95"/>
      <c r="X706" s="6"/>
    </row>
    <row r="707" ht="15.75" customHeight="1">
      <c r="S707" s="95"/>
      <c r="X707" s="6"/>
    </row>
    <row r="708" ht="15.75" customHeight="1">
      <c r="S708" s="95"/>
      <c r="X708" s="6"/>
    </row>
    <row r="709" ht="15.75" customHeight="1">
      <c r="S709" s="95"/>
      <c r="X709" s="6"/>
    </row>
    <row r="710" ht="15.75" customHeight="1">
      <c r="S710" s="95"/>
      <c r="X710" s="6"/>
    </row>
    <row r="711" ht="15.75" customHeight="1">
      <c r="S711" s="95"/>
      <c r="X711" s="6"/>
    </row>
    <row r="712" ht="15.75" customHeight="1">
      <c r="S712" s="95"/>
      <c r="X712" s="6"/>
    </row>
    <row r="713" ht="15.75" customHeight="1">
      <c r="S713" s="95"/>
      <c r="X713" s="6"/>
    </row>
    <row r="714" ht="15.75" customHeight="1">
      <c r="S714" s="95"/>
      <c r="X714" s="6"/>
    </row>
    <row r="715" ht="15.75" customHeight="1">
      <c r="S715" s="95"/>
      <c r="X715" s="6"/>
    </row>
    <row r="716" ht="15.75" customHeight="1">
      <c r="S716" s="95"/>
      <c r="X716" s="6"/>
    </row>
    <row r="717" ht="15.75" customHeight="1">
      <c r="S717" s="95"/>
      <c r="X717" s="6"/>
    </row>
    <row r="718" ht="15.75" customHeight="1">
      <c r="S718" s="95"/>
      <c r="X718" s="6"/>
    </row>
    <row r="719" ht="15.75" customHeight="1">
      <c r="S719" s="95"/>
      <c r="X719" s="6"/>
    </row>
    <row r="720" ht="15.75" customHeight="1">
      <c r="S720" s="95"/>
      <c r="X720" s="6"/>
    </row>
    <row r="721" ht="15.75" customHeight="1">
      <c r="S721" s="95"/>
      <c r="X721" s="6"/>
    </row>
    <row r="722" ht="15.75" customHeight="1">
      <c r="S722" s="95"/>
      <c r="X722" s="6"/>
    </row>
    <row r="723" ht="15.75" customHeight="1">
      <c r="S723" s="95"/>
      <c r="X723" s="6"/>
    </row>
    <row r="724" ht="15.75" customHeight="1">
      <c r="S724" s="95"/>
      <c r="X724" s="6"/>
    </row>
    <row r="725" ht="15.75" customHeight="1">
      <c r="S725" s="95"/>
      <c r="X725" s="6"/>
    </row>
    <row r="726" ht="15.75" customHeight="1">
      <c r="S726" s="95"/>
      <c r="X726" s="6"/>
    </row>
    <row r="727" ht="15.75" customHeight="1">
      <c r="S727" s="95"/>
      <c r="X727" s="6"/>
    </row>
    <row r="728" ht="15.75" customHeight="1">
      <c r="S728" s="95"/>
      <c r="X728" s="6"/>
    </row>
    <row r="729" ht="15.75" customHeight="1">
      <c r="S729" s="95"/>
      <c r="X729" s="6"/>
    </row>
    <row r="730" ht="15.75" customHeight="1">
      <c r="S730" s="95"/>
      <c r="X730" s="6"/>
    </row>
    <row r="731" ht="15.75" customHeight="1">
      <c r="S731" s="95"/>
      <c r="X731" s="6"/>
    </row>
    <row r="732" ht="15.75" customHeight="1">
      <c r="S732" s="95"/>
      <c r="X732" s="6"/>
    </row>
    <row r="733" ht="15.75" customHeight="1">
      <c r="S733" s="95"/>
      <c r="X733" s="6"/>
    </row>
    <row r="734" ht="15.75" customHeight="1">
      <c r="S734" s="95"/>
      <c r="X734" s="6"/>
    </row>
    <row r="735" ht="15.75" customHeight="1">
      <c r="S735" s="95"/>
      <c r="X735" s="6"/>
    </row>
    <row r="736" ht="15.75" customHeight="1">
      <c r="S736" s="95"/>
      <c r="X736" s="6"/>
    </row>
    <row r="737" ht="15.75" customHeight="1">
      <c r="S737" s="95"/>
      <c r="X737" s="6"/>
    </row>
    <row r="738" ht="15.75" customHeight="1">
      <c r="S738" s="95"/>
      <c r="X738" s="6"/>
    </row>
    <row r="739" ht="15.75" customHeight="1">
      <c r="S739" s="95"/>
      <c r="X739" s="6"/>
    </row>
    <row r="740" ht="15.75" customHeight="1">
      <c r="S740" s="95"/>
      <c r="X740" s="6"/>
    </row>
    <row r="741" ht="15.75" customHeight="1">
      <c r="S741" s="95"/>
      <c r="X741" s="6"/>
    </row>
    <row r="742" ht="15.75" customHeight="1">
      <c r="S742" s="95"/>
      <c r="X742" s="6"/>
    </row>
    <row r="743" ht="15.75" customHeight="1">
      <c r="S743" s="95"/>
      <c r="X743" s="6"/>
    </row>
    <row r="744" ht="15.75" customHeight="1">
      <c r="S744" s="95"/>
      <c r="X744" s="6"/>
    </row>
    <row r="745" ht="15.75" customHeight="1">
      <c r="S745" s="95"/>
      <c r="X745" s="6"/>
    </row>
    <row r="746" ht="15.75" customHeight="1">
      <c r="S746" s="95"/>
      <c r="X746" s="6"/>
    </row>
    <row r="747" ht="15.75" customHeight="1">
      <c r="S747" s="95"/>
      <c r="X747" s="6"/>
    </row>
    <row r="748" ht="15.75" customHeight="1">
      <c r="S748" s="95"/>
      <c r="X748" s="6"/>
    </row>
    <row r="749" ht="15.75" customHeight="1">
      <c r="S749" s="95"/>
      <c r="X749" s="6"/>
    </row>
    <row r="750" ht="15.75" customHeight="1">
      <c r="S750" s="95"/>
      <c r="X750" s="6"/>
    </row>
    <row r="751" ht="15.75" customHeight="1">
      <c r="S751" s="95"/>
      <c r="X751" s="6"/>
    </row>
    <row r="752" ht="15.75" customHeight="1">
      <c r="S752" s="95"/>
      <c r="X752" s="6"/>
    </row>
    <row r="753" ht="15.75" customHeight="1">
      <c r="S753" s="95"/>
      <c r="X753" s="6"/>
    </row>
    <row r="754" ht="15.75" customHeight="1">
      <c r="S754" s="95"/>
      <c r="X754" s="6"/>
    </row>
    <row r="755" ht="15.75" customHeight="1">
      <c r="S755" s="95"/>
      <c r="X755" s="6"/>
    </row>
    <row r="756" ht="15.75" customHeight="1">
      <c r="S756" s="95"/>
      <c r="X756" s="6"/>
    </row>
    <row r="757" ht="15.75" customHeight="1">
      <c r="S757" s="95"/>
      <c r="X757" s="6"/>
    </row>
    <row r="758" ht="15.75" customHeight="1">
      <c r="S758" s="95"/>
      <c r="X758" s="6"/>
    </row>
    <row r="759" ht="15.75" customHeight="1">
      <c r="S759" s="95"/>
      <c r="X759" s="6"/>
    </row>
    <row r="760" ht="15.75" customHeight="1">
      <c r="S760" s="95"/>
      <c r="X760" s="6"/>
    </row>
    <row r="761" ht="15.75" customHeight="1">
      <c r="S761" s="95"/>
      <c r="X761" s="6"/>
    </row>
    <row r="762" ht="15.75" customHeight="1">
      <c r="S762" s="95"/>
      <c r="X762" s="6"/>
    </row>
    <row r="763" ht="15.75" customHeight="1">
      <c r="S763" s="95"/>
      <c r="X763" s="6"/>
    </row>
    <row r="764" ht="15.75" customHeight="1">
      <c r="S764" s="95"/>
      <c r="X764" s="6"/>
    </row>
    <row r="765" ht="15.75" customHeight="1">
      <c r="S765" s="95"/>
      <c r="X765" s="6"/>
    </row>
    <row r="766" ht="15.75" customHeight="1">
      <c r="S766" s="95"/>
      <c r="X766" s="6"/>
    </row>
    <row r="767" ht="15.75" customHeight="1">
      <c r="S767" s="95"/>
      <c r="X767" s="6"/>
    </row>
    <row r="768" ht="15.75" customHeight="1">
      <c r="S768" s="95"/>
      <c r="X768" s="6"/>
    </row>
    <row r="769" ht="15.75" customHeight="1">
      <c r="S769" s="95"/>
      <c r="X769" s="6"/>
    </row>
    <row r="770" ht="15.75" customHeight="1">
      <c r="S770" s="95"/>
      <c r="X770" s="6"/>
    </row>
    <row r="771" ht="15.75" customHeight="1">
      <c r="S771" s="95"/>
      <c r="X771" s="6"/>
    </row>
    <row r="772" ht="15.75" customHeight="1">
      <c r="S772" s="95"/>
      <c r="X772" s="6"/>
    </row>
    <row r="773" ht="15.75" customHeight="1">
      <c r="S773" s="95"/>
      <c r="X773" s="6"/>
    </row>
    <row r="774" ht="15.75" customHeight="1">
      <c r="S774" s="95"/>
      <c r="X774" s="6"/>
    </row>
    <row r="775" ht="15.75" customHeight="1">
      <c r="S775" s="95"/>
      <c r="X775" s="6"/>
    </row>
    <row r="776" ht="15.75" customHeight="1">
      <c r="S776" s="95"/>
      <c r="X776" s="6"/>
    </row>
    <row r="777" ht="15.75" customHeight="1">
      <c r="S777" s="95"/>
      <c r="X777" s="6"/>
    </row>
    <row r="778" ht="15.75" customHeight="1">
      <c r="S778" s="95"/>
      <c r="X778" s="6"/>
    </row>
    <row r="779" ht="15.75" customHeight="1">
      <c r="S779" s="95"/>
      <c r="X779" s="6"/>
    </row>
    <row r="780" ht="15.75" customHeight="1">
      <c r="S780" s="95"/>
      <c r="X780" s="6"/>
    </row>
    <row r="781" ht="15.75" customHeight="1">
      <c r="S781" s="95"/>
      <c r="X781" s="6"/>
    </row>
    <row r="782" ht="15.75" customHeight="1">
      <c r="S782" s="95"/>
      <c r="X782" s="6"/>
    </row>
    <row r="783" ht="15.75" customHeight="1">
      <c r="S783" s="95"/>
      <c r="X783" s="6"/>
    </row>
    <row r="784" ht="15.75" customHeight="1">
      <c r="S784" s="95"/>
      <c r="X784" s="6"/>
    </row>
    <row r="785" ht="15.75" customHeight="1">
      <c r="S785" s="95"/>
      <c r="X785" s="6"/>
    </row>
    <row r="786" ht="15.75" customHeight="1">
      <c r="S786" s="95"/>
      <c r="X786" s="6"/>
    </row>
    <row r="787" ht="15.75" customHeight="1">
      <c r="S787" s="95"/>
      <c r="X787" s="6"/>
    </row>
    <row r="788" ht="15.75" customHeight="1">
      <c r="S788" s="95"/>
      <c r="X788" s="6"/>
    </row>
    <row r="789" ht="15.75" customHeight="1">
      <c r="S789" s="95"/>
      <c r="X789" s="6"/>
    </row>
    <row r="790" ht="15.75" customHeight="1">
      <c r="S790" s="95"/>
      <c r="X790" s="6"/>
    </row>
    <row r="791" ht="15.75" customHeight="1">
      <c r="S791" s="95"/>
      <c r="X791" s="6"/>
    </row>
    <row r="792" ht="15.75" customHeight="1">
      <c r="S792" s="95"/>
      <c r="X792" s="6"/>
    </row>
    <row r="793" ht="15.75" customHeight="1">
      <c r="S793" s="95"/>
      <c r="X793" s="6"/>
    </row>
    <row r="794" ht="15.75" customHeight="1">
      <c r="S794" s="95"/>
      <c r="X794" s="6"/>
    </row>
    <row r="795" ht="15.75" customHeight="1">
      <c r="S795" s="95"/>
      <c r="X795" s="6"/>
    </row>
    <row r="796" ht="15.75" customHeight="1">
      <c r="S796" s="95"/>
      <c r="X796" s="6"/>
    </row>
    <row r="797" ht="15.75" customHeight="1">
      <c r="S797" s="95"/>
      <c r="X797" s="6"/>
    </row>
    <row r="798" ht="15.75" customHeight="1">
      <c r="S798" s="95"/>
      <c r="X798" s="6"/>
    </row>
    <row r="799" ht="15.75" customHeight="1">
      <c r="S799" s="95"/>
      <c r="X799" s="6"/>
    </row>
    <row r="800" ht="15.75" customHeight="1">
      <c r="S800" s="95"/>
      <c r="X800" s="6"/>
    </row>
    <row r="801" ht="15.75" customHeight="1">
      <c r="S801" s="95"/>
      <c r="X801" s="6"/>
    </row>
    <row r="802" ht="15.75" customHeight="1">
      <c r="S802" s="95"/>
      <c r="X802" s="6"/>
    </row>
    <row r="803" ht="15.75" customHeight="1">
      <c r="S803" s="95"/>
      <c r="X803" s="6"/>
    </row>
    <row r="804" ht="15.75" customHeight="1">
      <c r="S804" s="95"/>
      <c r="X804" s="6"/>
    </row>
    <row r="805" ht="15.75" customHeight="1">
      <c r="S805" s="95"/>
      <c r="X805" s="6"/>
    </row>
    <row r="806" ht="15.75" customHeight="1">
      <c r="S806" s="95"/>
      <c r="X806" s="6"/>
    </row>
    <row r="807" ht="15.75" customHeight="1">
      <c r="S807" s="95"/>
      <c r="X807" s="6"/>
    </row>
    <row r="808" ht="15.75" customHeight="1">
      <c r="S808" s="95"/>
      <c r="X808" s="6"/>
    </row>
    <row r="809" ht="15.75" customHeight="1">
      <c r="S809" s="95"/>
      <c r="X809" s="6"/>
    </row>
    <row r="810" ht="15.75" customHeight="1">
      <c r="S810" s="95"/>
      <c r="X810" s="6"/>
    </row>
    <row r="811" ht="15.75" customHeight="1">
      <c r="S811" s="95"/>
      <c r="X811" s="6"/>
    </row>
    <row r="812" ht="15.75" customHeight="1">
      <c r="S812" s="95"/>
      <c r="X812" s="6"/>
    </row>
    <row r="813" ht="15.75" customHeight="1">
      <c r="S813" s="95"/>
      <c r="X813" s="6"/>
    </row>
    <row r="814" ht="15.75" customHeight="1">
      <c r="S814" s="95"/>
      <c r="X814" s="6"/>
    </row>
    <row r="815" ht="15.75" customHeight="1">
      <c r="S815" s="95"/>
      <c r="X815" s="6"/>
    </row>
    <row r="816" ht="15.75" customHeight="1">
      <c r="S816" s="95"/>
      <c r="X816" s="6"/>
    </row>
    <row r="817" ht="15.75" customHeight="1">
      <c r="S817" s="95"/>
      <c r="X817" s="6"/>
    </row>
    <row r="818" ht="15.75" customHeight="1">
      <c r="S818" s="95"/>
      <c r="X818" s="6"/>
    </row>
    <row r="819" ht="15.75" customHeight="1">
      <c r="S819" s="95"/>
      <c r="X819" s="6"/>
    </row>
    <row r="820" ht="15.75" customHeight="1">
      <c r="S820" s="95"/>
      <c r="X820" s="6"/>
    </row>
    <row r="821" ht="15.75" customHeight="1">
      <c r="S821" s="95"/>
      <c r="X821" s="6"/>
    </row>
    <row r="822" ht="15.75" customHeight="1">
      <c r="S822" s="95"/>
      <c r="X822" s="6"/>
    </row>
    <row r="823" ht="15.75" customHeight="1">
      <c r="S823" s="95"/>
      <c r="X823" s="6"/>
    </row>
    <row r="824" ht="15.75" customHeight="1">
      <c r="S824" s="95"/>
      <c r="X824" s="6"/>
    </row>
    <row r="825" ht="15.75" customHeight="1">
      <c r="S825" s="95"/>
      <c r="X825" s="6"/>
    </row>
    <row r="826" ht="15.75" customHeight="1">
      <c r="S826" s="95"/>
      <c r="X826" s="6"/>
    </row>
    <row r="827" ht="15.75" customHeight="1">
      <c r="S827" s="95"/>
      <c r="X827" s="6"/>
    </row>
    <row r="828" ht="15.75" customHeight="1">
      <c r="S828" s="95"/>
      <c r="X828" s="6"/>
    </row>
    <row r="829" ht="15.75" customHeight="1">
      <c r="S829" s="95"/>
      <c r="X829" s="6"/>
    </row>
    <row r="830" ht="15.75" customHeight="1">
      <c r="S830" s="95"/>
      <c r="X830" s="6"/>
    </row>
    <row r="831" ht="15.75" customHeight="1">
      <c r="S831" s="95"/>
      <c r="X831" s="6"/>
    </row>
    <row r="832" ht="15.75" customHeight="1">
      <c r="S832" s="95"/>
      <c r="X832" s="6"/>
    </row>
    <row r="833" ht="15.75" customHeight="1">
      <c r="S833" s="95"/>
      <c r="X833" s="6"/>
    </row>
    <row r="834" ht="15.75" customHeight="1">
      <c r="S834" s="95"/>
      <c r="X834" s="6"/>
    </row>
    <row r="835" ht="15.75" customHeight="1">
      <c r="S835" s="95"/>
      <c r="X835" s="6"/>
    </row>
    <row r="836" ht="15.75" customHeight="1">
      <c r="S836" s="95"/>
      <c r="X836" s="6"/>
    </row>
    <row r="837" ht="15.75" customHeight="1">
      <c r="S837" s="95"/>
      <c r="X837" s="6"/>
    </row>
    <row r="838" ht="15.75" customHeight="1">
      <c r="S838" s="95"/>
      <c r="X838" s="6"/>
    </row>
    <row r="839" ht="15.75" customHeight="1">
      <c r="S839" s="95"/>
      <c r="X839" s="6"/>
    </row>
    <row r="840" ht="15.75" customHeight="1">
      <c r="S840" s="95"/>
      <c r="X840" s="6"/>
    </row>
    <row r="841" ht="15.75" customHeight="1">
      <c r="S841" s="95"/>
      <c r="X841" s="6"/>
    </row>
    <row r="842" ht="15.75" customHeight="1">
      <c r="S842" s="95"/>
      <c r="X842" s="6"/>
    </row>
    <row r="843" ht="15.75" customHeight="1">
      <c r="S843" s="95"/>
      <c r="X843" s="6"/>
    </row>
    <row r="844" ht="15.75" customHeight="1">
      <c r="S844" s="95"/>
      <c r="X844" s="6"/>
    </row>
    <row r="845" ht="15.75" customHeight="1">
      <c r="S845" s="95"/>
      <c r="X845" s="6"/>
    </row>
    <row r="846" ht="15.75" customHeight="1">
      <c r="S846" s="95"/>
      <c r="X846" s="6"/>
    </row>
    <row r="847" ht="15.75" customHeight="1">
      <c r="S847" s="95"/>
      <c r="X847" s="6"/>
    </row>
    <row r="848" ht="15.75" customHeight="1">
      <c r="S848" s="95"/>
      <c r="X848" s="6"/>
    </row>
    <row r="849" ht="15.75" customHeight="1">
      <c r="S849" s="95"/>
      <c r="X849" s="6"/>
    </row>
    <row r="850" ht="15.75" customHeight="1">
      <c r="S850" s="95"/>
      <c r="X850" s="6"/>
    </row>
    <row r="851" ht="15.75" customHeight="1">
      <c r="S851" s="95"/>
      <c r="X851" s="6"/>
    </row>
    <row r="852" ht="15.75" customHeight="1">
      <c r="S852" s="95"/>
      <c r="X852" s="6"/>
    </row>
    <row r="853" ht="15.75" customHeight="1">
      <c r="S853" s="95"/>
      <c r="X853" s="6"/>
    </row>
    <row r="854" ht="15.75" customHeight="1">
      <c r="S854" s="95"/>
      <c r="X854" s="6"/>
    </row>
    <row r="855" ht="15.75" customHeight="1">
      <c r="S855" s="95"/>
      <c r="X855" s="6"/>
    </row>
    <row r="856" ht="15.75" customHeight="1">
      <c r="S856" s="95"/>
      <c r="X856" s="6"/>
    </row>
    <row r="857" ht="15.75" customHeight="1">
      <c r="S857" s="95"/>
      <c r="X857" s="6"/>
    </row>
    <row r="858" ht="15.75" customHeight="1">
      <c r="S858" s="95"/>
      <c r="X858" s="6"/>
    </row>
    <row r="859" ht="15.75" customHeight="1">
      <c r="S859" s="95"/>
      <c r="X859" s="6"/>
    </row>
    <row r="860" ht="15.75" customHeight="1">
      <c r="S860" s="95"/>
      <c r="X860" s="6"/>
    </row>
    <row r="861" ht="15.75" customHeight="1">
      <c r="S861" s="95"/>
      <c r="X861" s="6"/>
    </row>
    <row r="862" ht="15.75" customHeight="1">
      <c r="S862" s="95"/>
      <c r="X862" s="6"/>
    </row>
    <row r="863" ht="15.75" customHeight="1">
      <c r="S863" s="95"/>
      <c r="X863" s="6"/>
    </row>
    <row r="864" ht="15.75" customHeight="1">
      <c r="S864" s="95"/>
      <c r="X864" s="6"/>
    </row>
    <row r="865" ht="15.75" customHeight="1">
      <c r="S865" s="95"/>
      <c r="X865" s="6"/>
    </row>
    <row r="866" ht="15.75" customHeight="1">
      <c r="S866" s="95"/>
      <c r="X866" s="6"/>
    </row>
    <row r="867" ht="15.75" customHeight="1">
      <c r="S867" s="95"/>
      <c r="X867" s="6"/>
    </row>
    <row r="868" ht="15.75" customHeight="1">
      <c r="S868" s="95"/>
      <c r="X868" s="6"/>
    </row>
    <row r="869" ht="15.75" customHeight="1">
      <c r="S869" s="95"/>
      <c r="X869" s="6"/>
    </row>
    <row r="870" ht="15.75" customHeight="1">
      <c r="S870" s="95"/>
      <c r="X870" s="6"/>
    </row>
    <row r="871" ht="15.75" customHeight="1">
      <c r="S871" s="95"/>
      <c r="X871" s="6"/>
    </row>
    <row r="872" ht="15.75" customHeight="1">
      <c r="S872" s="95"/>
      <c r="X872" s="6"/>
    </row>
    <row r="873" ht="15.75" customHeight="1">
      <c r="S873" s="95"/>
      <c r="X873" s="6"/>
    </row>
    <row r="874" ht="15.75" customHeight="1">
      <c r="S874" s="95"/>
      <c r="X874" s="6"/>
    </row>
    <row r="875" ht="15.75" customHeight="1">
      <c r="S875" s="95"/>
      <c r="X875" s="6"/>
    </row>
    <row r="876" ht="15.75" customHeight="1">
      <c r="S876" s="95"/>
      <c r="X876" s="6"/>
    </row>
    <row r="877" ht="15.75" customHeight="1">
      <c r="S877" s="95"/>
      <c r="X877" s="6"/>
    </row>
    <row r="878" ht="15.75" customHeight="1">
      <c r="S878" s="95"/>
      <c r="X878" s="6"/>
    </row>
    <row r="879" ht="15.75" customHeight="1">
      <c r="S879" s="95"/>
      <c r="X879" s="6"/>
    </row>
    <row r="880" ht="15.75" customHeight="1">
      <c r="S880" s="95"/>
      <c r="X880" s="6"/>
    </row>
    <row r="881" ht="15.75" customHeight="1">
      <c r="S881" s="95"/>
      <c r="X881" s="6"/>
    </row>
    <row r="882" ht="15.75" customHeight="1">
      <c r="S882" s="95"/>
      <c r="X882" s="6"/>
    </row>
    <row r="883" ht="15.75" customHeight="1">
      <c r="S883" s="95"/>
      <c r="X883" s="6"/>
    </row>
    <row r="884" ht="15.75" customHeight="1">
      <c r="S884" s="95"/>
      <c r="X884" s="6"/>
    </row>
    <row r="885" ht="15.75" customHeight="1">
      <c r="S885" s="95"/>
      <c r="X885" s="6"/>
    </row>
    <row r="886" ht="15.75" customHeight="1">
      <c r="S886" s="95"/>
      <c r="X886" s="6"/>
    </row>
    <row r="887" ht="15.75" customHeight="1">
      <c r="S887" s="95"/>
      <c r="X887" s="6"/>
    </row>
    <row r="888" ht="15.75" customHeight="1">
      <c r="S888" s="95"/>
      <c r="X888" s="6"/>
    </row>
    <row r="889" ht="15.75" customHeight="1">
      <c r="S889" s="95"/>
      <c r="X889" s="6"/>
    </row>
    <row r="890" ht="15.75" customHeight="1">
      <c r="S890" s="95"/>
      <c r="X890" s="6"/>
    </row>
    <row r="891" ht="15.75" customHeight="1">
      <c r="S891" s="95"/>
      <c r="X891" s="6"/>
    </row>
    <row r="892" ht="15.75" customHeight="1">
      <c r="S892" s="95"/>
      <c r="X892" s="6"/>
    </row>
    <row r="893" ht="15.75" customHeight="1">
      <c r="S893" s="95"/>
      <c r="X893" s="6"/>
    </row>
    <row r="894" ht="15.75" customHeight="1">
      <c r="S894" s="95"/>
      <c r="X894" s="6"/>
    </row>
    <row r="895" ht="15.75" customHeight="1">
      <c r="S895" s="95"/>
      <c r="X895" s="6"/>
    </row>
    <row r="896" ht="15.75" customHeight="1">
      <c r="S896" s="95"/>
      <c r="X896" s="6"/>
    </row>
    <row r="897" ht="15.75" customHeight="1">
      <c r="S897" s="95"/>
      <c r="X897" s="6"/>
    </row>
    <row r="898" ht="15.75" customHeight="1">
      <c r="S898" s="95"/>
      <c r="X898" s="6"/>
    </row>
    <row r="899" ht="15.75" customHeight="1">
      <c r="S899" s="95"/>
      <c r="X899" s="6"/>
    </row>
    <row r="900" ht="15.75" customHeight="1">
      <c r="S900" s="95"/>
      <c r="X900" s="6"/>
    </row>
    <row r="901" ht="15.75" customHeight="1">
      <c r="S901" s="95"/>
      <c r="X901" s="6"/>
    </row>
    <row r="902" ht="15.75" customHeight="1">
      <c r="S902" s="95"/>
      <c r="X902" s="6"/>
    </row>
    <row r="903" ht="15.75" customHeight="1">
      <c r="S903" s="95"/>
      <c r="X903" s="6"/>
    </row>
    <row r="904" ht="15.75" customHeight="1">
      <c r="S904" s="95"/>
      <c r="X904" s="6"/>
    </row>
    <row r="905" ht="15.75" customHeight="1">
      <c r="S905" s="95"/>
      <c r="X905" s="6"/>
    </row>
    <row r="906" ht="15.75" customHeight="1">
      <c r="S906" s="95"/>
      <c r="X906" s="6"/>
    </row>
    <row r="907" ht="15.75" customHeight="1">
      <c r="S907" s="95"/>
      <c r="X907" s="6"/>
    </row>
    <row r="908" ht="15.75" customHeight="1">
      <c r="S908" s="95"/>
      <c r="X908" s="6"/>
    </row>
    <row r="909" ht="15.75" customHeight="1">
      <c r="S909" s="95"/>
      <c r="X909" s="6"/>
    </row>
    <row r="910" ht="15.75" customHeight="1">
      <c r="S910" s="95"/>
      <c r="X910" s="6"/>
    </row>
    <row r="911" ht="15.75" customHeight="1">
      <c r="S911" s="95"/>
      <c r="X911" s="6"/>
    </row>
    <row r="912" ht="15.75" customHeight="1">
      <c r="S912" s="95"/>
      <c r="X912" s="6"/>
    </row>
    <row r="913" ht="15.75" customHeight="1">
      <c r="S913" s="95"/>
      <c r="X913" s="6"/>
    </row>
    <row r="914" ht="15.75" customHeight="1">
      <c r="S914" s="95"/>
      <c r="X914" s="6"/>
    </row>
    <row r="915" ht="15.75" customHeight="1">
      <c r="S915" s="95"/>
      <c r="X915" s="6"/>
    </row>
    <row r="916" ht="15.75" customHeight="1">
      <c r="S916" s="95"/>
      <c r="X916" s="6"/>
    </row>
    <row r="917" ht="15.75" customHeight="1">
      <c r="S917" s="95"/>
      <c r="X917" s="6"/>
    </row>
    <row r="918" ht="15.75" customHeight="1">
      <c r="S918" s="95"/>
      <c r="X918" s="6"/>
    </row>
    <row r="919" ht="15.75" customHeight="1">
      <c r="S919" s="95"/>
      <c r="X919" s="6"/>
    </row>
    <row r="920" ht="15.75" customHeight="1">
      <c r="S920" s="95"/>
      <c r="X920" s="6"/>
    </row>
    <row r="921" ht="15.75" customHeight="1">
      <c r="S921" s="95"/>
      <c r="X921" s="6"/>
    </row>
    <row r="922" ht="15.75" customHeight="1">
      <c r="S922" s="95"/>
      <c r="X922" s="6"/>
    </row>
    <row r="923" ht="15.75" customHeight="1">
      <c r="S923" s="95"/>
      <c r="X923" s="6"/>
    </row>
    <row r="924" ht="15.75" customHeight="1">
      <c r="S924" s="95"/>
      <c r="X924" s="6"/>
    </row>
    <row r="925" ht="15.75" customHeight="1">
      <c r="S925" s="95"/>
      <c r="X925" s="6"/>
    </row>
    <row r="926" ht="15.75" customHeight="1">
      <c r="S926" s="95"/>
      <c r="X926" s="6"/>
    </row>
    <row r="927" ht="15.75" customHeight="1">
      <c r="S927" s="95"/>
      <c r="X927" s="6"/>
    </row>
    <row r="928" ht="15.75" customHeight="1">
      <c r="S928" s="95"/>
      <c r="X928" s="6"/>
    </row>
    <row r="929" ht="15.75" customHeight="1">
      <c r="S929" s="95"/>
      <c r="X929" s="6"/>
    </row>
    <row r="930" ht="15.75" customHeight="1">
      <c r="S930" s="95"/>
      <c r="X930" s="6"/>
    </row>
    <row r="931" ht="15.75" customHeight="1">
      <c r="S931" s="95"/>
      <c r="X931" s="6"/>
    </row>
    <row r="932" ht="15.75" customHeight="1">
      <c r="S932" s="95"/>
      <c r="X932" s="6"/>
    </row>
    <row r="933" ht="15.75" customHeight="1">
      <c r="S933" s="95"/>
      <c r="X933" s="6"/>
    </row>
    <row r="934" ht="15.75" customHeight="1">
      <c r="S934" s="95"/>
      <c r="X934" s="6"/>
    </row>
    <row r="935" ht="15.75" customHeight="1">
      <c r="S935" s="95"/>
      <c r="X935" s="6"/>
    </row>
    <row r="936" ht="15.75" customHeight="1">
      <c r="S936" s="95"/>
      <c r="X936" s="6"/>
    </row>
    <row r="937" ht="15.75" customHeight="1">
      <c r="S937" s="95"/>
      <c r="X937" s="6"/>
    </row>
    <row r="938" ht="15.75" customHeight="1">
      <c r="S938" s="95"/>
      <c r="X938" s="6"/>
    </row>
    <row r="939" ht="15.75" customHeight="1">
      <c r="S939" s="95"/>
      <c r="X939" s="6"/>
    </row>
    <row r="940" ht="15.75" customHeight="1">
      <c r="S940" s="95"/>
      <c r="X940" s="6"/>
    </row>
    <row r="941" ht="15.75" customHeight="1">
      <c r="S941" s="95"/>
      <c r="X941" s="6"/>
    </row>
    <row r="942" ht="15.75" customHeight="1">
      <c r="S942" s="95"/>
      <c r="X942" s="6"/>
    </row>
    <row r="943" ht="15.75" customHeight="1">
      <c r="S943" s="95"/>
      <c r="X943" s="6"/>
    </row>
    <row r="944" ht="15.75" customHeight="1">
      <c r="S944" s="95"/>
      <c r="X944" s="6"/>
    </row>
    <row r="945" ht="15.75" customHeight="1">
      <c r="S945" s="95"/>
      <c r="X945" s="6"/>
    </row>
    <row r="946" ht="15.75" customHeight="1">
      <c r="S946" s="95"/>
      <c r="X946" s="6"/>
    </row>
    <row r="947" ht="15.75" customHeight="1">
      <c r="S947" s="95"/>
      <c r="X947" s="6"/>
    </row>
    <row r="948" ht="15.75" customHeight="1">
      <c r="S948" s="95"/>
      <c r="X948" s="6"/>
    </row>
    <row r="949" ht="15.75" customHeight="1">
      <c r="S949" s="95"/>
      <c r="X949" s="6"/>
    </row>
    <row r="950" ht="15.75" customHeight="1">
      <c r="S950" s="95"/>
      <c r="X950" s="6"/>
    </row>
    <row r="951" ht="15.75" customHeight="1">
      <c r="S951" s="95"/>
      <c r="X951" s="6"/>
    </row>
    <row r="952" ht="15.75" customHeight="1">
      <c r="S952" s="95"/>
      <c r="X952" s="6"/>
    </row>
    <row r="953" ht="15.75" customHeight="1">
      <c r="S953" s="95"/>
      <c r="X953" s="6"/>
    </row>
    <row r="954" ht="15.75" customHeight="1">
      <c r="S954" s="95"/>
      <c r="X954" s="6"/>
    </row>
    <row r="955" ht="15.75" customHeight="1">
      <c r="S955" s="95"/>
      <c r="X955" s="6"/>
    </row>
    <row r="956" ht="15.75" customHeight="1">
      <c r="S956" s="95"/>
      <c r="X956" s="6"/>
    </row>
    <row r="957" ht="15.75" customHeight="1">
      <c r="S957" s="95"/>
      <c r="X957" s="6"/>
    </row>
    <row r="958" ht="15.75" customHeight="1">
      <c r="S958" s="95"/>
      <c r="X958" s="6"/>
    </row>
    <row r="959" ht="15.75" customHeight="1">
      <c r="S959" s="95"/>
      <c r="X959" s="6"/>
    </row>
    <row r="960" ht="15.75" customHeight="1">
      <c r="S960" s="95"/>
      <c r="X960" s="6"/>
    </row>
    <row r="961" ht="15.75" customHeight="1">
      <c r="S961" s="95"/>
      <c r="X961" s="6"/>
    </row>
    <row r="962" ht="15.75" customHeight="1">
      <c r="S962" s="95"/>
      <c r="X962" s="6"/>
    </row>
    <row r="963" ht="15.75" customHeight="1">
      <c r="S963" s="95"/>
      <c r="X963" s="6"/>
    </row>
    <row r="964" ht="15.75" customHeight="1">
      <c r="S964" s="95"/>
      <c r="X964" s="6"/>
    </row>
    <row r="965" ht="15.75" customHeight="1">
      <c r="S965" s="95"/>
      <c r="X965" s="6"/>
    </row>
    <row r="966" ht="15.75" customHeight="1">
      <c r="S966" s="95"/>
      <c r="X966" s="6"/>
    </row>
    <row r="967" ht="15.75" customHeight="1">
      <c r="S967" s="95"/>
      <c r="X967" s="6"/>
    </row>
    <row r="968" ht="15.75" customHeight="1">
      <c r="S968" s="95"/>
      <c r="X968" s="6"/>
    </row>
    <row r="969" ht="15.75" customHeight="1">
      <c r="S969" s="95"/>
      <c r="X969" s="6"/>
    </row>
    <row r="970" ht="15.75" customHeight="1">
      <c r="S970" s="95"/>
      <c r="X970" s="6"/>
    </row>
    <row r="971" ht="15.75" customHeight="1">
      <c r="S971" s="95"/>
      <c r="X971" s="6"/>
    </row>
    <row r="972" ht="15.75" customHeight="1">
      <c r="S972" s="95"/>
      <c r="X972" s="6"/>
    </row>
    <row r="973" ht="15.75" customHeight="1">
      <c r="S973" s="95"/>
      <c r="X973" s="6"/>
    </row>
    <row r="974" ht="15.75" customHeight="1">
      <c r="S974" s="95"/>
      <c r="X974" s="6"/>
    </row>
    <row r="975" ht="15.75" customHeight="1">
      <c r="S975" s="95"/>
      <c r="X975" s="6"/>
    </row>
    <row r="976" ht="15.75" customHeight="1">
      <c r="S976" s="95"/>
      <c r="X976" s="6"/>
    </row>
    <row r="977" ht="15.75" customHeight="1">
      <c r="S977" s="95"/>
      <c r="X977" s="6"/>
    </row>
    <row r="978" ht="15.75" customHeight="1">
      <c r="S978" s="95"/>
      <c r="X978" s="6"/>
    </row>
    <row r="979" ht="15.75" customHeight="1">
      <c r="S979" s="95"/>
      <c r="X979" s="6"/>
    </row>
    <row r="980" ht="15.75" customHeight="1">
      <c r="S980" s="95"/>
      <c r="X980" s="6"/>
    </row>
    <row r="981" ht="15.75" customHeight="1">
      <c r="S981" s="95"/>
      <c r="X981" s="6"/>
    </row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N1:P1"/>
    <mergeCell ref="Q1:W1"/>
    <mergeCell ref="B2:M2"/>
    <mergeCell ref="N2:P2"/>
    <mergeCell ref="Q2:T2"/>
    <mergeCell ref="U2:W2"/>
  </mergeCells>
  <printOptions horizontalCentered="1"/>
  <pageMargins bottom="0.75" footer="0.0" header="0.0" left="0.25" right="0.25" top="0.75"/>
  <pageSetup orientation="landscape"/>
  <headerFooter>
    <oddFooter>&amp;L(1) AEG/React shows&amp;R&amp;P of 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