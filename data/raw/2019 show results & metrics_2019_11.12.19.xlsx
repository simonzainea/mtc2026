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tt\Desktop\PSM\AEG\"/>
    </mc:Choice>
  </mc:AlternateContent>
  <xr:revisionPtr revIDLastSave="0" documentId="8_{B04B90DE-AC89-41E1-9C97-A08447A86CEE}" xr6:coauthVersionLast="45" xr6:coauthVersionMax="45" xr10:uidLastSave="{00000000-0000-0000-0000-000000000000}"/>
  <bookViews>
    <workbookView xWindow="-19308" yWindow="-108" windowWidth="19416" windowHeight="11016" xr2:uid="{C6AD5BD2-99DA-45D6-AC8B-8B52D47F5DD5}"/>
  </bookViews>
  <sheets>
    <sheet name="Theatre" sheetId="1" r:id="rId1"/>
    <sheet name="Magic Stick" sheetId="2" r:id="rId2"/>
    <sheet name="Magic Stick-by Promoter" sheetId="3" r:id="rId3"/>
  </sheets>
  <definedNames>
    <definedName name="_xlnm.Print_Area" localSheetId="1">'Magic Stick'!$A$1:$N$79</definedName>
    <definedName name="_xlnm.Print_Area" localSheetId="0">Theatre!$A$1:$V$83</definedName>
    <definedName name="_xlnm.Print_Titles" localSheetId="0">Theatre!$1:$3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12" i="3"/>
  <c r="E13" i="3"/>
  <c r="E14" i="3"/>
  <c r="E7" i="3"/>
  <c r="E4" i="3" s="1"/>
  <c r="O10" i="3"/>
  <c r="S10" i="3" s="1"/>
  <c r="M10" i="3"/>
  <c r="N10" i="3" s="1"/>
  <c r="K10" i="3"/>
  <c r="I10" i="3"/>
  <c r="G10" i="3"/>
  <c r="F10" i="3"/>
  <c r="H10" i="3" s="1"/>
  <c r="D10" i="3"/>
  <c r="J10" i="3" l="1"/>
  <c r="L10" i="3"/>
  <c r="P10" i="3"/>
  <c r="Q10" i="3"/>
  <c r="T10" i="3" l="1"/>
  <c r="U10" i="3" s="1"/>
  <c r="O8" i="3" l="1"/>
  <c r="S8" i="3" s="1"/>
  <c r="O12" i="3"/>
  <c r="S12" i="3" s="1"/>
  <c r="O9" i="3"/>
  <c r="S9" i="3" s="1"/>
  <c r="O7" i="3"/>
  <c r="S7" i="3" s="1"/>
  <c r="O11" i="3"/>
  <c r="S11" i="3" s="1"/>
  <c r="O13" i="3"/>
  <c r="S13" i="3" s="1"/>
  <c r="O14" i="3"/>
  <c r="S14" i="3" s="1"/>
  <c r="M8" i="3"/>
  <c r="M12" i="3"/>
  <c r="M9" i="3"/>
  <c r="M7" i="3"/>
  <c r="M11" i="3"/>
  <c r="M14" i="3"/>
  <c r="K8" i="3"/>
  <c r="P8" i="3" s="1"/>
  <c r="T8" i="3" s="1"/>
  <c r="K12" i="3"/>
  <c r="P12" i="3" s="1"/>
  <c r="T12" i="3" s="1"/>
  <c r="K9" i="3"/>
  <c r="K7" i="3"/>
  <c r="K11" i="3"/>
  <c r="P11" i="3" s="1"/>
  <c r="T11" i="3" s="1"/>
  <c r="K13" i="3"/>
  <c r="P13" i="3" s="1"/>
  <c r="T13" i="3" s="1"/>
  <c r="K14" i="3"/>
  <c r="I8" i="3"/>
  <c r="I12" i="3"/>
  <c r="I9" i="3"/>
  <c r="I7" i="3"/>
  <c r="I11" i="3"/>
  <c r="I14" i="3"/>
  <c r="G8" i="3"/>
  <c r="G12" i="3"/>
  <c r="G9" i="3"/>
  <c r="G7" i="3"/>
  <c r="G11" i="3"/>
  <c r="G14" i="3"/>
  <c r="F8" i="3"/>
  <c r="F12" i="3"/>
  <c r="F9" i="3"/>
  <c r="F7" i="3"/>
  <c r="F11" i="3"/>
  <c r="F14" i="3"/>
  <c r="D8" i="3"/>
  <c r="D12" i="3"/>
  <c r="D9" i="3"/>
  <c r="D7" i="3"/>
  <c r="D4" i="3" s="1"/>
  <c r="D11" i="3"/>
  <c r="D14" i="3"/>
  <c r="I20" i="2"/>
  <c r="I21" i="2"/>
  <c r="O5" i="2"/>
  <c r="P7" i="3"/>
  <c r="T7" i="3" s="1"/>
  <c r="K4" i="3" l="1"/>
  <c r="K5" i="3" s="1"/>
  <c r="Q13" i="3"/>
  <c r="M4" i="3"/>
  <c r="J11" i="3"/>
  <c r="J12" i="3"/>
  <c r="N7" i="3"/>
  <c r="N11" i="3"/>
  <c r="H14" i="3"/>
  <c r="Q7" i="3"/>
  <c r="N14" i="3"/>
  <c r="N9" i="3"/>
  <c r="N12" i="3"/>
  <c r="H9" i="3"/>
  <c r="J8" i="3"/>
  <c r="L11" i="3"/>
  <c r="L14" i="3"/>
  <c r="L9" i="3"/>
  <c r="Q11" i="3"/>
  <c r="Q12" i="3"/>
  <c r="L12" i="3"/>
  <c r="N8" i="3"/>
  <c r="L7" i="3"/>
  <c r="H11" i="3"/>
  <c r="H12" i="3"/>
  <c r="Q8" i="3"/>
  <c r="L8" i="3"/>
  <c r="J7" i="3"/>
  <c r="P14" i="3"/>
  <c r="T14" i="3" s="1"/>
  <c r="P9" i="3"/>
  <c r="T9" i="3" s="1"/>
  <c r="G4" i="3"/>
  <c r="H8" i="3"/>
  <c r="J14" i="3"/>
  <c r="J9" i="3"/>
  <c r="H7" i="3"/>
  <c r="O4" i="3"/>
  <c r="I4" i="3"/>
  <c r="F4" i="3"/>
  <c r="I17" i="2"/>
  <c r="N7" i="1"/>
  <c r="O7" i="1"/>
  <c r="P7" i="1" s="1"/>
  <c r="N8" i="1"/>
  <c r="O8" i="1"/>
  <c r="N9" i="1"/>
  <c r="O9" i="1"/>
  <c r="P9" i="1" s="1"/>
  <c r="N10" i="1"/>
  <c r="O10" i="1"/>
  <c r="N11" i="1"/>
  <c r="O11" i="1"/>
  <c r="P11" i="1" s="1"/>
  <c r="N12" i="1"/>
  <c r="O12" i="1"/>
  <c r="N13" i="1"/>
  <c r="O13" i="1"/>
  <c r="P13" i="1" s="1"/>
  <c r="N14" i="1"/>
  <c r="O14" i="1"/>
  <c r="N15" i="1"/>
  <c r="O15" i="1"/>
  <c r="P15" i="1" s="1"/>
  <c r="N16" i="1"/>
  <c r="O16" i="1"/>
  <c r="N17" i="1"/>
  <c r="O17" i="1"/>
  <c r="P17" i="1" s="1"/>
  <c r="N18" i="1"/>
  <c r="O18" i="1"/>
  <c r="N19" i="1"/>
  <c r="O19" i="1"/>
  <c r="P19" i="1" s="1"/>
  <c r="N20" i="1"/>
  <c r="O20" i="1"/>
  <c r="N21" i="1"/>
  <c r="O21" i="1"/>
  <c r="P21" i="1" s="1"/>
  <c r="N22" i="1"/>
  <c r="O22" i="1"/>
  <c r="N23" i="1"/>
  <c r="O23" i="1"/>
  <c r="P23" i="1" s="1"/>
  <c r="N24" i="1"/>
  <c r="O24" i="1"/>
  <c r="N25" i="1"/>
  <c r="O25" i="1"/>
  <c r="P25" i="1" s="1"/>
  <c r="N26" i="1"/>
  <c r="O26" i="1"/>
  <c r="N27" i="1"/>
  <c r="O27" i="1"/>
  <c r="P27" i="1" s="1"/>
  <c r="N28" i="1"/>
  <c r="O28" i="1"/>
  <c r="N29" i="1"/>
  <c r="O29" i="1"/>
  <c r="P29" i="1" s="1"/>
  <c r="N30" i="1"/>
  <c r="O30" i="1"/>
  <c r="N31" i="1"/>
  <c r="O31" i="1"/>
  <c r="P31" i="1" s="1"/>
  <c r="N32" i="1"/>
  <c r="O32" i="1"/>
  <c r="N33" i="1"/>
  <c r="O33" i="1"/>
  <c r="P33" i="1" s="1"/>
  <c r="N34" i="1"/>
  <c r="O34" i="1"/>
  <c r="N35" i="1"/>
  <c r="O35" i="1"/>
  <c r="P35" i="1" s="1"/>
  <c r="N36" i="1"/>
  <c r="O36" i="1"/>
  <c r="N37" i="1"/>
  <c r="O37" i="1"/>
  <c r="P37" i="1" s="1"/>
  <c r="N38" i="1"/>
  <c r="O38" i="1"/>
  <c r="N39" i="1"/>
  <c r="O39" i="1"/>
  <c r="P39" i="1" s="1"/>
  <c r="N40" i="1"/>
  <c r="O40" i="1"/>
  <c r="N41" i="1"/>
  <c r="O41" i="1"/>
  <c r="P41" i="1" s="1"/>
  <c r="N42" i="1"/>
  <c r="O42" i="1"/>
  <c r="N43" i="1"/>
  <c r="O43" i="1"/>
  <c r="P43" i="1" s="1"/>
  <c r="N44" i="1"/>
  <c r="O44" i="1"/>
  <c r="N45" i="1"/>
  <c r="O45" i="1"/>
  <c r="P45" i="1" s="1"/>
  <c r="N46" i="1"/>
  <c r="O46" i="1"/>
  <c r="N47" i="1"/>
  <c r="O47" i="1"/>
  <c r="P47" i="1" s="1"/>
  <c r="N48" i="1"/>
  <c r="O48" i="1"/>
  <c r="N49" i="1"/>
  <c r="O49" i="1"/>
  <c r="P49" i="1" s="1"/>
  <c r="N50" i="1"/>
  <c r="O50" i="1"/>
  <c r="N51" i="1"/>
  <c r="O51" i="1"/>
  <c r="P51" i="1" s="1"/>
  <c r="N52" i="1"/>
  <c r="O52" i="1"/>
  <c r="N53" i="1"/>
  <c r="O53" i="1"/>
  <c r="P53" i="1" s="1"/>
  <c r="N54" i="1"/>
  <c r="O54" i="1"/>
  <c r="N55" i="1"/>
  <c r="P55" i="1" s="1"/>
  <c r="O55" i="1"/>
  <c r="N56" i="1"/>
  <c r="O56" i="1"/>
  <c r="N57" i="1"/>
  <c r="O57" i="1"/>
  <c r="P57" i="1" s="1"/>
  <c r="N58" i="1"/>
  <c r="O58" i="1"/>
  <c r="N59" i="1"/>
  <c r="P59" i="1" s="1"/>
  <c r="O59" i="1"/>
  <c r="N60" i="1"/>
  <c r="O60" i="1"/>
  <c r="N61" i="1"/>
  <c r="O61" i="1"/>
  <c r="P61" i="1" s="1"/>
  <c r="N62" i="1"/>
  <c r="O62" i="1"/>
  <c r="N63" i="1"/>
  <c r="P63" i="1" s="1"/>
  <c r="O63" i="1"/>
  <c r="N64" i="1"/>
  <c r="O64" i="1"/>
  <c r="N65" i="1"/>
  <c r="O65" i="1"/>
  <c r="P65" i="1" s="1"/>
  <c r="N66" i="1"/>
  <c r="O66" i="1"/>
  <c r="N67" i="1"/>
  <c r="P67" i="1" s="1"/>
  <c r="O67" i="1"/>
  <c r="N68" i="1"/>
  <c r="O68" i="1"/>
  <c r="N70" i="1"/>
  <c r="O70" i="1"/>
  <c r="N71" i="1"/>
  <c r="O71" i="1"/>
  <c r="N72" i="1"/>
  <c r="O72" i="1"/>
  <c r="P72" i="1" s="1"/>
  <c r="N73" i="1"/>
  <c r="O73" i="1"/>
  <c r="N74" i="1"/>
  <c r="O74" i="1"/>
  <c r="N75" i="1"/>
  <c r="P75" i="1" s="1"/>
  <c r="O75" i="1"/>
  <c r="N76" i="1"/>
  <c r="O76" i="1"/>
  <c r="P76" i="1" s="1"/>
  <c r="N77" i="1"/>
  <c r="O77" i="1"/>
  <c r="N78" i="1"/>
  <c r="O78" i="1"/>
  <c r="N79" i="1"/>
  <c r="P79" i="1" s="1"/>
  <c r="O79" i="1"/>
  <c r="N80" i="1"/>
  <c r="O80" i="1"/>
  <c r="P80" i="1" s="1"/>
  <c r="N81" i="1"/>
  <c r="O81" i="1"/>
  <c r="N82" i="1"/>
  <c r="O82" i="1"/>
  <c r="N83" i="1"/>
  <c r="P83" i="1" s="1"/>
  <c r="O83" i="1"/>
  <c r="N84" i="1"/>
  <c r="O84" i="1"/>
  <c r="P84" i="1" s="1"/>
  <c r="N85" i="1"/>
  <c r="O85" i="1"/>
  <c r="N86" i="1"/>
  <c r="O86" i="1"/>
  <c r="N87" i="1"/>
  <c r="P87" i="1" s="1"/>
  <c r="O87" i="1"/>
  <c r="N88" i="1"/>
  <c r="O88" i="1"/>
  <c r="P88" i="1" s="1"/>
  <c r="N89" i="1"/>
  <c r="O89" i="1"/>
  <c r="P69" i="1"/>
  <c r="O69" i="1"/>
  <c r="N69" i="1"/>
  <c r="P89" i="1"/>
  <c r="P86" i="1"/>
  <c r="P85" i="1"/>
  <c r="P82" i="1"/>
  <c r="P81" i="1"/>
  <c r="P78" i="1"/>
  <c r="P77" i="1"/>
  <c r="P74" i="1"/>
  <c r="P73" i="1"/>
  <c r="P70" i="1"/>
  <c r="P68" i="1"/>
  <c r="P66" i="1"/>
  <c r="P64" i="1"/>
  <c r="P62" i="1"/>
  <c r="P60" i="1"/>
  <c r="P58" i="1"/>
  <c r="P56" i="1"/>
  <c r="P54" i="1"/>
  <c r="P52" i="1"/>
  <c r="P50" i="1"/>
  <c r="P48" i="1"/>
  <c r="P46" i="1"/>
  <c r="P44" i="1"/>
  <c r="P42" i="1"/>
  <c r="P40" i="1"/>
  <c r="P38" i="1"/>
  <c r="P36" i="1"/>
  <c r="P34" i="1"/>
  <c r="P32" i="1"/>
  <c r="P30" i="1"/>
  <c r="P28" i="1"/>
  <c r="P26" i="1"/>
  <c r="P24" i="1"/>
  <c r="P22" i="1"/>
  <c r="P20" i="1"/>
  <c r="P18" i="1"/>
  <c r="P16" i="1"/>
  <c r="P14" i="1"/>
  <c r="P12" i="1"/>
  <c r="P10" i="1"/>
  <c r="P8" i="1"/>
  <c r="O7" i="2"/>
  <c r="Q7" i="2" s="1"/>
  <c r="P7" i="2"/>
  <c r="O8" i="2"/>
  <c r="P8" i="2"/>
  <c r="O9" i="2"/>
  <c r="P9" i="2"/>
  <c r="Q9" i="2" s="1"/>
  <c r="O10" i="2"/>
  <c r="P10" i="2"/>
  <c r="O11" i="2"/>
  <c r="Q11" i="2" s="1"/>
  <c r="P11" i="2"/>
  <c r="O12" i="2"/>
  <c r="P12" i="2"/>
  <c r="O13" i="2"/>
  <c r="P13" i="2"/>
  <c r="Q13" i="2" s="1"/>
  <c r="O14" i="2"/>
  <c r="P14" i="2"/>
  <c r="O15" i="2"/>
  <c r="Q15" i="2" s="1"/>
  <c r="P15" i="2"/>
  <c r="O16" i="2"/>
  <c r="P16" i="2"/>
  <c r="O17" i="2"/>
  <c r="P17" i="2"/>
  <c r="Q17" i="2" s="1"/>
  <c r="O18" i="2"/>
  <c r="P18" i="2"/>
  <c r="O19" i="2"/>
  <c r="Q19" i="2" s="1"/>
  <c r="P19" i="2"/>
  <c r="O20" i="2"/>
  <c r="P20" i="2"/>
  <c r="O21" i="2"/>
  <c r="P21" i="2"/>
  <c r="Q21" i="2" s="1"/>
  <c r="O22" i="2"/>
  <c r="P22" i="2"/>
  <c r="O23" i="2"/>
  <c r="Q23" i="2" s="1"/>
  <c r="P23" i="2"/>
  <c r="O24" i="2"/>
  <c r="P24" i="2"/>
  <c r="O25" i="2"/>
  <c r="P25" i="2"/>
  <c r="Q25" i="2" s="1"/>
  <c r="O26" i="2"/>
  <c r="P26" i="2"/>
  <c r="O27" i="2"/>
  <c r="Q27" i="2" s="1"/>
  <c r="P27" i="2"/>
  <c r="O28" i="2"/>
  <c r="P28" i="2"/>
  <c r="O29" i="2"/>
  <c r="P29" i="2"/>
  <c r="Q29" i="2" s="1"/>
  <c r="O30" i="2"/>
  <c r="P30" i="2"/>
  <c r="O31" i="2"/>
  <c r="Q31" i="2" s="1"/>
  <c r="P31" i="2"/>
  <c r="O32" i="2"/>
  <c r="P32" i="2"/>
  <c r="O33" i="2"/>
  <c r="P33" i="2"/>
  <c r="Q33" i="2" s="1"/>
  <c r="O34" i="2"/>
  <c r="P34" i="2"/>
  <c r="O35" i="2"/>
  <c r="Q35" i="2" s="1"/>
  <c r="P35" i="2"/>
  <c r="O36" i="2"/>
  <c r="P36" i="2"/>
  <c r="O37" i="2"/>
  <c r="P37" i="2"/>
  <c r="Q37" i="2" s="1"/>
  <c r="O39" i="2"/>
  <c r="P39" i="2"/>
  <c r="Q39" i="2" s="1"/>
  <c r="O40" i="2"/>
  <c r="P40" i="2"/>
  <c r="O41" i="2"/>
  <c r="P41" i="2"/>
  <c r="O42" i="2"/>
  <c r="Q42" i="2" s="1"/>
  <c r="P42" i="2"/>
  <c r="O43" i="2"/>
  <c r="P43" i="2"/>
  <c r="Q43" i="2" s="1"/>
  <c r="O44" i="2"/>
  <c r="P44" i="2"/>
  <c r="O45" i="2"/>
  <c r="P45" i="2"/>
  <c r="O46" i="2"/>
  <c r="Q46" i="2" s="1"/>
  <c r="P46" i="2"/>
  <c r="O47" i="2"/>
  <c r="P47" i="2"/>
  <c r="Q47" i="2" s="1"/>
  <c r="O48" i="2"/>
  <c r="P48" i="2"/>
  <c r="O49" i="2"/>
  <c r="P49" i="2"/>
  <c r="O50" i="2"/>
  <c r="Q50" i="2" s="1"/>
  <c r="P50" i="2"/>
  <c r="O51" i="2"/>
  <c r="P51" i="2"/>
  <c r="Q51" i="2" s="1"/>
  <c r="O52" i="2"/>
  <c r="P52" i="2"/>
  <c r="O53" i="2"/>
  <c r="P53" i="2"/>
  <c r="O54" i="2"/>
  <c r="Q54" i="2" s="1"/>
  <c r="P54" i="2"/>
  <c r="O55" i="2"/>
  <c r="P55" i="2"/>
  <c r="Q55" i="2" s="1"/>
  <c r="O56" i="2"/>
  <c r="P56" i="2"/>
  <c r="O57" i="2"/>
  <c r="P57" i="2"/>
  <c r="O58" i="2"/>
  <c r="Q58" i="2" s="1"/>
  <c r="P58" i="2"/>
  <c r="O59" i="2"/>
  <c r="P59" i="2"/>
  <c r="Q59" i="2" s="1"/>
  <c r="O60" i="2"/>
  <c r="P60" i="2"/>
  <c r="O61" i="2"/>
  <c r="P61" i="2"/>
  <c r="O62" i="2"/>
  <c r="Q62" i="2" s="1"/>
  <c r="P62" i="2"/>
  <c r="O63" i="2"/>
  <c r="P63" i="2"/>
  <c r="Q63" i="2" s="1"/>
  <c r="O64" i="2"/>
  <c r="P38" i="2"/>
  <c r="Q38" i="2" s="1"/>
  <c r="O38" i="2"/>
  <c r="Q61" i="2"/>
  <c r="Q60" i="2"/>
  <c r="Q57" i="2"/>
  <c r="Q56" i="2"/>
  <c r="Q53" i="2"/>
  <c r="Q52" i="2"/>
  <c r="Q49" i="2"/>
  <c r="Q48" i="2"/>
  <c r="Q45" i="2"/>
  <c r="Q44" i="2"/>
  <c r="Q41" i="2"/>
  <c r="Q40" i="2"/>
  <c r="Q36" i="2"/>
  <c r="Q34" i="2"/>
  <c r="Q32" i="2"/>
  <c r="Q30" i="2"/>
  <c r="Q28" i="2"/>
  <c r="Q26" i="2"/>
  <c r="Q24" i="2"/>
  <c r="Q22" i="2"/>
  <c r="Q20" i="2"/>
  <c r="Q18" i="2"/>
  <c r="Q16" i="2"/>
  <c r="Q14" i="2"/>
  <c r="Q12" i="2"/>
  <c r="Q10" i="2"/>
  <c r="Q8" i="2"/>
  <c r="I67" i="2"/>
  <c r="O5" i="3" l="1"/>
  <c r="U7" i="3"/>
  <c r="U13" i="3"/>
  <c r="G5" i="3"/>
  <c r="I5" i="3"/>
  <c r="H5" i="3"/>
  <c r="L5" i="3"/>
  <c r="U12" i="3"/>
  <c r="U8" i="3"/>
  <c r="U11" i="3"/>
  <c r="Q9" i="3"/>
  <c r="U9" i="3"/>
  <c r="Q14" i="3"/>
  <c r="N4" i="3"/>
  <c r="M5" i="3"/>
  <c r="F5" i="3"/>
  <c r="P4" i="3"/>
  <c r="P5" i="3" s="1"/>
  <c r="N5" i="3"/>
  <c r="J5" i="3"/>
  <c r="N4" i="1"/>
  <c r="N5" i="1" s="1"/>
  <c r="P71" i="1"/>
  <c r="P4" i="1"/>
  <c r="P5" i="1" s="1"/>
  <c r="O4" i="1"/>
  <c r="O5" i="1" s="1"/>
  <c r="U14" i="3" l="1"/>
  <c r="I65" i="2"/>
  <c r="AA64" i="2" l="1"/>
  <c r="I64" i="2" s="1"/>
  <c r="I62" i="2" l="1"/>
  <c r="I57" i="2" l="1"/>
  <c r="I56" i="2" l="1"/>
  <c r="I52" i="2" l="1"/>
  <c r="I51" i="2" l="1"/>
  <c r="I49" i="2" l="1"/>
  <c r="AA47" i="2" l="1"/>
  <c r="I47" i="2" s="1"/>
  <c r="I46" i="2" l="1"/>
  <c r="I44" i="2" l="1"/>
  <c r="I41" i="2" l="1"/>
  <c r="I40" i="2" l="1"/>
  <c r="L37" i="2" l="1"/>
  <c r="L36" i="2"/>
  <c r="L35" i="2"/>
  <c r="V37" i="2" l="1"/>
  <c r="S37" i="2"/>
  <c r="R37" i="2"/>
  <c r="U37" i="2" s="1"/>
  <c r="W37" i="2" s="1"/>
  <c r="V36" i="2"/>
  <c r="U36" i="2"/>
  <c r="W36" i="2" s="1"/>
  <c r="T36" i="2"/>
  <c r="S36" i="2"/>
  <c r="R36" i="2"/>
  <c r="V35" i="2"/>
  <c r="S35" i="2"/>
  <c r="R35" i="2"/>
  <c r="U35" i="2" s="1"/>
  <c r="W35" i="2" s="1"/>
  <c r="V34" i="2"/>
  <c r="U34" i="2"/>
  <c r="S34" i="2"/>
  <c r="T34" i="2" s="1"/>
  <c r="R34" i="2"/>
  <c r="W34" i="2" l="1"/>
  <c r="T37" i="2"/>
  <c r="T35" i="2"/>
  <c r="L39" i="2" l="1"/>
  <c r="AA39" i="2"/>
  <c r="R61" i="2" l="1"/>
  <c r="U61" i="2" s="1"/>
  <c r="M66" i="2" l="1"/>
  <c r="V67" i="2" l="1"/>
  <c r="S67" i="2"/>
  <c r="P67" i="2" s="1"/>
  <c r="R67" i="2"/>
  <c r="U67" i="2" s="1"/>
  <c r="V66" i="2"/>
  <c r="S66" i="2"/>
  <c r="P66" i="2" s="1"/>
  <c r="R66" i="2"/>
  <c r="U66" i="2" s="1"/>
  <c r="V65" i="2"/>
  <c r="S65" i="2"/>
  <c r="R65" i="2"/>
  <c r="U65" i="2" s="1"/>
  <c r="O65" i="2" s="1"/>
  <c r="V64" i="2"/>
  <c r="S64" i="2"/>
  <c r="P64" i="2" s="1"/>
  <c r="R64" i="2"/>
  <c r="V63" i="2"/>
  <c r="S63" i="2"/>
  <c r="R63" i="2"/>
  <c r="U63" i="2" s="1"/>
  <c r="V62" i="2"/>
  <c r="S62" i="2"/>
  <c r="R62" i="2"/>
  <c r="V61" i="2"/>
  <c r="S61" i="2"/>
  <c r="V60" i="2"/>
  <c r="S60" i="2"/>
  <c r="R60" i="2"/>
  <c r="U60" i="2" s="1"/>
  <c r="W60" i="2" s="1"/>
  <c r="V59" i="2"/>
  <c r="S59" i="2"/>
  <c r="R59" i="2"/>
  <c r="U59" i="2" s="1"/>
  <c r="V58" i="2"/>
  <c r="S58" i="2"/>
  <c r="R58" i="2"/>
  <c r="T58" i="2" s="1"/>
  <c r="V57" i="2"/>
  <c r="S57" i="2"/>
  <c r="R57" i="2"/>
  <c r="U57" i="2" s="1"/>
  <c r="W57" i="2" s="1"/>
  <c r="V56" i="2"/>
  <c r="S56" i="2"/>
  <c r="R56" i="2"/>
  <c r="V55" i="2"/>
  <c r="S55" i="2"/>
  <c r="R55" i="2"/>
  <c r="U55" i="2" s="1"/>
  <c r="V54" i="2"/>
  <c r="S54" i="2"/>
  <c r="R54" i="2"/>
  <c r="U54" i="2" s="1"/>
  <c r="V53" i="2"/>
  <c r="S53" i="2"/>
  <c r="R53" i="2"/>
  <c r="U53" i="2" s="1"/>
  <c r="W53" i="2" s="1"/>
  <c r="V52" i="2"/>
  <c r="S52" i="2"/>
  <c r="R52" i="2"/>
  <c r="V51" i="2"/>
  <c r="S51" i="2"/>
  <c r="R51" i="2"/>
  <c r="U51" i="2" s="1"/>
  <c r="V50" i="2"/>
  <c r="S50" i="2"/>
  <c r="R50" i="2"/>
  <c r="T50" i="2" s="1"/>
  <c r="V49" i="2"/>
  <c r="S49" i="2"/>
  <c r="R49" i="2"/>
  <c r="U49" i="2" s="1"/>
  <c r="V48" i="2"/>
  <c r="S48" i="2"/>
  <c r="R48" i="2"/>
  <c r="V47" i="2"/>
  <c r="S47" i="2"/>
  <c r="T47" i="2" s="1"/>
  <c r="R47" i="2"/>
  <c r="U47" i="2" s="1"/>
  <c r="V46" i="2"/>
  <c r="S46" i="2"/>
  <c r="R46" i="2"/>
  <c r="T46" i="2" s="1"/>
  <c r="V45" i="2"/>
  <c r="S45" i="2"/>
  <c r="R45" i="2"/>
  <c r="U45" i="2" s="1"/>
  <c r="V44" i="2"/>
  <c r="S44" i="2"/>
  <c r="R44" i="2"/>
  <c r="V43" i="2"/>
  <c r="S43" i="2"/>
  <c r="T43" i="2" s="1"/>
  <c r="R43" i="2"/>
  <c r="U43" i="2" s="1"/>
  <c r="W43" i="2" s="1"/>
  <c r="V42" i="2"/>
  <c r="S42" i="2"/>
  <c r="R42" i="2"/>
  <c r="T42" i="2" s="1"/>
  <c r="V41" i="2"/>
  <c r="S41" i="2"/>
  <c r="R41" i="2"/>
  <c r="U41" i="2" s="1"/>
  <c r="V40" i="2"/>
  <c r="S40" i="2"/>
  <c r="R40" i="2"/>
  <c r="V39" i="2"/>
  <c r="S39" i="2"/>
  <c r="R39" i="2"/>
  <c r="U39" i="2" s="1"/>
  <c r="W39" i="2" s="1"/>
  <c r="M63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8" i="2"/>
  <c r="L34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W66" i="2" l="1"/>
  <c r="O66" i="2"/>
  <c r="O4" i="2" s="1"/>
  <c r="W67" i="2"/>
  <c r="O67" i="2"/>
  <c r="Q67" i="2" s="1"/>
  <c r="Q64" i="2"/>
  <c r="P4" i="2"/>
  <c r="P5" i="2" s="1"/>
  <c r="T64" i="2"/>
  <c r="P65" i="2"/>
  <c r="Q65" i="2" s="1"/>
  <c r="T67" i="2"/>
  <c r="W65" i="2"/>
  <c r="T65" i="2"/>
  <c r="U64" i="2"/>
  <c r="W64" i="2" s="1"/>
  <c r="T62" i="2"/>
  <c r="U62" i="2"/>
  <c r="W62" i="2" s="1"/>
  <c r="T57" i="2"/>
  <c r="T56" i="2"/>
  <c r="U56" i="2"/>
  <c r="W56" i="2" s="1"/>
  <c r="W55" i="2"/>
  <c r="T55" i="2"/>
  <c r="W54" i="2"/>
  <c r="T54" i="2"/>
  <c r="T53" i="2"/>
  <c r="T52" i="2"/>
  <c r="U52" i="2"/>
  <c r="W52" i="2" s="1"/>
  <c r="W51" i="2"/>
  <c r="T51" i="2"/>
  <c r="W49" i="2"/>
  <c r="T49" i="2"/>
  <c r="W47" i="2"/>
  <c r="U46" i="2"/>
  <c r="W46" i="2" s="1"/>
  <c r="W45" i="2"/>
  <c r="T45" i="2"/>
  <c r="T44" i="2"/>
  <c r="U44" i="2"/>
  <c r="W44" i="2" s="1"/>
  <c r="U42" i="2"/>
  <c r="W42" i="2" s="1"/>
  <c r="W41" i="2"/>
  <c r="T41" i="2"/>
  <c r="T40" i="2"/>
  <c r="U40" i="2"/>
  <c r="W40" i="2" s="1"/>
  <c r="T48" i="2"/>
  <c r="U48" i="2"/>
  <c r="W48" i="2" s="1"/>
  <c r="U50" i="2"/>
  <c r="W50" i="2" s="1"/>
  <c r="T39" i="2"/>
  <c r="U58" i="2"/>
  <c r="W58" i="2" s="1"/>
  <c r="W59" i="2"/>
  <c r="T59" i="2"/>
  <c r="T61" i="2"/>
  <c r="W61" i="2"/>
  <c r="T60" i="2"/>
  <c r="T66" i="2"/>
  <c r="W63" i="2"/>
  <c r="T63" i="2"/>
  <c r="Q66" i="2" l="1"/>
  <c r="Q4" i="2"/>
  <c r="Q5" i="2" s="1"/>
  <c r="E67" i="2"/>
  <c r="E66" i="2"/>
  <c r="E65" i="2"/>
  <c r="G89" i="1"/>
  <c r="G88" i="1"/>
  <c r="G87" i="1"/>
  <c r="G86" i="1"/>
  <c r="G85" i="1"/>
  <c r="G84" i="1"/>
  <c r="G83" i="1"/>
  <c r="U89" i="1"/>
  <c r="R89" i="1"/>
  <c r="Q89" i="1"/>
  <c r="T89" i="1" s="1"/>
  <c r="V89" i="1" s="1"/>
  <c r="U88" i="1"/>
  <c r="T88" i="1"/>
  <c r="V88" i="1" s="1"/>
  <c r="S88" i="1"/>
  <c r="R88" i="1"/>
  <c r="Q88" i="1"/>
  <c r="U87" i="1"/>
  <c r="R87" i="1"/>
  <c r="Q87" i="1"/>
  <c r="T87" i="1" s="1"/>
  <c r="V87" i="1" s="1"/>
  <c r="U86" i="1"/>
  <c r="T86" i="1"/>
  <c r="V86" i="1" s="1"/>
  <c r="S86" i="1"/>
  <c r="R86" i="1"/>
  <c r="Q86" i="1"/>
  <c r="U85" i="1"/>
  <c r="R85" i="1"/>
  <c r="Q85" i="1"/>
  <c r="T85" i="1" s="1"/>
  <c r="V85" i="1" s="1"/>
  <c r="U84" i="1"/>
  <c r="T84" i="1"/>
  <c r="V84" i="1" s="1"/>
  <c r="S84" i="1"/>
  <c r="R84" i="1"/>
  <c r="Q84" i="1"/>
  <c r="U83" i="1"/>
  <c r="R83" i="1"/>
  <c r="Q83" i="1"/>
  <c r="T83" i="1" s="1"/>
  <c r="V83" i="1" s="1"/>
  <c r="M89" i="1"/>
  <c r="M88" i="1"/>
  <c r="M87" i="1"/>
  <c r="M86" i="1"/>
  <c r="M85" i="1"/>
  <c r="M84" i="1"/>
  <c r="M83" i="1"/>
  <c r="K89" i="1"/>
  <c r="K87" i="1"/>
  <c r="K86" i="1"/>
  <c r="K85" i="1"/>
  <c r="K84" i="1"/>
  <c r="K83" i="1"/>
  <c r="I89" i="1"/>
  <c r="I87" i="1"/>
  <c r="I86" i="1"/>
  <c r="I85" i="1"/>
  <c r="I84" i="1"/>
  <c r="I83" i="1"/>
  <c r="D89" i="1"/>
  <c r="D88" i="1"/>
  <c r="D87" i="1"/>
  <c r="D86" i="1"/>
  <c r="D85" i="1"/>
  <c r="D84" i="1"/>
  <c r="D83" i="1"/>
  <c r="S83" i="1" l="1"/>
  <c r="S85" i="1"/>
  <c r="S87" i="1"/>
  <c r="S89" i="1"/>
  <c r="U81" i="1" l="1"/>
  <c r="R81" i="1"/>
  <c r="Q81" i="1"/>
  <c r="T81" i="1" s="1"/>
  <c r="V81" i="1" s="1"/>
  <c r="U82" i="1"/>
  <c r="R82" i="1"/>
  <c r="Q82" i="1"/>
  <c r="T82" i="1" s="1"/>
  <c r="V82" i="1" s="1"/>
  <c r="U80" i="1"/>
  <c r="R80" i="1"/>
  <c r="Q80" i="1"/>
  <c r="T80" i="1" s="1"/>
  <c r="V80" i="1" s="1"/>
  <c r="M82" i="1"/>
  <c r="M81" i="1"/>
  <c r="M80" i="1"/>
  <c r="K82" i="1"/>
  <c r="K81" i="1"/>
  <c r="K80" i="1"/>
  <c r="I82" i="1"/>
  <c r="I81" i="1"/>
  <c r="I80" i="1"/>
  <c r="G82" i="1"/>
  <c r="G81" i="1"/>
  <c r="G80" i="1"/>
  <c r="D82" i="1"/>
  <c r="D81" i="1"/>
  <c r="D80" i="1"/>
  <c r="S81" i="1" l="1"/>
  <c r="S82" i="1"/>
  <c r="S80" i="1"/>
  <c r="Y31" i="2" l="1"/>
  <c r="R31" i="2"/>
  <c r="U31" i="2" s="1"/>
  <c r="W31" i="2" s="1"/>
  <c r="T31" i="2"/>
  <c r="N31" i="2"/>
  <c r="M31" i="2"/>
  <c r="L31" i="2"/>
  <c r="E64" i="2" l="1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7" i="2"/>
  <c r="E36" i="2"/>
  <c r="E35" i="2"/>
  <c r="E34" i="2"/>
  <c r="E38" i="2"/>
  <c r="I38" i="2"/>
  <c r="R38" i="2"/>
  <c r="T38" i="2" s="1"/>
  <c r="S38" i="2"/>
  <c r="V38" i="2"/>
  <c r="AA38" i="2"/>
  <c r="G79" i="1"/>
  <c r="G78" i="1"/>
  <c r="U79" i="1"/>
  <c r="R79" i="1"/>
  <c r="Q79" i="1"/>
  <c r="T79" i="1" s="1"/>
  <c r="V79" i="1" s="1"/>
  <c r="U78" i="1"/>
  <c r="R78" i="1"/>
  <c r="Q78" i="1"/>
  <c r="T78" i="1" s="1"/>
  <c r="V78" i="1" s="1"/>
  <c r="U77" i="1"/>
  <c r="T77" i="1"/>
  <c r="V77" i="1" s="1"/>
  <c r="S77" i="1"/>
  <c r="R77" i="1"/>
  <c r="Q77" i="1"/>
  <c r="U76" i="1"/>
  <c r="R76" i="1"/>
  <c r="Q76" i="1"/>
  <c r="T76" i="1" s="1"/>
  <c r="U75" i="1"/>
  <c r="T75" i="1"/>
  <c r="V75" i="1" s="1"/>
  <c r="R75" i="1"/>
  <c r="Q75" i="1"/>
  <c r="S75" i="1" s="1"/>
  <c r="U74" i="1"/>
  <c r="R74" i="1"/>
  <c r="Q74" i="1"/>
  <c r="T74" i="1" s="1"/>
  <c r="V74" i="1" s="1"/>
  <c r="U73" i="1"/>
  <c r="T73" i="1"/>
  <c r="V73" i="1" s="1"/>
  <c r="S73" i="1"/>
  <c r="R73" i="1"/>
  <c r="Q73" i="1"/>
  <c r="M79" i="1"/>
  <c r="M78" i="1"/>
  <c r="M77" i="1"/>
  <c r="M76" i="1"/>
  <c r="M75" i="1"/>
  <c r="M74" i="1"/>
  <c r="M73" i="1"/>
  <c r="K79" i="1"/>
  <c r="K78" i="1"/>
  <c r="K77" i="1"/>
  <c r="K76" i="1"/>
  <c r="K75" i="1"/>
  <c r="K74" i="1"/>
  <c r="K73" i="1"/>
  <c r="I79" i="1"/>
  <c r="I78" i="1"/>
  <c r="I77" i="1"/>
  <c r="I76" i="1"/>
  <c r="I75" i="1"/>
  <c r="I74" i="1"/>
  <c r="I73" i="1"/>
  <c r="D79" i="1"/>
  <c r="D78" i="1"/>
  <c r="D77" i="1"/>
  <c r="D76" i="1"/>
  <c r="D75" i="1"/>
  <c r="D74" i="1"/>
  <c r="D73" i="1"/>
  <c r="U38" i="2" l="1"/>
  <c r="W38" i="2" s="1"/>
  <c r="Y38" i="2" s="1"/>
  <c r="V76" i="1"/>
  <c r="S79" i="1"/>
  <c r="S74" i="1"/>
  <c r="S76" i="1"/>
  <c r="S78" i="1"/>
  <c r="E4" i="1"/>
  <c r="U72" i="1"/>
  <c r="R72" i="1"/>
  <c r="Q72" i="1"/>
  <c r="S72" i="1" s="1"/>
  <c r="U71" i="1"/>
  <c r="R71" i="1"/>
  <c r="Q71" i="1"/>
  <c r="T71" i="1" s="1"/>
  <c r="V71" i="1" s="1"/>
  <c r="U70" i="1"/>
  <c r="R70" i="1"/>
  <c r="Q70" i="1"/>
  <c r="S70" i="1" s="1"/>
  <c r="U69" i="1"/>
  <c r="R69" i="1"/>
  <c r="Q69" i="1"/>
  <c r="T69" i="1" s="1"/>
  <c r="U68" i="1"/>
  <c r="T68" i="1"/>
  <c r="V68" i="1" s="1"/>
  <c r="R68" i="1"/>
  <c r="Q68" i="1"/>
  <c r="U67" i="1"/>
  <c r="R67" i="1"/>
  <c r="Q67" i="1"/>
  <c r="T67" i="1" s="1"/>
  <c r="V67" i="1" s="1"/>
  <c r="U66" i="1"/>
  <c r="R66" i="1"/>
  <c r="Q66" i="1"/>
  <c r="S66" i="1" s="1"/>
  <c r="U65" i="1"/>
  <c r="R65" i="1"/>
  <c r="Q65" i="1"/>
  <c r="T65" i="1" s="1"/>
  <c r="V65" i="1" s="1"/>
  <c r="U64" i="1"/>
  <c r="R64" i="1"/>
  <c r="Q64" i="1"/>
  <c r="S64" i="1" s="1"/>
  <c r="U63" i="1"/>
  <c r="R63" i="1"/>
  <c r="Q63" i="1"/>
  <c r="T63" i="1" s="1"/>
  <c r="U62" i="1"/>
  <c r="T62" i="1"/>
  <c r="V62" i="1" s="1"/>
  <c r="R62" i="1"/>
  <c r="Q62" i="1"/>
  <c r="S62" i="1" s="1"/>
  <c r="U61" i="1"/>
  <c r="T61" i="1"/>
  <c r="V61" i="1" s="1"/>
  <c r="R61" i="1"/>
  <c r="Q61" i="1"/>
  <c r="U60" i="1"/>
  <c r="T60" i="1"/>
  <c r="V60" i="1" s="1"/>
  <c r="R60" i="1"/>
  <c r="Q60" i="1"/>
  <c r="S60" i="1" s="1"/>
  <c r="U59" i="1"/>
  <c r="R59" i="1"/>
  <c r="Q59" i="1"/>
  <c r="T59" i="1" s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E5" i="1" l="1"/>
  <c r="S67" i="1"/>
  <c r="V63" i="1"/>
  <c r="T66" i="1"/>
  <c r="V66" i="1" s="1"/>
  <c r="V59" i="1"/>
  <c r="T64" i="1"/>
  <c r="V64" i="1" s="1"/>
  <c r="S68" i="1"/>
  <c r="V69" i="1"/>
  <c r="S63" i="1"/>
  <c r="T72" i="1"/>
  <c r="V72" i="1" s="1"/>
  <c r="S71" i="1"/>
  <c r="T70" i="1"/>
  <c r="V70" i="1" s="1"/>
  <c r="S69" i="1"/>
  <c r="S65" i="1"/>
  <c r="S61" i="1"/>
  <c r="S59" i="1"/>
  <c r="D59" i="1" l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A33" i="2" l="1"/>
  <c r="I33" i="2" s="1"/>
  <c r="X33" i="2"/>
  <c r="V33" i="2"/>
  <c r="S33" i="2"/>
  <c r="R33" i="2"/>
  <c r="L33" i="2"/>
  <c r="H33" i="2"/>
  <c r="E33" i="2"/>
  <c r="V32" i="2"/>
  <c r="U32" i="2"/>
  <c r="W32" i="2" s="1"/>
  <c r="S32" i="2"/>
  <c r="T32" i="2" s="1"/>
  <c r="R32" i="2"/>
  <c r="N32" i="2"/>
  <c r="L32" i="2"/>
  <c r="I32" i="2"/>
  <c r="J32" i="2" s="1"/>
  <c r="H32" i="2"/>
  <c r="E32" i="2"/>
  <c r="V31" i="2"/>
  <c r="S31" i="2"/>
  <c r="J31" i="2"/>
  <c r="H31" i="2"/>
  <c r="E31" i="2"/>
  <c r="V30" i="2"/>
  <c r="U30" i="2"/>
  <c r="W30" i="2" s="1"/>
  <c r="S30" i="2"/>
  <c r="T30" i="2" s="1"/>
  <c r="R30" i="2"/>
  <c r="N30" i="2"/>
  <c r="L30" i="2"/>
  <c r="J30" i="2"/>
  <c r="I30" i="2"/>
  <c r="H30" i="2"/>
  <c r="E30" i="2"/>
  <c r="V29" i="2"/>
  <c r="S29" i="2"/>
  <c r="T29" i="2" s="1"/>
  <c r="Y29" i="2" s="1"/>
  <c r="R29" i="2"/>
  <c r="U29" i="2" s="1"/>
  <c r="W29" i="2" s="1"/>
  <c r="M29" i="2"/>
  <c r="N29" i="2" s="1"/>
  <c r="L29" i="2"/>
  <c r="J29" i="2"/>
  <c r="H29" i="2"/>
  <c r="E29" i="2"/>
  <c r="V28" i="2"/>
  <c r="S28" i="2"/>
  <c r="R28" i="2"/>
  <c r="N28" i="2"/>
  <c r="L28" i="2"/>
  <c r="J28" i="2"/>
  <c r="H28" i="2"/>
  <c r="E28" i="2"/>
  <c r="V27" i="2"/>
  <c r="S27" i="2"/>
  <c r="R27" i="2"/>
  <c r="N27" i="2"/>
  <c r="L27" i="2"/>
  <c r="J27" i="2"/>
  <c r="H27" i="2"/>
  <c r="E27" i="2"/>
  <c r="AB26" i="2"/>
  <c r="AB27" i="2" s="1"/>
  <c r="V26" i="2"/>
  <c r="S26" i="2"/>
  <c r="T26" i="2" s="1"/>
  <c r="Y26" i="2" s="1"/>
  <c r="R26" i="2"/>
  <c r="U26" i="2" s="1"/>
  <c r="W26" i="2" s="1"/>
  <c r="N26" i="2"/>
  <c r="L26" i="2"/>
  <c r="J26" i="2"/>
  <c r="H26" i="2"/>
  <c r="E26" i="2"/>
  <c r="V25" i="2"/>
  <c r="S25" i="2"/>
  <c r="R25" i="2"/>
  <c r="U25" i="2" s="1"/>
  <c r="W25" i="2" s="1"/>
  <c r="N25" i="2"/>
  <c r="L25" i="2"/>
  <c r="J25" i="2"/>
  <c r="H25" i="2"/>
  <c r="E25" i="2"/>
  <c r="X24" i="2"/>
  <c r="R24" i="2" s="1"/>
  <c r="V24" i="2"/>
  <c r="U24" i="2"/>
  <c r="W24" i="2" s="1"/>
  <c r="T24" i="2"/>
  <c r="S24" i="2"/>
  <c r="M24" i="2"/>
  <c r="N24" i="2" s="1"/>
  <c r="L24" i="2"/>
  <c r="J24" i="2"/>
  <c r="H24" i="2"/>
  <c r="E24" i="2"/>
  <c r="X23" i="2"/>
  <c r="R23" i="2" s="1"/>
  <c r="V23" i="2"/>
  <c r="S23" i="2"/>
  <c r="N23" i="2"/>
  <c r="L23" i="2"/>
  <c r="J23" i="2"/>
  <c r="H23" i="2"/>
  <c r="E23" i="2"/>
  <c r="V22" i="2"/>
  <c r="S22" i="2"/>
  <c r="R22" i="2"/>
  <c r="M22" i="2"/>
  <c r="N22" i="2" s="1"/>
  <c r="L22" i="2"/>
  <c r="J22" i="2"/>
  <c r="H22" i="2"/>
  <c r="E22" i="2"/>
  <c r="AA21" i="2"/>
  <c r="R21" i="2" s="1"/>
  <c r="U21" i="2" s="1"/>
  <c r="W21" i="2" s="1"/>
  <c r="V21" i="2"/>
  <c r="S21" i="2"/>
  <c r="N21" i="2"/>
  <c r="L21" i="2"/>
  <c r="J21" i="2"/>
  <c r="H21" i="2"/>
  <c r="E21" i="2"/>
  <c r="AC20" i="2"/>
  <c r="AA20" i="2"/>
  <c r="Z20" i="2"/>
  <c r="V20" i="2"/>
  <c r="S20" i="2"/>
  <c r="M20" i="2"/>
  <c r="N20" i="2" s="1"/>
  <c r="L20" i="2"/>
  <c r="J20" i="2"/>
  <c r="H20" i="2"/>
  <c r="E20" i="2"/>
  <c r="AA19" i="2"/>
  <c r="Z19" i="2"/>
  <c r="X19" i="2" s="1"/>
  <c r="R19" i="2" s="1"/>
  <c r="V19" i="2"/>
  <c r="S19" i="2"/>
  <c r="N19" i="2"/>
  <c r="L19" i="2"/>
  <c r="J19" i="2"/>
  <c r="H19" i="2"/>
  <c r="E19" i="2"/>
  <c r="AA18" i="2"/>
  <c r="R18" i="2" s="1"/>
  <c r="U18" i="2" s="1"/>
  <c r="W18" i="2" s="1"/>
  <c r="V18" i="2"/>
  <c r="S18" i="2"/>
  <c r="M18" i="2"/>
  <c r="L18" i="2"/>
  <c r="H18" i="2"/>
  <c r="E18" i="2"/>
  <c r="AA17" i="2"/>
  <c r="N17" i="2" s="1"/>
  <c r="V17" i="2"/>
  <c r="S17" i="2"/>
  <c r="R17" i="2"/>
  <c r="L17" i="2"/>
  <c r="H17" i="2"/>
  <c r="E17" i="2"/>
  <c r="V16" i="2"/>
  <c r="U16" i="2"/>
  <c r="W16" i="2" s="1"/>
  <c r="S16" i="2"/>
  <c r="T16" i="2" s="1"/>
  <c r="R16" i="2"/>
  <c r="N16" i="2"/>
  <c r="L16" i="2"/>
  <c r="J16" i="2"/>
  <c r="H16" i="2"/>
  <c r="E16" i="2"/>
  <c r="V15" i="2"/>
  <c r="S15" i="2"/>
  <c r="R15" i="2"/>
  <c r="U15" i="2" s="1"/>
  <c r="W15" i="2" s="1"/>
  <c r="N15" i="2"/>
  <c r="L15" i="2"/>
  <c r="J15" i="2"/>
  <c r="H15" i="2"/>
  <c r="E15" i="2"/>
  <c r="V14" i="2"/>
  <c r="U14" i="2"/>
  <c r="W14" i="2" s="1"/>
  <c r="S14" i="2"/>
  <c r="T14" i="2" s="1"/>
  <c r="R14" i="2"/>
  <c r="N14" i="2"/>
  <c r="L14" i="2"/>
  <c r="J14" i="2"/>
  <c r="H14" i="2"/>
  <c r="E14" i="2"/>
  <c r="V13" i="2"/>
  <c r="S13" i="2"/>
  <c r="R13" i="2"/>
  <c r="U13" i="2" s="1"/>
  <c r="W13" i="2" s="1"/>
  <c r="N13" i="2"/>
  <c r="L13" i="2"/>
  <c r="J13" i="2"/>
  <c r="H13" i="2"/>
  <c r="E13" i="2"/>
  <c r="V12" i="2"/>
  <c r="U12" i="2"/>
  <c r="W12" i="2" s="1"/>
  <c r="S12" i="2"/>
  <c r="T12" i="2" s="1"/>
  <c r="R12" i="2"/>
  <c r="N12" i="2"/>
  <c r="L12" i="2"/>
  <c r="J12" i="2"/>
  <c r="H12" i="2"/>
  <c r="E12" i="2"/>
  <c r="V11" i="2"/>
  <c r="S11" i="2"/>
  <c r="R11" i="2"/>
  <c r="U11" i="2" s="1"/>
  <c r="W11" i="2" s="1"/>
  <c r="N11" i="2"/>
  <c r="L11" i="2"/>
  <c r="J11" i="2"/>
  <c r="H11" i="2"/>
  <c r="E11" i="2"/>
  <c r="V10" i="2"/>
  <c r="U10" i="2"/>
  <c r="W10" i="2" s="1"/>
  <c r="S10" i="2"/>
  <c r="T10" i="2" s="1"/>
  <c r="R10" i="2"/>
  <c r="N10" i="2"/>
  <c r="L10" i="2"/>
  <c r="J10" i="2"/>
  <c r="H10" i="2"/>
  <c r="E10" i="2"/>
  <c r="V9" i="2"/>
  <c r="S9" i="2"/>
  <c r="R9" i="2"/>
  <c r="U9" i="2" s="1"/>
  <c r="W9" i="2" s="1"/>
  <c r="M9" i="2"/>
  <c r="L9" i="2"/>
  <c r="J9" i="2"/>
  <c r="H9" i="2"/>
  <c r="E9" i="2"/>
  <c r="V8" i="2"/>
  <c r="U8" i="2"/>
  <c r="W8" i="2" s="1"/>
  <c r="T8" i="2"/>
  <c r="Y8" i="2" s="1"/>
  <c r="S8" i="2"/>
  <c r="R8" i="2"/>
  <c r="N8" i="2"/>
  <c r="L8" i="2"/>
  <c r="J8" i="2"/>
  <c r="H8" i="2"/>
  <c r="E8" i="2"/>
  <c r="V7" i="2"/>
  <c r="S7" i="2"/>
  <c r="R7" i="2"/>
  <c r="U7" i="2" s="1"/>
  <c r="N7" i="2"/>
  <c r="L7" i="2"/>
  <c r="J7" i="2"/>
  <c r="H7" i="2"/>
  <c r="E7" i="2"/>
  <c r="K4" i="2"/>
  <c r="K5" i="2" s="1"/>
  <c r="G4" i="2"/>
  <c r="G5" i="2" s="1"/>
  <c r="F4" i="2"/>
  <c r="F5" i="2" s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V58" i="1"/>
  <c r="U58" i="1"/>
  <c r="T58" i="1"/>
  <c r="S58" i="1"/>
  <c r="R58" i="1"/>
  <c r="Q58" i="1"/>
  <c r="K58" i="1"/>
  <c r="I58" i="1"/>
  <c r="G58" i="1"/>
  <c r="D58" i="1"/>
  <c r="U57" i="1"/>
  <c r="T57" i="1"/>
  <c r="V57" i="1" s="1"/>
  <c r="R57" i="1"/>
  <c r="Q57" i="1"/>
  <c r="S57" i="1" s="1"/>
  <c r="M57" i="1"/>
  <c r="K57" i="1"/>
  <c r="I57" i="1"/>
  <c r="G57" i="1"/>
  <c r="D57" i="1"/>
  <c r="U56" i="1"/>
  <c r="T56" i="1"/>
  <c r="V56" i="1" s="1"/>
  <c r="S56" i="1"/>
  <c r="R56" i="1"/>
  <c r="Q56" i="1"/>
  <c r="M56" i="1"/>
  <c r="K56" i="1"/>
  <c r="I56" i="1"/>
  <c r="G56" i="1"/>
  <c r="D56" i="1"/>
  <c r="V55" i="1"/>
  <c r="U55" i="1"/>
  <c r="T55" i="1"/>
  <c r="S55" i="1"/>
  <c r="R55" i="1"/>
  <c r="Q55" i="1"/>
  <c r="M55" i="1"/>
  <c r="K55" i="1"/>
  <c r="I55" i="1"/>
  <c r="G55" i="1"/>
  <c r="D55" i="1"/>
  <c r="U54" i="1"/>
  <c r="R54" i="1"/>
  <c r="Q54" i="1"/>
  <c r="M54" i="1"/>
  <c r="K54" i="1"/>
  <c r="I54" i="1"/>
  <c r="G54" i="1"/>
  <c r="D54" i="1"/>
  <c r="U53" i="1"/>
  <c r="T53" i="1"/>
  <c r="V53" i="1" s="1"/>
  <c r="R53" i="1"/>
  <c r="Q53" i="1"/>
  <c r="S53" i="1" s="1"/>
  <c r="M53" i="1"/>
  <c r="K53" i="1"/>
  <c r="I53" i="1"/>
  <c r="G53" i="1"/>
  <c r="D53" i="1"/>
  <c r="U52" i="1"/>
  <c r="T52" i="1"/>
  <c r="V52" i="1" s="1"/>
  <c r="S52" i="1"/>
  <c r="R52" i="1"/>
  <c r="Q52" i="1"/>
  <c r="M52" i="1"/>
  <c r="K52" i="1"/>
  <c r="I52" i="1"/>
  <c r="G52" i="1"/>
  <c r="D52" i="1"/>
  <c r="V51" i="1"/>
  <c r="U51" i="1"/>
  <c r="T51" i="1"/>
  <c r="S51" i="1"/>
  <c r="R51" i="1"/>
  <c r="Q51" i="1"/>
  <c r="M51" i="1"/>
  <c r="K51" i="1"/>
  <c r="I51" i="1"/>
  <c r="G51" i="1"/>
  <c r="D51" i="1"/>
  <c r="U50" i="1"/>
  <c r="R50" i="1"/>
  <c r="Q50" i="1"/>
  <c r="M50" i="1"/>
  <c r="K50" i="1"/>
  <c r="I50" i="1"/>
  <c r="G50" i="1"/>
  <c r="D50" i="1"/>
  <c r="U49" i="1"/>
  <c r="R49" i="1"/>
  <c r="Q49" i="1"/>
  <c r="S49" i="1" s="1"/>
  <c r="M49" i="1"/>
  <c r="K49" i="1"/>
  <c r="I49" i="1"/>
  <c r="G49" i="1"/>
  <c r="D49" i="1"/>
  <c r="U48" i="1"/>
  <c r="T48" i="1"/>
  <c r="V48" i="1" s="1"/>
  <c r="S48" i="1"/>
  <c r="R48" i="1"/>
  <c r="Q48" i="1"/>
  <c r="M48" i="1"/>
  <c r="K48" i="1"/>
  <c r="I48" i="1"/>
  <c r="G48" i="1"/>
  <c r="D48" i="1"/>
  <c r="V47" i="1"/>
  <c r="U47" i="1"/>
  <c r="T47" i="1"/>
  <c r="R47" i="1"/>
  <c r="S47" i="1" s="1"/>
  <c r="Q47" i="1"/>
  <c r="M47" i="1"/>
  <c r="K47" i="1"/>
  <c r="I47" i="1"/>
  <c r="G47" i="1"/>
  <c r="D47" i="1"/>
  <c r="U46" i="1"/>
  <c r="R46" i="1"/>
  <c r="Q46" i="1"/>
  <c r="M46" i="1"/>
  <c r="K46" i="1"/>
  <c r="I46" i="1"/>
  <c r="G46" i="1"/>
  <c r="D46" i="1"/>
  <c r="U45" i="1"/>
  <c r="R45" i="1"/>
  <c r="Q45" i="1"/>
  <c r="S45" i="1" s="1"/>
  <c r="M45" i="1"/>
  <c r="K45" i="1"/>
  <c r="I45" i="1"/>
  <c r="G45" i="1"/>
  <c r="D45" i="1"/>
  <c r="U44" i="1"/>
  <c r="T44" i="1"/>
  <c r="V44" i="1" s="1"/>
  <c r="S44" i="1"/>
  <c r="R44" i="1"/>
  <c r="Q44" i="1"/>
  <c r="M44" i="1"/>
  <c r="K44" i="1"/>
  <c r="I44" i="1"/>
  <c r="G44" i="1"/>
  <c r="D44" i="1"/>
  <c r="V43" i="1"/>
  <c r="U43" i="1"/>
  <c r="T43" i="1"/>
  <c r="R43" i="1"/>
  <c r="S43" i="1" s="1"/>
  <c r="Q43" i="1"/>
  <c r="M43" i="1"/>
  <c r="K43" i="1"/>
  <c r="I43" i="1"/>
  <c r="G43" i="1"/>
  <c r="D43" i="1"/>
  <c r="U42" i="1"/>
  <c r="R42" i="1"/>
  <c r="Q42" i="1"/>
  <c r="M42" i="1"/>
  <c r="K42" i="1"/>
  <c r="I42" i="1"/>
  <c r="G42" i="1"/>
  <c r="D42" i="1"/>
  <c r="U41" i="1"/>
  <c r="T41" i="1"/>
  <c r="V41" i="1" s="1"/>
  <c r="R41" i="1"/>
  <c r="Q41" i="1"/>
  <c r="S41" i="1" s="1"/>
  <c r="M41" i="1"/>
  <c r="K41" i="1"/>
  <c r="I41" i="1"/>
  <c r="G41" i="1"/>
  <c r="D41" i="1"/>
  <c r="U40" i="1"/>
  <c r="T40" i="1"/>
  <c r="V40" i="1" s="1"/>
  <c r="S40" i="1"/>
  <c r="R40" i="1"/>
  <c r="Q40" i="1"/>
  <c r="M40" i="1"/>
  <c r="K40" i="1"/>
  <c r="I40" i="1"/>
  <c r="G40" i="1"/>
  <c r="D40" i="1"/>
  <c r="V39" i="1"/>
  <c r="U39" i="1"/>
  <c r="T39" i="1"/>
  <c r="R39" i="1"/>
  <c r="S39" i="1" s="1"/>
  <c r="Q39" i="1"/>
  <c r="M39" i="1"/>
  <c r="K39" i="1"/>
  <c r="I39" i="1"/>
  <c r="G39" i="1"/>
  <c r="D39" i="1"/>
  <c r="U38" i="1"/>
  <c r="R38" i="1"/>
  <c r="Q38" i="1"/>
  <c r="M38" i="1"/>
  <c r="K38" i="1"/>
  <c r="I38" i="1"/>
  <c r="G38" i="1"/>
  <c r="D38" i="1"/>
  <c r="U37" i="1"/>
  <c r="T37" i="1"/>
  <c r="V37" i="1" s="1"/>
  <c r="R37" i="1"/>
  <c r="Q37" i="1"/>
  <c r="S37" i="1" s="1"/>
  <c r="M37" i="1"/>
  <c r="K37" i="1"/>
  <c r="I37" i="1"/>
  <c r="G37" i="1"/>
  <c r="D37" i="1"/>
  <c r="U36" i="1"/>
  <c r="T36" i="1"/>
  <c r="V36" i="1" s="1"/>
  <c r="S36" i="1"/>
  <c r="R36" i="1"/>
  <c r="Q36" i="1"/>
  <c r="M36" i="1"/>
  <c r="K36" i="1"/>
  <c r="I36" i="1"/>
  <c r="G36" i="1"/>
  <c r="D36" i="1"/>
  <c r="V35" i="1"/>
  <c r="U35" i="1"/>
  <c r="T35" i="1"/>
  <c r="S35" i="1"/>
  <c r="R35" i="1"/>
  <c r="Q35" i="1"/>
  <c r="M35" i="1"/>
  <c r="K35" i="1"/>
  <c r="I35" i="1"/>
  <c r="G35" i="1"/>
  <c r="D35" i="1"/>
  <c r="U34" i="1"/>
  <c r="R34" i="1"/>
  <c r="Q34" i="1"/>
  <c r="M34" i="1"/>
  <c r="K34" i="1"/>
  <c r="I34" i="1"/>
  <c r="G34" i="1"/>
  <c r="D34" i="1"/>
  <c r="U33" i="1"/>
  <c r="R33" i="1"/>
  <c r="Q33" i="1"/>
  <c r="S33" i="1" s="1"/>
  <c r="M33" i="1"/>
  <c r="K33" i="1"/>
  <c r="I33" i="1"/>
  <c r="G33" i="1"/>
  <c r="D33" i="1"/>
  <c r="U32" i="1"/>
  <c r="T32" i="1"/>
  <c r="V32" i="1" s="1"/>
  <c r="S32" i="1"/>
  <c r="R32" i="1"/>
  <c r="Q32" i="1"/>
  <c r="M32" i="1"/>
  <c r="K32" i="1"/>
  <c r="I32" i="1"/>
  <c r="G32" i="1"/>
  <c r="D32" i="1"/>
  <c r="V31" i="1"/>
  <c r="U31" i="1"/>
  <c r="T31" i="1"/>
  <c r="R31" i="1"/>
  <c r="S31" i="1" s="1"/>
  <c r="Q31" i="1"/>
  <c r="M31" i="1"/>
  <c r="K31" i="1"/>
  <c r="I31" i="1"/>
  <c r="G31" i="1"/>
  <c r="D31" i="1"/>
  <c r="U30" i="1"/>
  <c r="V30" i="1" s="1"/>
  <c r="R30" i="1"/>
  <c r="S30" i="1" s="1"/>
  <c r="G30" i="1"/>
  <c r="D30" i="1"/>
  <c r="U29" i="1"/>
  <c r="T29" i="1"/>
  <c r="V29" i="1" s="1"/>
  <c r="S29" i="1"/>
  <c r="R29" i="1"/>
  <c r="Q29" i="1"/>
  <c r="M29" i="1"/>
  <c r="K29" i="1"/>
  <c r="I29" i="1"/>
  <c r="G29" i="1"/>
  <c r="D29" i="1"/>
  <c r="V28" i="1"/>
  <c r="U28" i="1"/>
  <c r="R28" i="1"/>
  <c r="S28" i="1" s="1"/>
  <c r="G28" i="1"/>
  <c r="D28" i="1"/>
  <c r="U27" i="1"/>
  <c r="T27" i="1"/>
  <c r="V27" i="1" s="1"/>
  <c r="R27" i="1"/>
  <c r="Q27" i="1"/>
  <c r="S27" i="1" s="1"/>
  <c r="M27" i="1"/>
  <c r="K27" i="1"/>
  <c r="I27" i="1"/>
  <c r="G27" i="1"/>
  <c r="D27" i="1"/>
  <c r="U26" i="1"/>
  <c r="T26" i="1"/>
  <c r="V26" i="1" s="1"/>
  <c r="S26" i="1"/>
  <c r="R26" i="1"/>
  <c r="Q26" i="1"/>
  <c r="M26" i="1"/>
  <c r="K26" i="1"/>
  <c r="I26" i="1"/>
  <c r="G26" i="1"/>
  <c r="D26" i="1"/>
  <c r="V25" i="1"/>
  <c r="U25" i="1"/>
  <c r="T25" i="1"/>
  <c r="R25" i="1"/>
  <c r="S25" i="1" s="1"/>
  <c r="Q25" i="1"/>
  <c r="M25" i="1"/>
  <c r="K25" i="1"/>
  <c r="I25" i="1"/>
  <c r="G25" i="1"/>
  <c r="D25" i="1"/>
  <c r="U24" i="1"/>
  <c r="R24" i="1"/>
  <c r="Q24" i="1"/>
  <c r="M24" i="1"/>
  <c r="K24" i="1"/>
  <c r="I24" i="1"/>
  <c r="G24" i="1"/>
  <c r="D24" i="1"/>
  <c r="U23" i="1"/>
  <c r="T23" i="1"/>
  <c r="V23" i="1" s="1"/>
  <c r="R23" i="1"/>
  <c r="Q23" i="1"/>
  <c r="S23" i="1" s="1"/>
  <c r="M23" i="1"/>
  <c r="K23" i="1"/>
  <c r="I23" i="1"/>
  <c r="G23" i="1"/>
  <c r="D23" i="1"/>
  <c r="U22" i="1"/>
  <c r="T22" i="1"/>
  <c r="V22" i="1" s="1"/>
  <c r="S22" i="1"/>
  <c r="R22" i="1"/>
  <c r="Q22" i="1"/>
  <c r="M22" i="1"/>
  <c r="K22" i="1"/>
  <c r="I22" i="1"/>
  <c r="G22" i="1"/>
  <c r="D22" i="1"/>
  <c r="V21" i="1"/>
  <c r="U21" i="1"/>
  <c r="T21" i="1"/>
  <c r="S21" i="1"/>
  <c r="R21" i="1"/>
  <c r="Q21" i="1"/>
  <c r="M21" i="1"/>
  <c r="K21" i="1"/>
  <c r="I21" i="1"/>
  <c r="G21" i="1"/>
  <c r="D21" i="1"/>
  <c r="U20" i="1"/>
  <c r="R20" i="1"/>
  <c r="Q20" i="1"/>
  <c r="M20" i="1"/>
  <c r="K20" i="1"/>
  <c r="I20" i="1"/>
  <c r="G20" i="1"/>
  <c r="D20" i="1"/>
  <c r="U19" i="1"/>
  <c r="R19" i="1"/>
  <c r="Q19" i="1"/>
  <c r="S19" i="1" s="1"/>
  <c r="M19" i="1"/>
  <c r="K19" i="1"/>
  <c r="I19" i="1"/>
  <c r="G19" i="1"/>
  <c r="D19" i="1"/>
  <c r="U18" i="1"/>
  <c r="T18" i="1"/>
  <c r="V18" i="1" s="1"/>
  <c r="S18" i="1"/>
  <c r="R18" i="1"/>
  <c r="Q18" i="1"/>
  <c r="M18" i="1"/>
  <c r="K18" i="1"/>
  <c r="I18" i="1"/>
  <c r="G18" i="1"/>
  <c r="D18" i="1"/>
  <c r="V17" i="1"/>
  <c r="U17" i="1"/>
  <c r="T17" i="1"/>
  <c r="R17" i="1"/>
  <c r="S17" i="1" s="1"/>
  <c r="Q17" i="1"/>
  <c r="M17" i="1"/>
  <c r="K17" i="1"/>
  <c r="I17" i="1"/>
  <c r="G17" i="1"/>
  <c r="D17" i="1"/>
  <c r="U16" i="1"/>
  <c r="R16" i="1"/>
  <c r="Q16" i="1"/>
  <c r="M16" i="1"/>
  <c r="K16" i="1"/>
  <c r="I16" i="1"/>
  <c r="G16" i="1"/>
  <c r="D16" i="1"/>
  <c r="U15" i="1"/>
  <c r="R15" i="1"/>
  <c r="Q15" i="1"/>
  <c r="S15" i="1" s="1"/>
  <c r="M15" i="1"/>
  <c r="K15" i="1"/>
  <c r="I15" i="1"/>
  <c r="G15" i="1"/>
  <c r="D15" i="1"/>
  <c r="U14" i="1"/>
  <c r="T14" i="1"/>
  <c r="V14" i="1" s="1"/>
  <c r="S14" i="1"/>
  <c r="R14" i="1"/>
  <c r="Q14" i="1"/>
  <c r="M14" i="1"/>
  <c r="K14" i="1"/>
  <c r="I14" i="1"/>
  <c r="G14" i="1"/>
  <c r="D14" i="1"/>
  <c r="V13" i="1"/>
  <c r="U13" i="1"/>
  <c r="T13" i="1"/>
  <c r="R13" i="1"/>
  <c r="S13" i="1" s="1"/>
  <c r="Q13" i="1"/>
  <c r="M13" i="1"/>
  <c r="K13" i="1"/>
  <c r="I13" i="1"/>
  <c r="G13" i="1"/>
  <c r="D13" i="1"/>
  <c r="U12" i="1"/>
  <c r="R12" i="1"/>
  <c r="Q12" i="1"/>
  <c r="M12" i="1"/>
  <c r="K12" i="1"/>
  <c r="I12" i="1"/>
  <c r="G12" i="1"/>
  <c r="D12" i="1"/>
  <c r="U11" i="1"/>
  <c r="T11" i="1"/>
  <c r="V11" i="1" s="1"/>
  <c r="R11" i="1"/>
  <c r="Q11" i="1"/>
  <c r="S11" i="1" s="1"/>
  <c r="M11" i="1"/>
  <c r="K11" i="1"/>
  <c r="I11" i="1"/>
  <c r="G11" i="1"/>
  <c r="D11" i="1"/>
  <c r="U10" i="1"/>
  <c r="T10" i="1"/>
  <c r="V10" i="1" s="1"/>
  <c r="S10" i="1"/>
  <c r="R10" i="1"/>
  <c r="Q10" i="1"/>
  <c r="M10" i="1"/>
  <c r="K10" i="1"/>
  <c r="I10" i="1"/>
  <c r="G10" i="1"/>
  <c r="D10" i="1"/>
  <c r="V9" i="1"/>
  <c r="U9" i="1"/>
  <c r="T9" i="1"/>
  <c r="R9" i="1"/>
  <c r="S9" i="1" s="1"/>
  <c r="Q9" i="1"/>
  <c r="M9" i="1"/>
  <c r="K9" i="1"/>
  <c r="I9" i="1"/>
  <c r="G9" i="1"/>
  <c r="D9" i="1"/>
  <c r="U8" i="1"/>
  <c r="R8" i="1"/>
  <c r="R4" i="1" s="1"/>
  <c r="R5" i="1" s="1"/>
  <c r="Q8" i="1"/>
  <c r="M8" i="1"/>
  <c r="K8" i="1"/>
  <c r="I8" i="1"/>
  <c r="G8" i="1"/>
  <c r="D8" i="1"/>
  <c r="U7" i="1"/>
  <c r="T7" i="1"/>
  <c r="R7" i="1"/>
  <c r="Q7" i="1"/>
  <c r="M7" i="1"/>
  <c r="K7" i="1"/>
  <c r="I7" i="1"/>
  <c r="G7" i="1"/>
  <c r="D7" i="1"/>
  <c r="L4" i="1"/>
  <c r="J4" i="1"/>
  <c r="K5" i="1" s="1"/>
  <c r="H4" i="1"/>
  <c r="I5" i="1" s="1"/>
  <c r="F4" i="1"/>
  <c r="F5" i="1" s="1"/>
  <c r="Y32" i="2" l="1"/>
  <c r="H5" i="1"/>
  <c r="H5" i="2"/>
  <c r="Y10" i="2"/>
  <c r="Y14" i="2"/>
  <c r="Y16" i="2"/>
  <c r="T18" i="2"/>
  <c r="Y18" i="2" s="1"/>
  <c r="T7" i="2"/>
  <c r="S4" i="2"/>
  <c r="S5" i="2" s="1"/>
  <c r="T11" i="2"/>
  <c r="Y11" i="2" s="1"/>
  <c r="T13" i="2"/>
  <c r="Y13" i="2" s="1"/>
  <c r="T15" i="2"/>
  <c r="Y15" i="2" s="1"/>
  <c r="V4" i="2"/>
  <c r="V5" i="2" s="1"/>
  <c r="I18" i="2"/>
  <c r="J18" i="2" s="1"/>
  <c r="T25" i="2"/>
  <c r="Y25" i="2" s="1"/>
  <c r="Y12" i="2"/>
  <c r="Y24" i="2"/>
  <c r="T28" i="2"/>
  <c r="Y30" i="2"/>
  <c r="AD32" i="2"/>
  <c r="J33" i="2"/>
  <c r="N33" i="2"/>
  <c r="T19" i="2"/>
  <c r="U19" i="2"/>
  <c r="W19" i="2" s="1"/>
  <c r="J5" i="1"/>
  <c r="T8" i="1"/>
  <c r="V8" i="1" s="1"/>
  <c r="S8" i="1"/>
  <c r="T24" i="1"/>
  <c r="V24" i="1" s="1"/>
  <c r="S24" i="1"/>
  <c r="S38" i="1"/>
  <c r="T38" i="1"/>
  <c r="V38" i="1" s="1"/>
  <c r="S54" i="1"/>
  <c r="T54" i="1"/>
  <c r="V54" i="1" s="1"/>
  <c r="W7" i="2"/>
  <c r="T23" i="2"/>
  <c r="Y23" i="2" s="1"/>
  <c r="U23" i="2"/>
  <c r="W23" i="2" s="1"/>
  <c r="S20" i="1"/>
  <c r="T20" i="1"/>
  <c r="V20" i="1" s="1"/>
  <c r="S34" i="1"/>
  <c r="T34" i="1"/>
  <c r="V34" i="1" s="1"/>
  <c r="S50" i="1"/>
  <c r="T50" i="1"/>
  <c r="V50" i="1" s="1"/>
  <c r="T9" i="2"/>
  <c r="Y9" i="2" s="1"/>
  <c r="J17" i="2"/>
  <c r="T33" i="2"/>
  <c r="U33" i="2"/>
  <c r="W33" i="2" s="1"/>
  <c r="U4" i="1"/>
  <c r="U5" i="1" s="1"/>
  <c r="T16" i="1"/>
  <c r="V16" i="1" s="1"/>
  <c r="S16" i="1"/>
  <c r="T19" i="1"/>
  <c r="V19" i="1" s="1"/>
  <c r="S7" i="1"/>
  <c r="Q4" i="1"/>
  <c r="Q5" i="1" s="1"/>
  <c r="T12" i="1"/>
  <c r="V12" i="1" s="1"/>
  <c r="S12" i="1"/>
  <c r="T15" i="1"/>
  <c r="V15" i="1" s="1"/>
  <c r="S42" i="1"/>
  <c r="T42" i="1"/>
  <c r="V42" i="1" s="1"/>
  <c r="T45" i="1"/>
  <c r="V45" i="1" s="1"/>
  <c r="L5" i="2"/>
  <c r="T17" i="2"/>
  <c r="U17" i="2"/>
  <c r="W17" i="2" s="1"/>
  <c r="X20" i="2"/>
  <c r="R20" i="2" s="1"/>
  <c r="T22" i="2"/>
  <c r="U22" i="2"/>
  <c r="W22" i="2" s="1"/>
  <c r="T27" i="2"/>
  <c r="U27" i="2"/>
  <c r="W27" i="2" s="1"/>
  <c r="L5" i="1"/>
  <c r="M5" i="1"/>
  <c r="V7" i="1"/>
  <c r="AD20" i="2"/>
  <c r="AE20" i="2" s="1"/>
  <c r="T21" i="2"/>
  <c r="Y21" i="2" s="1"/>
  <c r="M4" i="1"/>
  <c r="T33" i="1"/>
  <c r="V33" i="1" s="1"/>
  <c r="S46" i="1"/>
  <c r="T46" i="1"/>
  <c r="V46" i="1" s="1"/>
  <c r="T49" i="1"/>
  <c r="V49" i="1" s="1"/>
  <c r="Y7" i="2"/>
  <c r="N9" i="2"/>
  <c r="M4" i="2"/>
  <c r="U28" i="2"/>
  <c r="W28" i="2" s="1"/>
  <c r="G5" i="1"/>
  <c r="N18" i="2" l="1"/>
  <c r="N4" i="2" s="1"/>
  <c r="AD33" i="2"/>
  <c r="Y22" i="2"/>
  <c r="Y33" i="2"/>
  <c r="Y28" i="2"/>
  <c r="I4" i="2"/>
  <c r="N5" i="2" s="1"/>
  <c r="V4" i="1"/>
  <c r="V5" i="1" s="1"/>
  <c r="M5" i="2"/>
  <c r="T20" i="2"/>
  <c r="U20" i="2"/>
  <c r="Y27" i="2"/>
  <c r="S4" i="1"/>
  <c r="S5" i="1" s="1"/>
  <c r="T4" i="1"/>
  <c r="T5" i="1" s="1"/>
  <c r="Y17" i="2"/>
  <c r="Y19" i="2"/>
  <c r="R4" i="2"/>
  <c r="R5" i="2" s="1"/>
  <c r="J5" i="2" l="1"/>
  <c r="I5" i="2"/>
  <c r="W20" i="2"/>
  <c r="W4" i="2" s="1"/>
  <c r="W5" i="2" s="1"/>
  <c r="U4" i="2"/>
  <c r="U5" i="2" s="1"/>
  <c r="T4" i="2"/>
  <c r="T5" i="2" s="1"/>
  <c r="Y20" i="2" l="1"/>
  <c r="Q4" i="3" l="1"/>
  <c r="Q5" i="3" l="1"/>
  <c r="R10" i="3"/>
  <c r="R14" i="3"/>
  <c r="R9" i="3"/>
  <c r="R8" i="3"/>
  <c r="R12" i="3"/>
  <c r="R11" i="3"/>
  <c r="R13" i="3"/>
  <c r="R7" i="3"/>
  <c r="R4" i="3" l="1"/>
</calcChain>
</file>

<file path=xl/sharedStrings.xml><?xml version="1.0" encoding="utf-8"?>
<sst xmlns="http://schemas.openxmlformats.org/spreadsheetml/2006/main" count="247" uniqueCount="199">
  <si>
    <t>Name</t>
  </si>
  <si>
    <t>Date</t>
  </si>
  <si>
    <t>Day of the week</t>
  </si>
  <si>
    <t>Gross Ticket Revenue</t>
  </si>
  <si>
    <t>Avg. Ticket Price (including TW rebate)</t>
  </si>
  <si>
    <t>Bar Revenue</t>
  </si>
  <si>
    <t>Avg sale of alcohol per guest</t>
  </si>
  <si>
    <t>Band(s) guarantee</t>
  </si>
  <si>
    <t>Tickets Sold</t>
  </si>
  <si>
    <t>TOTALS</t>
  </si>
  <si>
    <t>AVERAGES</t>
  </si>
  <si>
    <t>Noname</t>
  </si>
  <si>
    <t>Piff the Magic Dragon</t>
  </si>
  <si>
    <t>Nao</t>
  </si>
  <si>
    <t>Spafford</t>
  </si>
  <si>
    <t>Sharon Van Etten</t>
  </si>
  <si>
    <t>Kurt Vile</t>
  </si>
  <si>
    <t>Yung Gravy</t>
  </si>
  <si>
    <t>Cold Cave</t>
  </si>
  <si>
    <t>Jacob Banks</t>
  </si>
  <si>
    <t>The Amity Affliction</t>
  </si>
  <si>
    <t xml:space="preserve">Gate Settlement Gain/(Loss)  </t>
  </si>
  <si>
    <t>Bar Sales  - 70%</t>
  </si>
  <si>
    <t>Show Gross Proceeds</t>
  </si>
  <si>
    <t>MAJESTIC THEATRE</t>
  </si>
  <si>
    <t xml:space="preserve">AEG </t>
  </si>
  <si>
    <t>% of Gross Ticket Revenue</t>
  </si>
  <si>
    <t>Bar Sales  - 30%</t>
  </si>
  <si>
    <t>Show Gross Proceeds (before COGS, Labor, &amp; Facility Costs)</t>
  </si>
  <si>
    <t>Wet</t>
  </si>
  <si>
    <t>Jonathan McReynolds</t>
  </si>
  <si>
    <t>J&amp;A</t>
  </si>
  <si>
    <t>Bar Sales  - 50%</t>
  </si>
  <si>
    <t>INPUT - Total Gate Settlement</t>
  </si>
  <si>
    <t>Will Sessions</t>
  </si>
  <si>
    <t>Claude VonStroke - Night 1</t>
  </si>
  <si>
    <t>Claude VonStroke - Night 2</t>
  </si>
  <si>
    <t>Omega moos</t>
  </si>
  <si>
    <t>Desert Hearts</t>
  </si>
  <si>
    <t>Marco Carola</t>
  </si>
  <si>
    <t>Charlesthefirst</t>
  </si>
  <si>
    <t>Arkells</t>
  </si>
  <si>
    <t>Failure</t>
  </si>
  <si>
    <t>Nils Frahm</t>
  </si>
  <si>
    <t>Desert Dwellers</t>
  </si>
  <si>
    <t>Charlotte de Witte</t>
  </si>
  <si>
    <r>
      <t xml:space="preserve">The True Blue </t>
    </r>
    <r>
      <rPr>
        <b/>
        <sz val="10"/>
        <rFont val="Times New Roman"/>
        <family val="1"/>
      </rPr>
      <t>[RENTAL]</t>
    </r>
  </si>
  <si>
    <t>Crankdat</t>
  </si>
  <si>
    <t>Droeloe</t>
  </si>
  <si>
    <t>Facility Fee &amp; Rebate</t>
  </si>
  <si>
    <t>The Driver Era</t>
  </si>
  <si>
    <r>
      <t xml:space="preserve">Adam Conover </t>
    </r>
    <r>
      <rPr>
        <b/>
        <sz val="10"/>
        <rFont val="Times New Roman"/>
        <family val="1"/>
      </rPr>
      <t>[GUARANTEED]</t>
    </r>
  </si>
  <si>
    <t>React per person promoter fees</t>
  </si>
  <si>
    <t>Swmrs</t>
  </si>
  <si>
    <r>
      <t>Sunn O)))</t>
    </r>
    <r>
      <rPr>
        <b/>
        <sz val="10"/>
        <rFont val="Times New Roman"/>
        <family val="1"/>
      </rPr>
      <t xml:space="preserve"> [GUARANTEED]</t>
    </r>
  </si>
  <si>
    <t>Esseks</t>
  </si>
  <si>
    <t>Neko Case</t>
  </si>
  <si>
    <t>Bad Suns</t>
  </si>
  <si>
    <t>CloZee</t>
  </si>
  <si>
    <t xml:space="preserve">Claypool Lennon Delerium   </t>
  </si>
  <si>
    <t>Ann Marie</t>
  </si>
  <si>
    <t>Turnover</t>
  </si>
  <si>
    <t>Higher Brothers</t>
  </si>
  <si>
    <t>Andy Black</t>
  </si>
  <si>
    <t>Freddy Todd</t>
  </si>
  <si>
    <t>Cursive/Mewithoutyou</t>
  </si>
  <si>
    <t>***MAGIC STICK RESULTS***</t>
  </si>
  <si>
    <t>***MAJESTIC THEATRE RESULTS***</t>
  </si>
  <si>
    <t>Gretchen Rubin</t>
  </si>
  <si>
    <t>Movements</t>
  </si>
  <si>
    <t>Riverside</t>
  </si>
  <si>
    <t>Snow Tha Product</t>
  </si>
  <si>
    <t>Josh Ritter</t>
  </si>
  <si>
    <t>Architects</t>
  </si>
  <si>
    <t>Local Natives</t>
  </si>
  <si>
    <t>Basement</t>
  </si>
  <si>
    <t>Origins</t>
  </si>
  <si>
    <t>Repopulate Mars</t>
  </si>
  <si>
    <t>Detroit Love</t>
  </si>
  <si>
    <t>Walker And Royce</t>
  </si>
  <si>
    <t>Aly &amp; AJ</t>
  </si>
  <si>
    <t>Chromatics</t>
  </si>
  <si>
    <t>The Strumbellas</t>
  </si>
  <si>
    <t>Josh Garrels</t>
  </si>
  <si>
    <t>Venue Capacity</t>
  </si>
  <si>
    <t>Capacity Rate</t>
  </si>
  <si>
    <r>
      <t xml:space="preserve">Goopsteppa </t>
    </r>
    <r>
      <rPr>
        <b/>
        <sz val="10"/>
        <rFont val="Times New Roman"/>
        <family val="1"/>
      </rPr>
      <t>[partial free tixs]</t>
    </r>
  </si>
  <si>
    <t>Tank and the Bangas</t>
  </si>
  <si>
    <t>Citizen</t>
  </si>
  <si>
    <t>lovelytheband</t>
  </si>
  <si>
    <t>Wine and Crime (podcast)</t>
  </si>
  <si>
    <r>
      <t xml:space="preserve">If Walls Could Talk </t>
    </r>
    <r>
      <rPr>
        <b/>
        <sz val="10"/>
        <rFont val="Times New Roman"/>
        <family val="1"/>
      </rPr>
      <t>[band rental]</t>
    </r>
  </si>
  <si>
    <t>Chon</t>
  </si>
  <si>
    <t>Baroness</t>
  </si>
  <si>
    <t>Dussepalooza</t>
  </si>
  <si>
    <t>Louis Prima Jr.</t>
  </si>
  <si>
    <t>Dub Down</t>
  </si>
  <si>
    <t>Stick to your Guns</t>
  </si>
  <si>
    <t>Polo G</t>
  </si>
  <si>
    <r>
      <t xml:space="preserve">Feed Me </t>
    </r>
    <r>
      <rPr>
        <vertAlign val="superscript"/>
        <sz val="10"/>
        <rFont val="Times New Roman"/>
        <family val="1"/>
      </rPr>
      <t>(1)</t>
    </r>
  </si>
  <si>
    <t>This Might Get Weird (podcast)</t>
  </si>
  <si>
    <r>
      <t xml:space="preserve">Big Wild </t>
    </r>
    <r>
      <rPr>
        <vertAlign val="superscript"/>
        <sz val="10"/>
        <rFont val="Times New Roman"/>
        <family val="1"/>
      </rPr>
      <t>(1)</t>
    </r>
  </si>
  <si>
    <r>
      <t xml:space="preserve">FKJ </t>
    </r>
    <r>
      <rPr>
        <vertAlign val="superscript"/>
        <sz val="10"/>
        <rFont val="Times New Roman"/>
        <family val="1"/>
      </rPr>
      <t>(1)</t>
    </r>
  </si>
  <si>
    <r>
      <t>Manic Focus</t>
    </r>
    <r>
      <rPr>
        <vertAlign val="superscript"/>
        <sz val="10"/>
        <rFont val="Times New Roman"/>
        <family val="1"/>
      </rPr>
      <t xml:space="preserve"> (1)</t>
    </r>
  </si>
  <si>
    <r>
      <t xml:space="preserve">Jai Wolf </t>
    </r>
    <r>
      <rPr>
        <vertAlign val="superscript"/>
        <sz val="10"/>
        <rFont val="Times New Roman"/>
        <family val="1"/>
      </rPr>
      <t>(1)</t>
    </r>
  </si>
  <si>
    <r>
      <t xml:space="preserve">Sunsquabi </t>
    </r>
    <r>
      <rPr>
        <vertAlign val="superscript"/>
        <sz val="10"/>
        <rFont val="Times New Roman"/>
        <family val="1"/>
      </rPr>
      <t>(1)</t>
    </r>
  </si>
  <si>
    <r>
      <t>Space Jesus</t>
    </r>
    <r>
      <rPr>
        <vertAlign val="superscript"/>
        <sz val="10"/>
        <rFont val="Times New Roman"/>
        <family val="1"/>
      </rPr>
      <t xml:space="preserve"> (1)</t>
    </r>
  </si>
  <si>
    <r>
      <t xml:space="preserve">Ookay </t>
    </r>
    <r>
      <rPr>
        <vertAlign val="superscript"/>
        <sz val="10"/>
        <rFont val="Times New Roman"/>
        <family val="1"/>
      </rPr>
      <t>(1)</t>
    </r>
  </si>
  <si>
    <t>The Growlers</t>
  </si>
  <si>
    <t>Pinegrove</t>
  </si>
  <si>
    <t>Twin Peaks</t>
  </si>
  <si>
    <t>The Aquabats</t>
  </si>
  <si>
    <t>Dodie</t>
  </si>
  <si>
    <t>grandson</t>
  </si>
  <si>
    <t>Gwar</t>
  </si>
  <si>
    <t>Girls Gotta Eat (podcast)</t>
  </si>
  <si>
    <t>Joseph</t>
  </si>
  <si>
    <t>Cuco</t>
  </si>
  <si>
    <t>The Waterboys</t>
  </si>
  <si>
    <t>Jason Nash</t>
  </si>
  <si>
    <t>Steve Lacy</t>
  </si>
  <si>
    <r>
      <t xml:space="preserve">Two Door Cinema Club </t>
    </r>
    <r>
      <rPr>
        <b/>
        <sz val="10"/>
        <rFont val="Times New Roman"/>
        <family val="1"/>
      </rPr>
      <t>[GUARANTEED]</t>
    </r>
  </si>
  <si>
    <t>Gus Dapperton</t>
  </si>
  <si>
    <t>The New Pornographers</t>
  </si>
  <si>
    <t>Dark Star Orchestra</t>
  </si>
  <si>
    <t>Noah Kahan</t>
  </si>
  <si>
    <t>Municipal Waste</t>
  </si>
  <si>
    <t>Big Thief</t>
  </si>
  <si>
    <t>Natasha Bedingfield</t>
  </si>
  <si>
    <t>Zebbler Encanti Experience</t>
  </si>
  <si>
    <t>Mr. Bill</t>
  </si>
  <si>
    <t>Solardo</t>
  </si>
  <si>
    <t>Why?</t>
  </si>
  <si>
    <t>Jessica Hernandez &amp; The Deltas</t>
  </si>
  <si>
    <t>Golden Features</t>
  </si>
  <si>
    <t>BoomBox</t>
  </si>
  <si>
    <t>Sacha Robotti</t>
  </si>
  <si>
    <t>Kursa B2B Seppa</t>
  </si>
  <si>
    <t>Bury Your Dead</t>
  </si>
  <si>
    <t>Man Man</t>
  </si>
  <si>
    <t>Defunk</t>
  </si>
  <si>
    <t>Kaskade</t>
  </si>
  <si>
    <t>SoDown</t>
  </si>
  <si>
    <t>Hayden James</t>
  </si>
  <si>
    <t>Emotional Oranges</t>
  </si>
  <si>
    <t>Detox Unit</t>
  </si>
  <si>
    <t>Moon Boots</t>
  </si>
  <si>
    <t>Jamie Jones</t>
  </si>
  <si>
    <t>Cofresi</t>
  </si>
  <si>
    <t>Kero Kero Bonito</t>
  </si>
  <si>
    <t>The Trifinity</t>
  </si>
  <si>
    <t>Shiba San X Walker &amp; Royce</t>
  </si>
  <si>
    <t>Tiny Moving Parts</t>
  </si>
  <si>
    <t>Of Montreal</t>
  </si>
  <si>
    <t>Truth</t>
  </si>
  <si>
    <t>Leftover Crack</t>
  </si>
  <si>
    <t>Chris Lorenzo</t>
  </si>
  <si>
    <t>The Menzingers</t>
  </si>
  <si>
    <t>Yotto</t>
  </si>
  <si>
    <t>(1) in-house</t>
  </si>
  <si>
    <t>(2) React co-pro</t>
  </si>
  <si>
    <t>(3) Black Iris</t>
  </si>
  <si>
    <t>Alejandro Aranda</t>
  </si>
  <si>
    <t>Starset</t>
  </si>
  <si>
    <t>Loud Luxury (1)</t>
  </si>
  <si>
    <t>Tom Papa</t>
  </si>
  <si>
    <t>Oliver Tree</t>
  </si>
  <si>
    <t>Toro y Moi</t>
  </si>
  <si>
    <t>Sleater Kinney</t>
  </si>
  <si>
    <t>Crumb</t>
  </si>
  <si>
    <t>The Interrupters</t>
  </si>
  <si>
    <r>
      <t>A$ap Ferg</t>
    </r>
    <r>
      <rPr>
        <b/>
        <sz val="10"/>
        <rFont val="Times New Roman"/>
        <family val="1"/>
      </rPr>
      <t xml:space="preserve"> [GUARANTEED]</t>
    </r>
  </si>
  <si>
    <t>Sonny Federa</t>
  </si>
  <si>
    <t>Solomun</t>
  </si>
  <si>
    <t>Chromeo</t>
  </si>
  <si>
    <t>(4) Good Show</t>
  </si>
  <si>
    <t>(5) Paxahau</t>
  </si>
  <si>
    <t>(7) Party Store co-pro</t>
  </si>
  <si>
    <t xml:space="preserve">MAGIC STICK </t>
  </si>
  <si>
    <t>Bar Sales  - 100%</t>
  </si>
  <si>
    <t>MTC, Inc.</t>
  </si>
  <si>
    <t>VENUE TOTAL</t>
  </si>
  <si>
    <t>PARTNER SPLIT</t>
  </si>
  <si>
    <t>(6) Rental event</t>
  </si>
  <si>
    <t>Rental event</t>
  </si>
  <si>
    <t>Black Iris</t>
  </si>
  <si>
    <t>Good Show</t>
  </si>
  <si>
    <t>Paxahau</t>
  </si>
  <si>
    <t>Party Store co-pro</t>
  </si>
  <si>
    <t>React co-pro</t>
  </si>
  <si>
    <t>Magic Stick in-house</t>
  </si>
  <si>
    <t>Shows</t>
  </si>
  <si>
    <t>Shows &amp; Rentals</t>
  </si>
  <si>
    <t>Promoter Code</t>
  </si>
  <si>
    <t>MAGIC STICK TOTALS</t>
  </si>
  <si>
    <t>PROMOTER AVERAGES</t>
  </si>
  <si>
    <t>% of Total Gross Proceeds</t>
  </si>
  <si>
    <t>(8) Further Frequencies</t>
  </si>
  <si>
    <t>Further Frequencies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</si>
</sst>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m/d/yy;@"/>
    <numFmt numFmtId="167" formatCode="d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66">
    <xf numFmtId="0" fontId="0" fillId="0" borderId="0" xfId="0"/>
    <xf numFmtId="0" fontId="3" fillId="3" borderId="1" xfId="0" applyFont="1" applyFill="1" applyBorder="1"/>
    <xf numFmtId="0" fontId="2" fillId="3" borderId="2" xfId="0" applyFont="1" applyFill="1" applyBorder="1"/>
    <xf numFmtId="165" fontId="3" fillId="3" borderId="2" xfId="2" applyNumberFormat="1" applyFont="1" applyFill="1" applyBorder="1"/>
    <xf numFmtId="164" fontId="3" fillId="4" borderId="2" xfId="0" applyNumberFormat="1" applyFont="1" applyFill="1" applyBorder="1"/>
    <xf numFmtId="44" fontId="3" fillId="3" borderId="2" xfId="2" applyFont="1" applyFill="1" applyBorder="1"/>
    <xf numFmtId="43" fontId="2" fillId="0" borderId="0" xfId="0" applyNumberFormat="1" applyFont="1"/>
    <xf numFmtId="0" fontId="5" fillId="0" borderId="0" xfId="4" applyFont="1"/>
    <xf numFmtId="166" fontId="5" fillId="0" borderId="0" xfId="4" applyNumberFormat="1" applyFont="1" applyAlignment="1">
      <alignment horizontal="center"/>
    </xf>
    <xf numFmtId="167" fontId="5" fillId="0" borderId="0" xfId="4" applyNumberFormat="1" applyFont="1" applyAlignment="1">
      <alignment horizontal="center"/>
    </xf>
    <xf numFmtId="43" fontId="6" fillId="0" borderId="0" xfId="1" applyFont="1"/>
    <xf numFmtId="164" fontId="6" fillId="0" borderId="0" xfId="1" applyNumberFormat="1" applyFont="1"/>
    <xf numFmtId="0" fontId="5" fillId="2" borderId="0" xfId="4" applyFont="1" applyFill="1"/>
    <xf numFmtId="167" fontId="5" fillId="2" borderId="0" xfId="4" applyNumberFormat="1" applyFont="1" applyFill="1" applyAlignment="1">
      <alignment horizontal="center"/>
    </xf>
    <xf numFmtId="9" fontId="6" fillId="0" borderId="0" xfId="3" applyFont="1"/>
    <xf numFmtId="43" fontId="6" fillId="2" borderId="0" xfId="0" applyNumberFormat="1" applyFont="1" applyFill="1"/>
    <xf numFmtId="166" fontId="5" fillId="2" borderId="0" xfId="4" applyNumberFormat="1" applyFont="1" applyFill="1" applyAlignment="1">
      <alignment horizontal="center"/>
    </xf>
    <xf numFmtId="164" fontId="6" fillId="2" borderId="0" xfId="1" applyNumberFormat="1" applyFont="1" applyFill="1"/>
    <xf numFmtId="43" fontId="6" fillId="2" borderId="0" xfId="1" applyFont="1" applyFill="1"/>
    <xf numFmtId="9" fontId="6" fillId="2" borderId="0" xfId="3" applyFont="1" applyFill="1"/>
    <xf numFmtId="10" fontId="3" fillId="3" borderId="2" xfId="3" applyNumberFormat="1" applyFont="1" applyFill="1" applyBorder="1"/>
    <xf numFmtId="164" fontId="6" fillId="2" borderId="0" xfId="0" applyNumberFormat="1" applyFont="1" applyFill="1"/>
    <xf numFmtId="164" fontId="3" fillId="3" borderId="2" xfId="1" applyNumberFormat="1" applyFont="1" applyFill="1" applyBorder="1"/>
    <xf numFmtId="165" fontId="3" fillId="3" borderId="3" xfId="2" applyNumberFormat="1" applyFont="1" applyFill="1" applyBorder="1"/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165" fontId="3" fillId="3" borderId="1" xfId="2" applyNumberFormat="1" applyFont="1" applyFill="1" applyBorder="1"/>
    <xf numFmtId="43" fontId="2" fillId="0" borderId="7" xfId="0" applyNumberFormat="1" applyFont="1" applyBorder="1"/>
    <xf numFmtId="43" fontId="2" fillId="0" borderId="8" xfId="0" applyNumberFormat="1" applyFont="1" applyBorder="1"/>
    <xf numFmtId="164" fontId="6" fillId="2" borderId="7" xfId="1" applyNumberFormat="1" applyFont="1" applyFill="1" applyBorder="1"/>
    <xf numFmtId="164" fontId="6" fillId="2" borderId="8" xfId="3" applyNumberFormat="1" applyFont="1" applyFill="1" applyBorder="1"/>
    <xf numFmtId="164" fontId="6" fillId="0" borderId="7" xfId="1" applyNumberFormat="1" applyFont="1" applyBorder="1"/>
    <xf numFmtId="164" fontId="6" fillId="0" borderId="8" xfId="3" applyNumberFormat="1" applyFont="1" applyBorder="1"/>
    <xf numFmtId="164" fontId="6" fillId="2" borderId="7" xfId="3" applyNumberFormat="1" applyFont="1" applyFill="1" applyBorder="1"/>
    <xf numFmtId="164" fontId="6" fillId="2" borderId="0" xfId="3" applyNumberFormat="1" applyFont="1" applyFill="1"/>
    <xf numFmtId="164" fontId="6" fillId="0" borderId="7" xfId="3" applyNumberFormat="1" applyFont="1" applyBorder="1"/>
    <xf numFmtId="164" fontId="6" fillId="0" borderId="0" xfId="3" applyNumberFormat="1" applyFont="1"/>
    <xf numFmtId="165" fontId="6" fillId="2" borderId="7" xfId="2" applyNumberFormat="1" applyFont="1" applyFill="1" applyBorder="1"/>
    <xf numFmtId="165" fontId="6" fillId="2" borderId="0" xfId="2" applyNumberFormat="1" applyFont="1" applyFill="1"/>
    <xf numFmtId="165" fontId="6" fillId="2" borderId="8" xfId="2" applyNumberFormat="1" applyFont="1" applyFill="1" applyBorder="1"/>
    <xf numFmtId="164" fontId="6" fillId="0" borderId="8" xfId="1" applyNumberFormat="1" applyFont="1" applyBorder="1"/>
    <xf numFmtId="43" fontId="0" fillId="0" borderId="0" xfId="1" applyFont="1"/>
    <xf numFmtId="164" fontId="0" fillId="0" borderId="0" xfId="0" applyNumberFormat="1"/>
    <xf numFmtId="43" fontId="2" fillId="0" borderId="9" xfId="1" applyFont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43" fontId="0" fillId="0" borderId="0" xfId="0" applyNumberFormat="1"/>
    <xf numFmtId="164" fontId="0" fillId="0" borderId="0" xfId="1" applyNumberFormat="1" applyFont="1"/>
    <xf numFmtId="0" fontId="3" fillId="2" borderId="10" xfId="0" applyFont="1" applyFill="1" applyBorder="1" applyAlignment="1">
      <alignment horizontal="center" wrapText="1"/>
    </xf>
    <xf numFmtId="164" fontId="3" fillId="2" borderId="10" xfId="1" applyNumberFormat="1" applyFont="1" applyFill="1" applyBorder="1" applyAlignment="1">
      <alignment horizontal="center" wrapText="1"/>
    </xf>
    <xf numFmtId="9" fontId="0" fillId="0" borderId="0" xfId="3" applyFont="1"/>
    <xf numFmtId="164" fontId="6" fillId="2" borderId="8" xfId="1" applyNumberFormat="1" applyFont="1" applyFill="1" applyBorder="1"/>
    <xf numFmtId="0" fontId="3" fillId="2" borderId="11" xfId="0" applyFont="1" applyFill="1" applyBorder="1" applyAlignment="1">
      <alignment horizontal="center" wrapText="1"/>
    </xf>
    <xf numFmtId="43" fontId="2" fillId="0" borderId="0" xfId="0" applyNumberFormat="1" applyFont="1" applyBorder="1"/>
    <xf numFmtId="165" fontId="6" fillId="2" borderId="0" xfId="2" applyNumberFormat="1" applyFont="1" applyFill="1" applyBorder="1"/>
    <xf numFmtId="164" fontId="6" fillId="0" borderId="0" xfId="1" applyNumberFormat="1" applyFont="1" applyBorder="1"/>
    <xf numFmtId="164" fontId="6" fillId="2" borderId="0" xfId="1" applyNumberFormat="1" applyFont="1" applyFill="1" applyBorder="1"/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165" fontId="3" fillId="4" borderId="3" xfId="2" applyNumberFormat="1" applyFont="1" applyFill="1" applyBorder="1"/>
    <xf numFmtId="10" fontId="3" fillId="3" borderId="3" xfId="3" applyNumberFormat="1" applyFont="1" applyFill="1" applyBorder="1"/>
    <xf numFmtId="0" fontId="2" fillId="0" borderId="7" xfId="0" applyFont="1" applyBorder="1"/>
    <xf numFmtId="0" fontId="2" fillId="0" borderId="0" xfId="0" applyFont="1" applyBorder="1"/>
    <xf numFmtId="43" fontId="2" fillId="0" borderId="0" xfId="1" applyFont="1" applyBorder="1"/>
    <xf numFmtId="164" fontId="2" fillId="0" borderId="0" xfId="0" applyNumberFormat="1" applyFont="1" applyBorder="1"/>
    <xf numFmtId="0" fontId="5" fillId="2" borderId="7" xfId="4" applyFont="1" applyFill="1" applyBorder="1"/>
    <xf numFmtId="166" fontId="5" fillId="2" borderId="0" xfId="4" applyNumberFormat="1" applyFont="1" applyFill="1" applyBorder="1" applyAlignment="1">
      <alignment horizontal="center"/>
    </xf>
    <xf numFmtId="167" fontId="5" fillId="2" borderId="0" xfId="4" applyNumberFormat="1" applyFont="1" applyFill="1" applyBorder="1" applyAlignment="1">
      <alignment horizontal="center"/>
    </xf>
    <xf numFmtId="9" fontId="6" fillId="2" borderId="0" xfId="3" applyFont="1" applyFill="1" applyBorder="1"/>
    <xf numFmtId="44" fontId="6" fillId="2" borderId="0" xfId="2" applyFont="1" applyFill="1" applyBorder="1"/>
    <xf numFmtId="9" fontId="6" fillId="2" borderId="8" xfId="3" applyFont="1" applyFill="1" applyBorder="1"/>
    <xf numFmtId="0" fontId="5" fillId="0" borderId="7" xfId="4" applyFont="1" applyBorder="1"/>
    <xf numFmtId="166" fontId="5" fillId="0" borderId="0" xfId="4" applyNumberFormat="1" applyFont="1" applyBorder="1" applyAlignment="1">
      <alignment horizontal="center"/>
    </xf>
    <xf numFmtId="167" fontId="5" fillId="0" borderId="0" xfId="4" applyNumberFormat="1" applyFont="1" applyBorder="1" applyAlignment="1">
      <alignment horizontal="center"/>
    </xf>
    <xf numFmtId="9" fontId="6" fillId="0" borderId="0" xfId="3" applyFont="1" applyBorder="1"/>
    <xf numFmtId="43" fontId="6" fillId="0" borderId="0" xfId="1" applyFont="1" applyBorder="1"/>
    <xf numFmtId="164" fontId="6" fillId="0" borderId="0" xfId="0" applyNumberFormat="1" applyFont="1" applyBorder="1"/>
    <xf numFmtId="43" fontId="6" fillId="0" borderId="0" xfId="0" applyNumberFormat="1" applyFont="1" applyBorder="1"/>
    <xf numFmtId="9" fontId="6" fillId="0" borderId="8" xfId="3" applyFont="1" applyBorder="1"/>
    <xf numFmtId="43" fontId="6" fillId="2" borderId="0" xfId="1" applyFont="1" applyFill="1" applyBorder="1"/>
    <xf numFmtId="164" fontId="6" fillId="2" borderId="0" xfId="0" applyNumberFormat="1" applyFont="1" applyFill="1" applyBorder="1"/>
    <xf numFmtId="43" fontId="6" fillId="2" borderId="0" xfId="0" applyNumberFormat="1" applyFont="1" applyFill="1" applyBorder="1"/>
    <xf numFmtId="43" fontId="6" fillId="0" borderId="0" xfId="1" applyNumberFormat="1" applyFont="1" applyBorder="1"/>
    <xf numFmtId="43" fontId="6" fillId="2" borderId="0" xfId="1" applyNumberFormat="1" applyFont="1" applyFill="1" applyBorder="1"/>
    <xf numFmtId="0" fontId="5" fillId="0" borderId="0" xfId="4" applyFont="1" applyFill="1"/>
    <xf numFmtId="164" fontId="6" fillId="2" borderId="0" xfId="3" applyNumberFormat="1" applyFont="1" applyFill="1" applyBorder="1"/>
    <xf numFmtId="43" fontId="2" fillId="0" borderId="17" xfId="0" applyNumberFormat="1" applyFont="1" applyBorder="1"/>
    <xf numFmtId="43" fontId="2" fillId="0" borderId="18" xfId="0" applyNumberFormat="1" applyFont="1" applyBorder="1"/>
    <xf numFmtId="43" fontId="2" fillId="0" borderId="19" xfId="0" applyNumberFormat="1" applyFont="1" applyBorder="1"/>
    <xf numFmtId="164" fontId="6" fillId="0" borderId="0" xfId="3" applyNumberFormat="1" applyFont="1" applyBorder="1"/>
    <xf numFmtId="0" fontId="2" fillId="0" borderId="17" xfId="0" applyFont="1" applyBorder="1"/>
    <xf numFmtId="0" fontId="2" fillId="0" borderId="18" xfId="0" applyFont="1" applyBorder="1"/>
    <xf numFmtId="43" fontId="2" fillId="0" borderId="18" xfId="1" applyFont="1" applyBorder="1"/>
    <xf numFmtId="164" fontId="2" fillId="0" borderId="18" xfId="0" applyNumberFormat="1" applyFont="1" applyBorder="1"/>
    <xf numFmtId="0" fontId="5" fillId="0" borderId="7" xfId="4" applyFont="1" applyFill="1" applyBorder="1"/>
    <xf numFmtId="166" fontId="5" fillId="0" borderId="0" xfId="4" applyNumberFormat="1" applyFont="1" applyFill="1" applyBorder="1" applyAlignment="1">
      <alignment horizontal="center"/>
    </xf>
    <xf numFmtId="167" fontId="5" fillId="0" borderId="0" xfId="4" applyNumberFormat="1" applyFont="1" applyFill="1" applyBorder="1" applyAlignment="1">
      <alignment horizontal="center"/>
    </xf>
    <xf numFmtId="164" fontId="6" fillId="0" borderId="0" xfId="1" applyNumberFormat="1" applyFont="1" applyFill="1" applyBorder="1"/>
    <xf numFmtId="9" fontId="6" fillId="0" borderId="0" xfId="3" applyFont="1" applyFill="1" applyBorder="1"/>
    <xf numFmtId="43" fontId="6" fillId="0" borderId="0" xfId="1" applyFont="1" applyFill="1" applyBorder="1"/>
    <xf numFmtId="43" fontId="6" fillId="0" borderId="0" xfId="0" applyNumberFormat="1" applyFont="1" applyFill="1" applyBorder="1"/>
    <xf numFmtId="164" fontId="6" fillId="0" borderId="8" xfId="3" applyNumberFormat="1" applyFont="1" applyFill="1" applyBorder="1"/>
    <xf numFmtId="164" fontId="6" fillId="0" borderId="0" xfId="3" applyNumberFormat="1" applyFont="1" applyFill="1" applyBorder="1"/>
    <xf numFmtId="0" fontId="3" fillId="2" borderId="2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2" borderId="0" xfId="4" applyFont="1" applyFill="1" applyBorder="1" applyAlignment="1">
      <alignment horizontal="center"/>
    </xf>
    <xf numFmtId="0" fontId="5" fillId="0" borderId="0" xfId="4" applyFont="1" applyBorder="1" applyAlignment="1">
      <alignment horizontal="center"/>
    </xf>
    <xf numFmtId="164" fontId="6" fillId="0" borderId="7" xfId="3" applyNumberFormat="1" applyFont="1" applyFill="1" applyBorder="1"/>
    <xf numFmtId="9" fontId="6" fillId="0" borderId="8" xfId="3" applyFont="1" applyFill="1" applyBorder="1"/>
    <xf numFmtId="0" fontId="5" fillId="0" borderId="14" xfId="4" applyFont="1" applyBorder="1"/>
    <xf numFmtId="166" fontId="5" fillId="0" borderId="15" xfId="4" applyNumberFormat="1" applyFont="1" applyBorder="1" applyAlignment="1">
      <alignment horizontal="center"/>
    </xf>
    <xf numFmtId="167" fontId="5" fillId="0" borderId="15" xfId="4" applyNumberFormat="1" applyFont="1" applyBorder="1" applyAlignment="1">
      <alignment horizontal="center"/>
    </xf>
    <xf numFmtId="164" fontId="6" fillId="0" borderId="15" xfId="1" applyNumberFormat="1" applyFont="1" applyBorder="1"/>
    <xf numFmtId="43" fontId="6" fillId="0" borderId="15" xfId="1" applyFont="1" applyBorder="1"/>
    <xf numFmtId="9" fontId="6" fillId="0" borderId="16" xfId="3" applyFont="1" applyBorder="1"/>
    <xf numFmtId="164" fontId="6" fillId="0" borderId="7" xfId="1" applyNumberFormat="1" applyFont="1" applyFill="1" applyBorder="1"/>
    <xf numFmtId="164" fontId="6" fillId="0" borderId="14" xfId="1" applyNumberFormat="1" applyFont="1" applyBorder="1"/>
    <xf numFmtId="164" fontId="6" fillId="0" borderId="16" xfId="1" applyNumberFormat="1" applyFont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9" fontId="3" fillId="3" borderId="3" xfId="3" applyNumberFormat="1" applyFont="1" applyFill="1" applyBorder="1"/>
    <xf numFmtId="44" fontId="0" fillId="0" borderId="0" xfId="0" applyNumberFormat="1"/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165" fontId="3" fillId="4" borderId="2" xfId="2" applyNumberFormat="1" applyFont="1" applyFill="1" applyBorder="1"/>
    <xf numFmtId="165" fontId="3" fillId="4" borderId="1" xfId="2" applyNumberFormat="1" applyFont="1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0" fillId="0" borderId="8" xfId="3" applyNumberFormat="1" applyFont="1" applyBorder="1"/>
    <xf numFmtId="165" fontId="0" fillId="0" borderId="0" xfId="0" applyNumberFormat="1" applyBorder="1"/>
    <xf numFmtId="164" fontId="0" fillId="0" borderId="0" xfId="1" applyNumberFormat="1" applyFont="1" applyBorder="1"/>
    <xf numFmtId="10" fontId="0" fillId="0" borderId="0" xfId="3" applyNumberFormat="1" applyFont="1" applyBorder="1"/>
    <xf numFmtId="165" fontId="0" fillId="0" borderId="0" xfId="2" applyNumberFormat="1" applyFont="1" applyBorder="1"/>
    <xf numFmtId="44" fontId="0" fillId="0" borderId="0" xfId="2" applyNumberFormat="1" applyFont="1" applyBorder="1"/>
    <xf numFmtId="165" fontId="0" fillId="0" borderId="7" xfId="2" applyNumberFormat="1" applyFont="1" applyBorder="1"/>
    <xf numFmtId="165" fontId="0" fillId="0" borderId="8" xfId="2" applyNumberFormat="1" applyFont="1" applyBorder="1"/>
    <xf numFmtId="0" fontId="5" fillId="0" borderId="0" xfId="4" applyFont="1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Border="1"/>
    <xf numFmtId="164" fontId="0" fillId="2" borderId="0" xfId="1" applyNumberFormat="1" applyFont="1" applyFill="1" applyBorder="1"/>
    <xf numFmtId="10" fontId="0" fillId="2" borderId="0" xfId="3" applyNumberFormat="1" applyFont="1" applyFill="1" applyBorder="1"/>
    <xf numFmtId="165" fontId="0" fillId="2" borderId="0" xfId="2" applyNumberFormat="1" applyFont="1" applyFill="1" applyBorder="1"/>
    <xf numFmtId="44" fontId="0" fillId="2" borderId="0" xfId="2" applyNumberFormat="1" applyFont="1" applyFill="1" applyBorder="1"/>
    <xf numFmtId="10" fontId="0" fillId="2" borderId="8" xfId="3" applyNumberFormat="1" applyFont="1" applyFill="1" applyBorder="1"/>
    <xf numFmtId="165" fontId="0" fillId="2" borderId="7" xfId="2" applyNumberFormat="1" applyFont="1" applyFill="1" applyBorder="1"/>
    <xf numFmtId="165" fontId="0" fillId="2" borderId="8" xfId="2" applyNumberFormat="1" applyFont="1" applyFill="1" applyBorder="1"/>
  </cellXfs>
  <cellStyles count="5">
    <cellStyle name="Comma" xfId="1" builtinId="3"/>
    <cellStyle name="Currency" xfId="2" builtinId="4"/>
    <cellStyle name="Normal" xfId="0" builtinId="0"/>
    <cellStyle name="Normal 4" xfId="4" xr:uid="{83C3FACD-70ED-4E5C-9220-6B5EDB13734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5E21-7B0B-42B4-97C5-A80E740F4480}">
  <sheetPr>
    <pageSetUpPr fitToPage="1"/>
  </sheetPr>
  <dimension ref="A1:Y108"/>
  <sheetViews>
    <sheetView tabSelected="1" zoomScaleNormal="100" workbookViewId="0">
      <pane ySplit="5" topLeftCell="A9" activePane="bottomLeft" state="frozen"/>
      <selection pane="bottomLeft" activeCell="B24" sqref="B24"/>
    </sheetView>
  </sheetViews>
  <sheetFormatPr defaultRowHeight="14.4" x14ac:dyDescent="0.3"/>
  <cols>
    <col min="1" max="1" width="4" bestFit="1" customWidth="1"/>
    <col min="2" max="2" width="34.21875" bestFit="1" customWidth="1"/>
    <col min="3" max="3" width="8.109375" bestFit="1" customWidth="1"/>
    <col min="4" max="4" width="6" bestFit="1" customWidth="1"/>
    <col min="5" max="5" width="7.88671875" bestFit="1" customWidth="1"/>
    <col min="6" max="6" width="8.6640625" bestFit="1" customWidth="1"/>
    <col min="7" max="7" width="9.21875" bestFit="1" customWidth="1"/>
    <col min="8" max="8" width="11.88671875" bestFit="1" customWidth="1"/>
    <col min="9" max="9" width="10.88671875" bestFit="1" customWidth="1"/>
    <col min="10" max="10" width="9.88671875" bestFit="1" customWidth="1"/>
    <col min="11" max="11" width="9.6640625" bestFit="1" customWidth="1"/>
    <col min="12" max="12" width="9.88671875" bestFit="1" customWidth="1"/>
    <col min="13" max="13" width="8.33203125" bestFit="1" customWidth="1"/>
    <col min="14" max="14" width="11.109375" bestFit="1" customWidth="1"/>
    <col min="15" max="15" width="10.109375" customWidth="1"/>
    <col min="16" max="16" width="13.77734375" bestFit="1" customWidth="1"/>
    <col min="17" max="17" width="11.109375" bestFit="1" customWidth="1"/>
    <col min="18" max="18" width="10.109375" customWidth="1"/>
    <col min="19" max="19" width="13.77734375" bestFit="1" customWidth="1"/>
    <col min="20" max="20" width="11.109375" bestFit="1" customWidth="1"/>
    <col min="21" max="21" width="10.109375" bestFit="1" customWidth="1"/>
    <col min="22" max="22" width="11.21875" bestFit="1" customWidth="1"/>
    <col min="23" max="23" width="10.6640625" bestFit="1" customWidth="1"/>
    <col min="24" max="24" width="11" bestFit="1" customWidth="1"/>
    <col min="25" max="26" width="10.44140625" bestFit="1" customWidth="1"/>
    <col min="27" max="27" width="9.33203125" bestFit="1" customWidth="1"/>
    <col min="31" max="32" width="9.33203125" bestFit="1" customWidth="1"/>
    <col min="33" max="33" width="11.5546875" bestFit="1" customWidth="1"/>
  </cols>
  <sheetData>
    <row r="1" spans="1:23" ht="15" thickBot="1" x14ac:dyDescent="0.35">
      <c r="M1" s="50"/>
      <c r="N1" s="129" t="s">
        <v>181</v>
      </c>
      <c r="O1" s="130"/>
      <c r="P1" s="131"/>
      <c r="Q1" s="132" t="s">
        <v>182</v>
      </c>
      <c r="R1" s="133"/>
      <c r="S1" s="133"/>
      <c r="T1" s="133"/>
      <c r="U1" s="133"/>
      <c r="V1" s="134"/>
    </row>
    <row r="2" spans="1:23" ht="15" thickBot="1" x14ac:dyDescent="0.35">
      <c r="B2" s="126" t="s">
        <v>67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  <c r="N2" s="120" t="s">
        <v>24</v>
      </c>
      <c r="O2" s="121"/>
      <c r="P2" s="122"/>
      <c r="Q2" s="120" t="s">
        <v>180</v>
      </c>
      <c r="R2" s="121"/>
      <c r="S2" s="122"/>
      <c r="T2" s="123" t="s">
        <v>25</v>
      </c>
      <c r="U2" s="124"/>
      <c r="V2" s="125"/>
    </row>
    <row r="3" spans="1:23" ht="84" thickBot="1" x14ac:dyDescent="0.35">
      <c r="B3" s="57" t="s">
        <v>0</v>
      </c>
      <c r="C3" s="48" t="s">
        <v>1</v>
      </c>
      <c r="D3" s="48" t="s">
        <v>2</v>
      </c>
      <c r="E3" s="49" t="s">
        <v>8</v>
      </c>
      <c r="F3" s="49" t="s">
        <v>84</v>
      </c>
      <c r="G3" s="49" t="s">
        <v>85</v>
      </c>
      <c r="H3" s="48" t="s">
        <v>3</v>
      </c>
      <c r="I3" s="48" t="s">
        <v>4</v>
      </c>
      <c r="J3" s="48" t="s">
        <v>5</v>
      </c>
      <c r="K3" s="48" t="s">
        <v>6</v>
      </c>
      <c r="L3" s="48" t="s">
        <v>7</v>
      </c>
      <c r="M3" s="58" t="s">
        <v>26</v>
      </c>
      <c r="N3" s="24" t="s">
        <v>21</v>
      </c>
      <c r="O3" s="25" t="s">
        <v>179</v>
      </c>
      <c r="P3" s="26" t="s">
        <v>28</v>
      </c>
      <c r="Q3" s="24" t="s">
        <v>21</v>
      </c>
      <c r="R3" s="25" t="s">
        <v>22</v>
      </c>
      <c r="S3" s="26" t="s">
        <v>28</v>
      </c>
      <c r="T3" s="24" t="s">
        <v>21</v>
      </c>
      <c r="U3" s="25" t="s">
        <v>27</v>
      </c>
      <c r="V3" s="26" t="s">
        <v>23</v>
      </c>
      <c r="W3" s="44" t="s">
        <v>33</v>
      </c>
    </row>
    <row r="4" spans="1:23" ht="15" thickBot="1" x14ac:dyDescent="0.35">
      <c r="B4" s="1" t="s">
        <v>9</v>
      </c>
      <c r="C4" s="2"/>
      <c r="D4" s="2"/>
      <c r="E4" s="22">
        <f>SUM(E7:E108)</f>
        <v>48058</v>
      </c>
      <c r="F4" s="22">
        <f>SUM(F7:F108)</f>
        <v>79903</v>
      </c>
      <c r="G4" s="4"/>
      <c r="H4" s="3">
        <f>SUM(H7:H108)</f>
        <v>1567678.4599999997</v>
      </c>
      <c r="I4" s="4"/>
      <c r="J4" s="3">
        <f>SUM(J7:J108)</f>
        <v>469010.18000000005</v>
      </c>
      <c r="K4" s="4"/>
      <c r="L4" s="3">
        <f t="shared" ref="L4:V4" si="0">SUM(L7:L108)</f>
        <v>916655.94100000011</v>
      </c>
      <c r="M4" s="59">
        <f t="shared" si="0"/>
        <v>53.699746676279993</v>
      </c>
      <c r="N4" s="27">
        <f t="shared" ref="N4:P4" si="1">SUM(N7:N108)</f>
        <v>89341.569211810027</v>
      </c>
      <c r="O4" s="3">
        <f t="shared" si="1"/>
        <v>469010.18000000005</v>
      </c>
      <c r="P4" s="23">
        <f t="shared" si="1"/>
        <v>558351.74921180995</v>
      </c>
      <c r="Q4" s="27">
        <f t="shared" si="0"/>
        <v>44670.784605905013</v>
      </c>
      <c r="R4" s="3">
        <f t="shared" si="0"/>
        <v>328307.12599999993</v>
      </c>
      <c r="S4" s="23">
        <f t="shared" si="0"/>
        <v>372977.91060590505</v>
      </c>
      <c r="T4" s="27">
        <f t="shared" si="0"/>
        <v>44670.784605905013</v>
      </c>
      <c r="U4" s="3">
        <f t="shared" si="0"/>
        <v>140703.05399999992</v>
      </c>
      <c r="V4" s="23">
        <f t="shared" si="0"/>
        <v>185373.83860590492</v>
      </c>
    </row>
    <row r="5" spans="1:23" ht="15" thickBot="1" x14ac:dyDescent="0.35">
      <c r="B5" s="1" t="s">
        <v>10</v>
      </c>
      <c r="C5" s="2"/>
      <c r="D5" s="2"/>
      <c r="E5" s="22">
        <f>E4/COUNTA(E7:E108)</f>
        <v>608.3291139240506</v>
      </c>
      <c r="F5" s="22">
        <f>F4/COUNTA(F7:F108)</f>
        <v>1011.4303797468355</v>
      </c>
      <c r="G5" s="20">
        <f>E4/F4</f>
        <v>0.60145426329424423</v>
      </c>
      <c r="H5" s="3">
        <f>H4/COUNTA(H7:H108)</f>
        <v>19844.031139240502</v>
      </c>
      <c r="I5" s="5">
        <f>H4/E4</f>
        <v>32.620551417037738</v>
      </c>
      <c r="J5" s="3">
        <f>J4/COUNTA(J7:J108)</f>
        <v>5650.7250602409649</v>
      </c>
      <c r="K5" s="5">
        <f>J4/E4</f>
        <v>9.7592529859752801</v>
      </c>
      <c r="L5" s="3">
        <f>L4/COUNTA(L7:L108)</f>
        <v>11603.239759493672</v>
      </c>
      <c r="M5" s="60">
        <f>L4/H4</f>
        <v>0.58472190847095029</v>
      </c>
      <c r="N5" s="27">
        <f t="shared" ref="N5:P5" si="2">N4/COUNTA(N7:N108)</f>
        <v>1076.4044483350606</v>
      </c>
      <c r="O5" s="3">
        <f t="shared" si="2"/>
        <v>5650.7250602409649</v>
      </c>
      <c r="P5" s="23">
        <f t="shared" si="2"/>
        <v>6727.1295085760239</v>
      </c>
      <c r="Q5" s="27">
        <f t="shared" ref="Q5:V5" si="3">Q4/COUNTA(Q7:Q108)</f>
        <v>551.49116797413592</v>
      </c>
      <c r="R5" s="3">
        <f t="shared" si="3"/>
        <v>3955.5075421686738</v>
      </c>
      <c r="S5" s="23">
        <f t="shared" si="3"/>
        <v>4493.7097663362056</v>
      </c>
      <c r="T5" s="27">
        <f t="shared" si="3"/>
        <v>551.49116797413592</v>
      </c>
      <c r="U5" s="3">
        <f t="shared" si="3"/>
        <v>1695.2175180722882</v>
      </c>
      <c r="V5" s="23">
        <f t="shared" si="3"/>
        <v>2233.4197422398183</v>
      </c>
    </row>
    <row r="6" spans="1:23" x14ac:dyDescent="0.3">
      <c r="B6" s="90"/>
      <c r="C6" s="91"/>
      <c r="D6" s="91"/>
      <c r="E6" s="92"/>
      <c r="F6" s="92"/>
      <c r="G6" s="92"/>
      <c r="H6" s="87"/>
      <c r="I6" s="93"/>
      <c r="J6" s="87"/>
      <c r="K6" s="93"/>
      <c r="L6" s="87"/>
      <c r="M6" s="88"/>
      <c r="N6" s="86"/>
      <c r="O6" s="87"/>
      <c r="P6" s="88"/>
      <c r="Q6" s="86"/>
      <c r="R6" s="87"/>
      <c r="S6" s="88"/>
      <c r="T6" s="86"/>
      <c r="U6" s="87"/>
      <c r="V6" s="88"/>
    </row>
    <row r="7" spans="1:23" x14ac:dyDescent="0.3">
      <c r="A7" s="12">
        <v>1</v>
      </c>
      <c r="B7" s="65" t="s">
        <v>11</v>
      </c>
      <c r="C7" s="66">
        <v>43467</v>
      </c>
      <c r="D7" s="67">
        <f t="shared" ref="D7:D21" si="4">C7</f>
        <v>43467</v>
      </c>
      <c r="E7" s="56">
        <v>1092</v>
      </c>
      <c r="F7" s="56">
        <v>1100</v>
      </c>
      <c r="G7" s="68">
        <f t="shared" ref="G7:G27" si="5">IFERROR(E7/F7,"")</f>
        <v>0.99272727272727268</v>
      </c>
      <c r="H7" s="54">
        <v>34484</v>
      </c>
      <c r="I7" s="69">
        <f t="shared" ref="I7:I21" si="6">IFERROR(H7/E7,"")</f>
        <v>31.57875457875458</v>
      </c>
      <c r="J7" s="54">
        <v>4600.91</v>
      </c>
      <c r="K7" s="69">
        <f t="shared" ref="K7:K21" si="7">IFERROR(J7/E7,"")</f>
        <v>4.2132875457875461</v>
      </c>
      <c r="L7" s="54">
        <v>16500</v>
      </c>
      <c r="M7" s="70">
        <f>L7/H7</f>
        <v>0.47848277462011368</v>
      </c>
      <c r="N7" s="30">
        <f t="shared" ref="N7:N68" si="8">Q7+T7</f>
        <v>11365.64</v>
      </c>
      <c r="O7" s="56">
        <f t="shared" ref="O7:O68" si="9">R7+U7</f>
        <v>4600.91</v>
      </c>
      <c r="P7" s="40">
        <f>N7+O7</f>
        <v>15966.55</v>
      </c>
      <c r="Q7" s="38">
        <f>W7*50%</f>
        <v>5682.82</v>
      </c>
      <c r="R7" s="54">
        <f>J7*70%</f>
        <v>3220.6369999999997</v>
      </c>
      <c r="S7" s="40">
        <f>Q7+R7</f>
        <v>8903.4569999999985</v>
      </c>
      <c r="T7" s="38">
        <f>Q7</f>
        <v>5682.82</v>
      </c>
      <c r="U7" s="54">
        <f>J7*30%</f>
        <v>1380.2729999999999</v>
      </c>
      <c r="V7" s="40">
        <f>T7+U7</f>
        <v>7063.0929999999998</v>
      </c>
      <c r="W7" s="42">
        <v>11365.64</v>
      </c>
    </row>
    <row r="8" spans="1:23" ht="16.2" x14ac:dyDescent="0.3">
      <c r="A8" s="7">
        <v>2</v>
      </c>
      <c r="B8" s="71" t="s">
        <v>107</v>
      </c>
      <c r="C8" s="72">
        <v>43470</v>
      </c>
      <c r="D8" s="73">
        <f t="shared" si="4"/>
        <v>43470</v>
      </c>
      <c r="E8" s="55">
        <v>658</v>
      </c>
      <c r="F8" s="55">
        <v>1100</v>
      </c>
      <c r="G8" s="74">
        <f t="shared" si="5"/>
        <v>0.59818181818181815</v>
      </c>
      <c r="H8" s="55">
        <v>15822.5</v>
      </c>
      <c r="I8" s="75">
        <f t="shared" si="6"/>
        <v>24.046352583586625</v>
      </c>
      <c r="J8" s="76">
        <v>9016.06</v>
      </c>
      <c r="K8" s="77">
        <f t="shared" si="7"/>
        <v>13.702218844984802</v>
      </c>
      <c r="L8" s="55">
        <v>7500</v>
      </c>
      <c r="M8" s="78">
        <f>L8/H8</f>
        <v>0.47400853215357874</v>
      </c>
      <c r="N8" s="117">
        <f t="shared" si="8"/>
        <v>1217.21211612</v>
      </c>
      <c r="O8" s="97">
        <f t="shared" si="9"/>
        <v>9016.06</v>
      </c>
      <c r="P8" s="33">
        <f t="shared" ref="P8:P18" si="10">N8+O8</f>
        <v>10233.272116119999</v>
      </c>
      <c r="Q8" s="32">
        <f>W8*33.3333%</f>
        <v>608.60605806000001</v>
      </c>
      <c r="R8" s="55">
        <f t="shared" ref="R8:R21" si="11">J8*70%</f>
        <v>6311.2419999999993</v>
      </c>
      <c r="S8" s="33">
        <f t="shared" ref="S8:S22" si="12">Q8+R8</f>
        <v>6919.8480580599989</v>
      </c>
      <c r="T8" s="36">
        <f t="shared" ref="T8:T20" si="13">Q8</f>
        <v>608.60605806000001</v>
      </c>
      <c r="U8" s="89">
        <f t="shared" ref="U8:U21" si="14">J8*30%</f>
        <v>2704.8179999999998</v>
      </c>
      <c r="V8" s="33">
        <f t="shared" ref="V8:V21" si="15">T8+U8</f>
        <v>3313.4240580599999</v>
      </c>
      <c r="W8" s="42">
        <v>1825.82</v>
      </c>
    </row>
    <row r="9" spans="1:23" x14ac:dyDescent="0.3">
      <c r="A9" s="12">
        <v>3</v>
      </c>
      <c r="B9" s="65" t="s">
        <v>12</v>
      </c>
      <c r="C9" s="66">
        <v>43489</v>
      </c>
      <c r="D9" s="67">
        <f t="shared" si="4"/>
        <v>43489</v>
      </c>
      <c r="E9" s="56">
        <v>325</v>
      </c>
      <c r="F9" s="56">
        <v>400</v>
      </c>
      <c r="G9" s="68">
        <f t="shared" si="5"/>
        <v>0.8125</v>
      </c>
      <c r="H9" s="56">
        <v>16471</v>
      </c>
      <c r="I9" s="79">
        <f t="shared" si="6"/>
        <v>50.68</v>
      </c>
      <c r="J9" s="80">
        <v>1563.51</v>
      </c>
      <c r="K9" s="81">
        <f t="shared" si="7"/>
        <v>4.8108000000000004</v>
      </c>
      <c r="L9" s="56">
        <v>6000</v>
      </c>
      <c r="M9" s="70">
        <f t="shared" ref="M9:M21" si="16">L9/H9</f>
        <v>0.36427660737053003</v>
      </c>
      <c r="N9" s="30">
        <f t="shared" si="8"/>
        <v>2128.2800000000002</v>
      </c>
      <c r="O9" s="56">
        <f t="shared" si="9"/>
        <v>1563.5099999999998</v>
      </c>
      <c r="P9" s="40">
        <f t="shared" si="10"/>
        <v>3691.79</v>
      </c>
      <c r="Q9" s="30">
        <f t="shared" ref="Q9:Q47" si="17">W9*50%</f>
        <v>1064.1400000000001</v>
      </c>
      <c r="R9" s="56">
        <f t="shared" si="11"/>
        <v>1094.4569999999999</v>
      </c>
      <c r="S9" s="31">
        <f t="shared" si="12"/>
        <v>2158.5969999999998</v>
      </c>
      <c r="T9" s="34">
        <f t="shared" si="13"/>
        <v>1064.1400000000001</v>
      </c>
      <c r="U9" s="85">
        <f t="shared" si="14"/>
        <v>469.053</v>
      </c>
      <c r="V9" s="31">
        <f t="shared" si="15"/>
        <v>1533.1930000000002</v>
      </c>
      <c r="W9" s="42">
        <v>2128.2800000000002</v>
      </c>
    </row>
    <row r="10" spans="1:23" x14ac:dyDescent="0.3">
      <c r="A10" s="7">
        <v>4</v>
      </c>
      <c r="B10" s="71" t="s">
        <v>20</v>
      </c>
      <c r="C10" s="72">
        <v>43491</v>
      </c>
      <c r="D10" s="73">
        <f t="shared" si="4"/>
        <v>43491</v>
      </c>
      <c r="E10" s="55">
        <v>1100</v>
      </c>
      <c r="F10" s="55">
        <v>1100</v>
      </c>
      <c r="G10" s="74">
        <f t="shared" si="5"/>
        <v>1</v>
      </c>
      <c r="H10" s="55">
        <v>37758</v>
      </c>
      <c r="I10" s="75">
        <f t="shared" si="6"/>
        <v>34.325454545454548</v>
      </c>
      <c r="J10" s="76">
        <v>12222.24</v>
      </c>
      <c r="K10" s="77">
        <f t="shared" si="7"/>
        <v>11.111127272727273</v>
      </c>
      <c r="L10" s="55">
        <v>15516.32</v>
      </c>
      <c r="M10" s="78">
        <f t="shared" si="16"/>
        <v>0.41094125748185817</v>
      </c>
      <c r="N10" s="117">
        <f t="shared" si="8"/>
        <v>11019.12</v>
      </c>
      <c r="O10" s="97">
        <f t="shared" si="9"/>
        <v>12222.24</v>
      </c>
      <c r="P10" s="33">
        <f t="shared" si="10"/>
        <v>23241.360000000001</v>
      </c>
      <c r="Q10" s="32">
        <f t="shared" si="17"/>
        <v>5509.56</v>
      </c>
      <c r="R10" s="55">
        <f t="shared" si="11"/>
        <v>8555.5679999999993</v>
      </c>
      <c r="S10" s="33">
        <f t="shared" si="12"/>
        <v>14065.128000000001</v>
      </c>
      <c r="T10" s="36">
        <f t="shared" si="13"/>
        <v>5509.56</v>
      </c>
      <c r="U10" s="89">
        <f t="shared" si="14"/>
        <v>3666.672</v>
      </c>
      <c r="V10" s="33">
        <f t="shared" si="15"/>
        <v>9176.232</v>
      </c>
      <c r="W10" s="42">
        <v>11019.12</v>
      </c>
    </row>
    <row r="11" spans="1:23" x14ac:dyDescent="0.3">
      <c r="A11" s="12">
        <v>5</v>
      </c>
      <c r="B11" s="65" t="s">
        <v>13</v>
      </c>
      <c r="C11" s="66">
        <v>43492</v>
      </c>
      <c r="D11" s="67">
        <f t="shared" si="4"/>
        <v>43492</v>
      </c>
      <c r="E11" s="56">
        <v>961</v>
      </c>
      <c r="F11" s="56">
        <v>1000</v>
      </c>
      <c r="G11" s="68">
        <f t="shared" si="5"/>
        <v>0.96099999999999997</v>
      </c>
      <c r="H11" s="56">
        <v>30066.5</v>
      </c>
      <c r="I11" s="79">
        <f t="shared" si="6"/>
        <v>31.286680541103017</v>
      </c>
      <c r="J11" s="80">
        <v>6018.26</v>
      </c>
      <c r="K11" s="81">
        <f t="shared" si="7"/>
        <v>6.262497398543184</v>
      </c>
      <c r="L11" s="56">
        <v>15763.8</v>
      </c>
      <c r="M11" s="70">
        <f t="shared" si="16"/>
        <v>0.52429780652886104</v>
      </c>
      <c r="N11" s="30">
        <f t="shared" si="8"/>
        <v>7719.22</v>
      </c>
      <c r="O11" s="56">
        <f t="shared" si="9"/>
        <v>6018.26</v>
      </c>
      <c r="P11" s="40">
        <f t="shared" si="10"/>
        <v>13737.48</v>
      </c>
      <c r="Q11" s="30">
        <f t="shared" si="17"/>
        <v>3859.61</v>
      </c>
      <c r="R11" s="56">
        <f t="shared" si="11"/>
        <v>4212.7820000000002</v>
      </c>
      <c r="S11" s="31">
        <f t="shared" si="12"/>
        <v>8072.3919999999998</v>
      </c>
      <c r="T11" s="34">
        <f t="shared" si="13"/>
        <v>3859.61</v>
      </c>
      <c r="U11" s="85">
        <f t="shared" si="14"/>
        <v>1805.4780000000001</v>
      </c>
      <c r="V11" s="31">
        <f t="shared" si="15"/>
        <v>5665.0879999999997</v>
      </c>
      <c r="W11" s="42">
        <v>7719.22</v>
      </c>
    </row>
    <row r="12" spans="1:23" x14ac:dyDescent="0.3">
      <c r="A12" s="7">
        <v>6</v>
      </c>
      <c r="B12" s="71" t="s">
        <v>14</v>
      </c>
      <c r="C12" s="72">
        <v>43498</v>
      </c>
      <c r="D12" s="73">
        <f t="shared" si="4"/>
        <v>43498</v>
      </c>
      <c r="E12" s="55">
        <v>499</v>
      </c>
      <c r="F12" s="55">
        <v>1100</v>
      </c>
      <c r="G12" s="74">
        <f t="shared" si="5"/>
        <v>0.45363636363636362</v>
      </c>
      <c r="H12" s="55">
        <v>12212.5</v>
      </c>
      <c r="I12" s="75">
        <f t="shared" si="6"/>
        <v>24.473947895791582</v>
      </c>
      <c r="J12" s="76">
        <v>9715.3799999999992</v>
      </c>
      <c r="K12" s="77">
        <f t="shared" si="7"/>
        <v>19.469699398797594</v>
      </c>
      <c r="L12" s="55">
        <v>5119</v>
      </c>
      <c r="M12" s="78">
        <f t="shared" si="16"/>
        <v>0.41916069600818834</v>
      </c>
      <c r="N12" s="117">
        <f t="shared" si="8"/>
        <v>738.14</v>
      </c>
      <c r="O12" s="97">
        <f t="shared" si="9"/>
        <v>9715.3799999999974</v>
      </c>
      <c r="P12" s="33">
        <f t="shared" si="10"/>
        <v>10453.519999999997</v>
      </c>
      <c r="Q12" s="32">
        <f t="shared" si="17"/>
        <v>369.07</v>
      </c>
      <c r="R12" s="55">
        <f t="shared" si="11"/>
        <v>6800.7659999999987</v>
      </c>
      <c r="S12" s="33">
        <f t="shared" si="12"/>
        <v>7169.8359999999984</v>
      </c>
      <c r="T12" s="36">
        <f t="shared" si="13"/>
        <v>369.07</v>
      </c>
      <c r="U12" s="89">
        <f t="shared" si="14"/>
        <v>2914.6139999999996</v>
      </c>
      <c r="V12" s="33">
        <f t="shared" si="15"/>
        <v>3283.6839999999997</v>
      </c>
      <c r="W12" s="42">
        <v>738.14</v>
      </c>
    </row>
    <row r="13" spans="1:23" x14ac:dyDescent="0.3">
      <c r="A13" s="12">
        <v>7</v>
      </c>
      <c r="B13" s="65" t="s">
        <v>15</v>
      </c>
      <c r="C13" s="66">
        <v>43509</v>
      </c>
      <c r="D13" s="67">
        <f t="shared" si="4"/>
        <v>43509</v>
      </c>
      <c r="E13" s="56">
        <v>417</v>
      </c>
      <c r="F13" s="56">
        <v>1000</v>
      </c>
      <c r="G13" s="68">
        <f t="shared" si="5"/>
        <v>0.41699999999999998</v>
      </c>
      <c r="H13" s="56">
        <v>12917.5</v>
      </c>
      <c r="I13" s="79">
        <f t="shared" si="6"/>
        <v>30.977218225419666</v>
      </c>
      <c r="J13" s="80">
        <v>3653.31</v>
      </c>
      <c r="K13" s="81">
        <f t="shared" si="7"/>
        <v>8.7609352517985606</v>
      </c>
      <c r="L13" s="56">
        <v>8000</v>
      </c>
      <c r="M13" s="70">
        <f t="shared" si="16"/>
        <v>0.61931488291077996</v>
      </c>
      <c r="N13" s="30">
        <f t="shared" si="8"/>
        <v>-449.14</v>
      </c>
      <c r="O13" s="56">
        <f t="shared" si="9"/>
        <v>3653.31</v>
      </c>
      <c r="P13" s="40">
        <f t="shared" si="10"/>
        <v>3204.17</v>
      </c>
      <c r="Q13" s="30">
        <f t="shared" si="17"/>
        <v>-224.57</v>
      </c>
      <c r="R13" s="56">
        <f t="shared" si="11"/>
        <v>2557.317</v>
      </c>
      <c r="S13" s="31">
        <f t="shared" si="12"/>
        <v>2332.7469999999998</v>
      </c>
      <c r="T13" s="34">
        <f t="shared" si="13"/>
        <v>-224.57</v>
      </c>
      <c r="U13" s="85">
        <f t="shared" si="14"/>
        <v>1095.9929999999999</v>
      </c>
      <c r="V13" s="31">
        <f t="shared" si="15"/>
        <v>871.423</v>
      </c>
      <c r="W13" s="42">
        <v>-449.14</v>
      </c>
    </row>
    <row r="14" spans="1:23" ht="16.2" x14ac:dyDescent="0.3">
      <c r="A14" s="7">
        <v>8</v>
      </c>
      <c r="B14" s="71" t="s">
        <v>106</v>
      </c>
      <c r="C14" s="72">
        <v>43511</v>
      </c>
      <c r="D14" s="73">
        <f t="shared" si="4"/>
        <v>43511</v>
      </c>
      <c r="E14" s="55">
        <v>1100</v>
      </c>
      <c r="F14" s="55">
        <v>1100</v>
      </c>
      <c r="G14" s="74">
        <f t="shared" si="5"/>
        <v>1</v>
      </c>
      <c r="H14" s="55">
        <v>34369</v>
      </c>
      <c r="I14" s="75">
        <f t="shared" si="6"/>
        <v>31.244545454545456</v>
      </c>
      <c r="J14" s="76">
        <v>11658.7</v>
      </c>
      <c r="K14" s="77">
        <f t="shared" si="7"/>
        <v>10.598818181818183</v>
      </c>
      <c r="L14" s="55">
        <v>15500</v>
      </c>
      <c r="M14" s="78">
        <f t="shared" si="16"/>
        <v>0.45098780878116906</v>
      </c>
      <c r="N14" s="117">
        <f t="shared" si="8"/>
        <v>7689.7523102399991</v>
      </c>
      <c r="O14" s="97">
        <f t="shared" si="9"/>
        <v>11658.7</v>
      </c>
      <c r="P14" s="33">
        <f t="shared" si="10"/>
        <v>19348.452310239998</v>
      </c>
      <c r="Q14" s="32">
        <f>W14*33.3333%</f>
        <v>3844.8761551199996</v>
      </c>
      <c r="R14" s="55">
        <f t="shared" si="11"/>
        <v>8161.09</v>
      </c>
      <c r="S14" s="33">
        <f t="shared" si="12"/>
        <v>12005.966155120001</v>
      </c>
      <c r="T14" s="36">
        <f t="shared" si="13"/>
        <v>3844.8761551199996</v>
      </c>
      <c r="U14" s="89">
        <f t="shared" si="14"/>
        <v>3497.61</v>
      </c>
      <c r="V14" s="33">
        <f t="shared" si="15"/>
        <v>7342.4861551199992</v>
      </c>
      <c r="W14" s="42">
        <v>11534.64</v>
      </c>
    </row>
    <row r="15" spans="1:23" x14ac:dyDescent="0.3">
      <c r="A15" s="12">
        <v>9</v>
      </c>
      <c r="B15" s="65" t="s">
        <v>16</v>
      </c>
      <c r="C15" s="66">
        <v>43515</v>
      </c>
      <c r="D15" s="67">
        <f t="shared" si="4"/>
        <v>43515</v>
      </c>
      <c r="E15" s="56">
        <v>814</v>
      </c>
      <c r="F15" s="56">
        <v>1100</v>
      </c>
      <c r="G15" s="68">
        <f t="shared" si="5"/>
        <v>0.74</v>
      </c>
      <c r="H15" s="56">
        <v>26731</v>
      </c>
      <c r="I15" s="79">
        <f t="shared" si="6"/>
        <v>32.839066339066342</v>
      </c>
      <c r="J15" s="80">
        <v>10123.620000000001</v>
      </c>
      <c r="K15" s="81">
        <f t="shared" si="7"/>
        <v>12.436879606879607</v>
      </c>
      <c r="L15" s="56">
        <v>20750</v>
      </c>
      <c r="M15" s="70">
        <f t="shared" si="16"/>
        <v>0.77625229134712503</v>
      </c>
      <c r="N15" s="30">
        <f t="shared" si="8"/>
        <v>-380.12</v>
      </c>
      <c r="O15" s="56">
        <f t="shared" si="9"/>
        <v>10123.620000000001</v>
      </c>
      <c r="P15" s="40">
        <f t="shared" si="10"/>
        <v>9743.5</v>
      </c>
      <c r="Q15" s="30">
        <f t="shared" si="17"/>
        <v>-190.06</v>
      </c>
      <c r="R15" s="56">
        <f t="shared" si="11"/>
        <v>7086.5340000000006</v>
      </c>
      <c r="S15" s="31">
        <f t="shared" si="12"/>
        <v>6896.4740000000002</v>
      </c>
      <c r="T15" s="34">
        <f t="shared" si="13"/>
        <v>-190.06</v>
      </c>
      <c r="U15" s="85">
        <f t="shared" si="14"/>
        <v>3037.0860000000002</v>
      </c>
      <c r="V15" s="31">
        <f t="shared" si="15"/>
        <v>2847.0260000000003</v>
      </c>
      <c r="W15" s="42">
        <v>-380.12</v>
      </c>
    </row>
    <row r="16" spans="1:23" x14ac:dyDescent="0.3">
      <c r="A16" s="7">
        <v>10</v>
      </c>
      <c r="B16" s="71" t="s">
        <v>17</v>
      </c>
      <c r="C16" s="72">
        <v>43519</v>
      </c>
      <c r="D16" s="73">
        <f t="shared" si="4"/>
        <v>43519</v>
      </c>
      <c r="E16" s="55">
        <v>1100</v>
      </c>
      <c r="F16" s="55">
        <v>1100</v>
      </c>
      <c r="G16" s="74">
        <f t="shared" si="5"/>
        <v>1</v>
      </c>
      <c r="H16" s="55">
        <v>37283</v>
      </c>
      <c r="I16" s="75">
        <f t="shared" si="6"/>
        <v>33.893636363636361</v>
      </c>
      <c r="J16" s="76">
        <v>3341.27</v>
      </c>
      <c r="K16" s="77">
        <f t="shared" si="7"/>
        <v>3.0375181818181818</v>
      </c>
      <c r="L16" s="55">
        <v>13556.69</v>
      </c>
      <c r="M16" s="78">
        <f t="shared" si="16"/>
        <v>0.36361585709304511</v>
      </c>
      <c r="N16" s="117">
        <f t="shared" si="8"/>
        <v>13305.32</v>
      </c>
      <c r="O16" s="97">
        <f t="shared" si="9"/>
        <v>3341.2699999999995</v>
      </c>
      <c r="P16" s="33">
        <f t="shared" si="10"/>
        <v>16646.59</v>
      </c>
      <c r="Q16" s="32">
        <f t="shared" si="17"/>
        <v>6652.66</v>
      </c>
      <c r="R16" s="55">
        <f t="shared" si="11"/>
        <v>2338.8889999999997</v>
      </c>
      <c r="S16" s="33">
        <f t="shared" si="12"/>
        <v>8991.5489999999991</v>
      </c>
      <c r="T16" s="36">
        <f t="shared" si="13"/>
        <v>6652.66</v>
      </c>
      <c r="U16" s="89">
        <f t="shared" si="14"/>
        <v>1002.381</v>
      </c>
      <c r="V16" s="33">
        <f t="shared" si="15"/>
        <v>7655.0410000000002</v>
      </c>
      <c r="W16" s="42">
        <v>13305.32</v>
      </c>
    </row>
    <row r="17" spans="1:23" x14ac:dyDescent="0.3">
      <c r="A17" s="12">
        <v>11</v>
      </c>
      <c r="B17" s="65" t="s">
        <v>18</v>
      </c>
      <c r="C17" s="66">
        <v>43524</v>
      </c>
      <c r="D17" s="67">
        <f t="shared" si="4"/>
        <v>43524</v>
      </c>
      <c r="E17" s="56">
        <v>224</v>
      </c>
      <c r="F17" s="56">
        <v>1000</v>
      </c>
      <c r="G17" s="68">
        <f t="shared" si="5"/>
        <v>0.224</v>
      </c>
      <c r="H17" s="56">
        <v>5844</v>
      </c>
      <c r="I17" s="79">
        <f t="shared" si="6"/>
        <v>26.089285714285715</v>
      </c>
      <c r="J17" s="80">
        <v>4204.03</v>
      </c>
      <c r="K17" s="81">
        <f t="shared" si="7"/>
        <v>18.767991071428572</v>
      </c>
      <c r="L17" s="56">
        <v>4350</v>
      </c>
      <c r="M17" s="70">
        <f t="shared" si="16"/>
        <v>0.74435318275154005</v>
      </c>
      <c r="N17" s="30">
        <f t="shared" si="8"/>
        <v>-3860.62</v>
      </c>
      <c r="O17" s="56">
        <f t="shared" si="9"/>
        <v>4204.0299999999988</v>
      </c>
      <c r="P17" s="40">
        <f t="shared" si="10"/>
        <v>343.40999999999894</v>
      </c>
      <c r="Q17" s="30">
        <f t="shared" si="17"/>
        <v>-1930.31</v>
      </c>
      <c r="R17" s="56">
        <f t="shared" si="11"/>
        <v>2942.8209999999995</v>
      </c>
      <c r="S17" s="31">
        <f t="shared" si="12"/>
        <v>1012.5109999999995</v>
      </c>
      <c r="T17" s="34">
        <f t="shared" si="13"/>
        <v>-1930.31</v>
      </c>
      <c r="U17" s="85">
        <f t="shared" si="14"/>
        <v>1261.2089999999998</v>
      </c>
      <c r="V17" s="31">
        <f t="shared" si="15"/>
        <v>-669.10100000000011</v>
      </c>
      <c r="W17" s="42">
        <v>-3860.62</v>
      </c>
    </row>
    <row r="18" spans="1:23" x14ac:dyDescent="0.3">
      <c r="A18" s="7">
        <v>12</v>
      </c>
      <c r="B18" s="71" t="s">
        <v>19</v>
      </c>
      <c r="C18" s="72">
        <v>43525</v>
      </c>
      <c r="D18" s="73">
        <f t="shared" si="4"/>
        <v>43525</v>
      </c>
      <c r="E18" s="55">
        <v>397</v>
      </c>
      <c r="F18" s="55">
        <v>1000</v>
      </c>
      <c r="G18" s="74">
        <f t="shared" si="5"/>
        <v>0.39700000000000002</v>
      </c>
      <c r="H18" s="55">
        <v>12868</v>
      </c>
      <c r="I18" s="75">
        <f t="shared" si="6"/>
        <v>32.413098236775816</v>
      </c>
      <c r="J18" s="55">
        <v>4903.83</v>
      </c>
      <c r="K18" s="75">
        <f t="shared" si="7"/>
        <v>12.352216624685138</v>
      </c>
      <c r="L18" s="55">
        <v>7500</v>
      </c>
      <c r="M18" s="78">
        <f t="shared" si="16"/>
        <v>0.58284115635685418</v>
      </c>
      <c r="N18" s="117">
        <f t="shared" si="8"/>
        <v>-994.08</v>
      </c>
      <c r="O18" s="97">
        <f t="shared" si="9"/>
        <v>4903.83</v>
      </c>
      <c r="P18" s="33">
        <f t="shared" si="10"/>
        <v>3909.75</v>
      </c>
      <c r="Q18" s="32">
        <f t="shared" si="17"/>
        <v>-497.04</v>
      </c>
      <c r="R18" s="55">
        <f t="shared" si="11"/>
        <v>3432.6809999999996</v>
      </c>
      <c r="S18" s="41">
        <f t="shared" si="12"/>
        <v>2935.6409999999996</v>
      </c>
      <c r="T18" s="32">
        <f t="shared" si="13"/>
        <v>-497.04</v>
      </c>
      <c r="U18" s="55">
        <f t="shared" si="14"/>
        <v>1471.1489999999999</v>
      </c>
      <c r="V18" s="41">
        <f t="shared" si="15"/>
        <v>974.10899999999992</v>
      </c>
      <c r="W18" s="42">
        <v>-994.08</v>
      </c>
    </row>
    <row r="19" spans="1:23" x14ac:dyDescent="0.3">
      <c r="A19" s="12">
        <v>13</v>
      </c>
      <c r="B19" s="65" t="s">
        <v>29</v>
      </c>
      <c r="C19" s="66">
        <v>43532</v>
      </c>
      <c r="D19" s="67">
        <f t="shared" si="4"/>
        <v>43532</v>
      </c>
      <c r="E19" s="56">
        <v>177</v>
      </c>
      <c r="F19" s="56">
        <v>1000</v>
      </c>
      <c r="G19" s="68">
        <f t="shared" si="5"/>
        <v>0.17699999999999999</v>
      </c>
      <c r="H19" s="56">
        <v>6505.5</v>
      </c>
      <c r="I19" s="79">
        <f t="shared" si="6"/>
        <v>36.754237288135592</v>
      </c>
      <c r="J19" s="80">
        <v>1960.3</v>
      </c>
      <c r="K19" s="81">
        <f t="shared" si="7"/>
        <v>11.075141242937853</v>
      </c>
      <c r="L19" s="56">
        <v>12750</v>
      </c>
      <c r="M19" s="70">
        <f t="shared" si="16"/>
        <v>1.959880101452617</v>
      </c>
      <c r="N19" s="30">
        <f t="shared" si="8"/>
        <v>-10669.96</v>
      </c>
      <c r="O19" s="56">
        <f t="shared" si="9"/>
        <v>1960.2999999999997</v>
      </c>
      <c r="P19" s="40">
        <f>N19+O19</f>
        <v>-8709.66</v>
      </c>
      <c r="Q19" s="30">
        <f t="shared" si="17"/>
        <v>-5334.98</v>
      </c>
      <c r="R19" s="56">
        <f t="shared" si="11"/>
        <v>1372.2099999999998</v>
      </c>
      <c r="S19" s="51">
        <f>Q19+R19</f>
        <v>-3962.7699999999995</v>
      </c>
      <c r="T19" s="34">
        <f t="shared" si="13"/>
        <v>-5334.98</v>
      </c>
      <c r="U19" s="85">
        <f t="shared" si="14"/>
        <v>588.08999999999992</v>
      </c>
      <c r="V19" s="31">
        <f t="shared" si="15"/>
        <v>-4746.8899999999994</v>
      </c>
      <c r="W19" s="42">
        <v>-10669.96</v>
      </c>
    </row>
    <row r="20" spans="1:23" x14ac:dyDescent="0.3">
      <c r="A20" s="7">
        <v>14</v>
      </c>
      <c r="B20" s="71" t="s">
        <v>30</v>
      </c>
      <c r="C20" s="72">
        <v>43537</v>
      </c>
      <c r="D20" s="73">
        <f t="shared" si="4"/>
        <v>43537</v>
      </c>
      <c r="E20" s="55">
        <v>447</v>
      </c>
      <c r="F20" s="55">
        <v>1000</v>
      </c>
      <c r="G20" s="74">
        <f t="shared" si="5"/>
        <v>0.44700000000000001</v>
      </c>
      <c r="H20" s="55">
        <v>18410</v>
      </c>
      <c r="I20" s="75">
        <f t="shared" si="6"/>
        <v>41.185682326621922</v>
      </c>
      <c r="J20" s="55">
        <v>223</v>
      </c>
      <c r="K20" s="75">
        <f t="shared" si="7"/>
        <v>0.49888143176733779</v>
      </c>
      <c r="L20" s="55">
        <v>8000</v>
      </c>
      <c r="M20" s="78">
        <f t="shared" si="16"/>
        <v>0.43454644215100491</v>
      </c>
      <c r="N20" s="117">
        <f t="shared" si="8"/>
        <v>-821.52</v>
      </c>
      <c r="O20" s="97">
        <f t="shared" si="9"/>
        <v>223</v>
      </c>
      <c r="P20" s="33">
        <f t="shared" ref="P20:P22" si="18">N20+O20</f>
        <v>-598.52</v>
      </c>
      <c r="Q20" s="32">
        <f t="shared" si="17"/>
        <v>-410.76</v>
      </c>
      <c r="R20" s="55">
        <f t="shared" si="11"/>
        <v>156.1</v>
      </c>
      <c r="S20" s="33">
        <f t="shared" si="12"/>
        <v>-254.66</v>
      </c>
      <c r="T20" s="32">
        <f t="shared" si="13"/>
        <v>-410.76</v>
      </c>
      <c r="U20" s="55">
        <f t="shared" si="14"/>
        <v>66.899999999999991</v>
      </c>
      <c r="V20" s="41">
        <f t="shared" si="15"/>
        <v>-343.86</v>
      </c>
      <c r="W20" s="42">
        <v>-821.52</v>
      </c>
    </row>
    <row r="21" spans="1:23" x14ac:dyDescent="0.3">
      <c r="A21" s="12">
        <v>15</v>
      </c>
      <c r="B21" s="65" t="s">
        <v>41</v>
      </c>
      <c r="C21" s="66">
        <v>43539</v>
      </c>
      <c r="D21" s="67">
        <f t="shared" si="4"/>
        <v>43539</v>
      </c>
      <c r="E21" s="56">
        <v>1100</v>
      </c>
      <c r="F21" s="56">
        <v>1100</v>
      </c>
      <c r="G21" s="68">
        <f t="shared" si="5"/>
        <v>1</v>
      </c>
      <c r="H21" s="56">
        <v>27622</v>
      </c>
      <c r="I21" s="79">
        <f t="shared" si="6"/>
        <v>25.11090909090909</v>
      </c>
      <c r="J21" s="80">
        <v>12845.26</v>
      </c>
      <c r="K21" s="81">
        <f t="shared" si="7"/>
        <v>11.677509090909091</v>
      </c>
      <c r="L21" s="56">
        <v>9434.76</v>
      </c>
      <c r="M21" s="70">
        <f t="shared" si="16"/>
        <v>0.34156686699008038</v>
      </c>
      <c r="N21" s="30">
        <f t="shared" si="8"/>
        <v>10248.1</v>
      </c>
      <c r="O21" s="56">
        <f t="shared" si="9"/>
        <v>12845.259999999998</v>
      </c>
      <c r="P21" s="40">
        <f t="shared" si="18"/>
        <v>23093.360000000001</v>
      </c>
      <c r="Q21" s="30">
        <f t="shared" si="17"/>
        <v>5124.05</v>
      </c>
      <c r="R21" s="56">
        <f t="shared" si="11"/>
        <v>8991.6819999999989</v>
      </c>
      <c r="S21" s="31">
        <f t="shared" si="12"/>
        <v>14115.732</v>
      </c>
      <c r="T21" s="34">
        <f t="shared" ref="T21:T31" si="19">Q21</f>
        <v>5124.05</v>
      </c>
      <c r="U21" s="85">
        <f t="shared" si="14"/>
        <v>3853.578</v>
      </c>
      <c r="V21" s="31">
        <f t="shared" si="15"/>
        <v>8977.6280000000006</v>
      </c>
      <c r="W21" s="42">
        <v>10248.1</v>
      </c>
    </row>
    <row r="22" spans="1:23" ht="16.2" x14ac:dyDescent="0.3">
      <c r="A22" s="7">
        <v>16</v>
      </c>
      <c r="B22" s="71" t="s">
        <v>101</v>
      </c>
      <c r="C22" s="72">
        <v>43547</v>
      </c>
      <c r="D22" s="73">
        <f t="shared" ref="D22:D85" si="20">C22</f>
        <v>43547</v>
      </c>
      <c r="E22" s="55">
        <v>1100</v>
      </c>
      <c r="F22" s="55">
        <v>1100</v>
      </c>
      <c r="G22" s="74">
        <f t="shared" si="5"/>
        <v>1</v>
      </c>
      <c r="H22" s="55">
        <v>28174</v>
      </c>
      <c r="I22" s="75">
        <f t="shared" ref="I22:I85" si="21">IFERROR(H22/E22,"")</f>
        <v>25.612727272727273</v>
      </c>
      <c r="J22" s="55">
        <v>13163.96</v>
      </c>
      <c r="K22" s="75">
        <f t="shared" ref="K22:K85" si="22">IFERROR(J22/E22,"")</f>
        <v>11.967236363636363</v>
      </c>
      <c r="L22" s="55">
        <v>11980.74</v>
      </c>
      <c r="M22" s="78">
        <f t="shared" ref="M22:M34" si="23">IFERROR(L22/H22,"")</f>
        <v>0.42524100234258533</v>
      </c>
      <c r="N22" s="117">
        <f t="shared" si="8"/>
        <v>6343.1203235399998</v>
      </c>
      <c r="O22" s="97">
        <f t="shared" si="9"/>
        <v>13163.96</v>
      </c>
      <c r="P22" s="33">
        <f t="shared" si="18"/>
        <v>19507.080323539998</v>
      </c>
      <c r="Q22" s="32">
        <f>W22*33.3333%</f>
        <v>3171.5601617699999</v>
      </c>
      <c r="R22" s="55">
        <f t="shared" ref="R22:R41" si="24">J22*70%</f>
        <v>9214.771999999999</v>
      </c>
      <c r="S22" s="33">
        <f t="shared" si="12"/>
        <v>12386.332161769998</v>
      </c>
      <c r="T22" s="32">
        <f t="shared" si="19"/>
        <v>3171.5601617699999</v>
      </c>
      <c r="U22" s="55">
        <f t="shared" ref="U22:U31" si="25">J22*30%</f>
        <v>3949.1879999999996</v>
      </c>
      <c r="V22" s="41">
        <f t="shared" ref="V22:V31" si="26">T22+U22</f>
        <v>7120.7481617699996</v>
      </c>
      <c r="W22" s="42">
        <v>9514.69</v>
      </c>
    </row>
    <row r="23" spans="1:23" ht="16.2" x14ac:dyDescent="0.3">
      <c r="A23" s="12">
        <v>17</v>
      </c>
      <c r="B23" s="65" t="s">
        <v>105</v>
      </c>
      <c r="C23" s="66">
        <v>43553</v>
      </c>
      <c r="D23" s="67">
        <f t="shared" si="20"/>
        <v>43553</v>
      </c>
      <c r="E23" s="56">
        <v>484</v>
      </c>
      <c r="F23" s="56">
        <v>1000</v>
      </c>
      <c r="G23" s="68">
        <f t="shared" si="5"/>
        <v>0.48399999999999999</v>
      </c>
      <c r="H23" s="56">
        <v>11243.5</v>
      </c>
      <c r="I23" s="79">
        <f t="shared" si="21"/>
        <v>23.230371900826448</v>
      </c>
      <c r="J23" s="80">
        <v>7293.28</v>
      </c>
      <c r="K23" s="81">
        <f t="shared" si="22"/>
        <v>15.068760330578511</v>
      </c>
      <c r="L23" s="56">
        <v>6400</v>
      </c>
      <c r="M23" s="70">
        <f t="shared" si="23"/>
        <v>0.5692177702672655</v>
      </c>
      <c r="N23" s="30">
        <f t="shared" si="8"/>
        <v>-814.06585259999997</v>
      </c>
      <c r="O23" s="56">
        <f t="shared" si="9"/>
        <v>7293.2799999999988</v>
      </c>
      <c r="P23" s="40">
        <f>N23+O23</f>
        <v>6479.2141473999991</v>
      </c>
      <c r="Q23" s="30">
        <f>W23*33.3333%</f>
        <v>-407.03292629999999</v>
      </c>
      <c r="R23" s="56">
        <f t="shared" si="24"/>
        <v>5105.2959999999994</v>
      </c>
      <c r="S23" s="51">
        <f>Q23+R23</f>
        <v>4698.263073699999</v>
      </c>
      <c r="T23" s="34">
        <f t="shared" si="19"/>
        <v>-407.03292629999999</v>
      </c>
      <c r="U23" s="85">
        <f t="shared" si="25"/>
        <v>2187.9839999999999</v>
      </c>
      <c r="V23" s="31">
        <f t="shared" si="26"/>
        <v>1780.9510737000001</v>
      </c>
      <c r="W23" s="42">
        <v>-1221.0999999999999</v>
      </c>
    </row>
    <row r="24" spans="1:23" x14ac:dyDescent="0.3">
      <c r="A24" s="7">
        <v>18</v>
      </c>
      <c r="B24" s="71" t="s">
        <v>42</v>
      </c>
      <c r="C24" s="72">
        <v>43558</v>
      </c>
      <c r="D24" s="73">
        <f t="shared" si="20"/>
        <v>43558</v>
      </c>
      <c r="E24" s="55">
        <v>303</v>
      </c>
      <c r="F24" s="55">
        <v>1100</v>
      </c>
      <c r="G24" s="74">
        <f t="shared" si="5"/>
        <v>0.27545454545454545</v>
      </c>
      <c r="H24" s="55">
        <v>11740</v>
      </c>
      <c r="I24" s="75">
        <f t="shared" si="21"/>
        <v>38.745874587458744</v>
      </c>
      <c r="J24" s="55">
        <v>4399.8900000000003</v>
      </c>
      <c r="K24" s="75">
        <f t="shared" si="22"/>
        <v>14.521089108910893</v>
      </c>
      <c r="L24" s="55">
        <v>15000</v>
      </c>
      <c r="M24" s="78">
        <f t="shared" si="23"/>
        <v>1.2776831345826236</v>
      </c>
      <c r="N24" s="117">
        <f t="shared" si="8"/>
        <v>-9327.5499999999993</v>
      </c>
      <c r="O24" s="97">
        <f t="shared" si="9"/>
        <v>4399.8900000000003</v>
      </c>
      <c r="P24" s="33">
        <f t="shared" ref="P24:P87" si="27">N24+O24</f>
        <v>-4927.6599999999989</v>
      </c>
      <c r="Q24" s="32">
        <f t="shared" si="17"/>
        <v>-4663.7749999999996</v>
      </c>
      <c r="R24" s="55">
        <f t="shared" si="24"/>
        <v>3079.9230000000002</v>
      </c>
      <c r="S24" s="41">
        <f t="shared" ref="S24:S41" si="28">Q24+R24</f>
        <v>-1583.8519999999994</v>
      </c>
      <c r="T24" s="32">
        <f t="shared" si="19"/>
        <v>-4663.7749999999996</v>
      </c>
      <c r="U24" s="55">
        <f t="shared" si="25"/>
        <v>1319.9670000000001</v>
      </c>
      <c r="V24" s="41">
        <f t="shared" si="26"/>
        <v>-3343.8079999999995</v>
      </c>
      <c r="W24" s="42">
        <v>-9327.5499999999993</v>
      </c>
    </row>
    <row r="25" spans="1:23" x14ac:dyDescent="0.3">
      <c r="A25" s="12">
        <v>19</v>
      </c>
      <c r="B25" s="65" t="s">
        <v>43</v>
      </c>
      <c r="C25" s="66">
        <v>43559</v>
      </c>
      <c r="D25" s="67">
        <f t="shared" si="20"/>
        <v>43559</v>
      </c>
      <c r="E25" s="56">
        <v>272</v>
      </c>
      <c r="F25" s="56">
        <v>1100</v>
      </c>
      <c r="G25" s="68">
        <f t="shared" si="5"/>
        <v>0.24727272727272728</v>
      </c>
      <c r="H25" s="56">
        <v>9684</v>
      </c>
      <c r="I25" s="79">
        <f t="shared" si="21"/>
        <v>35.602941176470587</v>
      </c>
      <c r="J25" s="80">
        <v>2241.5500000000002</v>
      </c>
      <c r="K25" s="81">
        <f t="shared" si="22"/>
        <v>8.2409926470588246</v>
      </c>
      <c r="L25" s="56">
        <v>16000</v>
      </c>
      <c r="M25" s="70">
        <f t="shared" si="23"/>
        <v>1.6522098306484923</v>
      </c>
      <c r="N25" s="30">
        <f t="shared" si="8"/>
        <v>-12042.67</v>
      </c>
      <c r="O25" s="56">
        <f t="shared" si="9"/>
        <v>2241.5500000000002</v>
      </c>
      <c r="P25" s="40">
        <f t="shared" si="27"/>
        <v>-9801.119999999999</v>
      </c>
      <c r="Q25" s="30">
        <f t="shared" si="17"/>
        <v>-6021.335</v>
      </c>
      <c r="R25" s="56">
        <f t="shared" si="24"/>
        <v>1569.085</v>
      </c>
      <c r="S25" s="31">
        <f t="shared" si="28"/>
        <v>-4452.25</v>
      </c>
      <c r="T25" s="34">
        <f t="shared" si="19"/>
        <v>-6021.335</v>
      </c>
      <c r="U25" s="85">
        <f t="shared" si="25"/>
        <v>672.46500000000003</v>
      </c>
      <c r="V25" s="31">
        <f t="shared" si="26"/>
        <v>-5348.87</v>
      </c>
      <c r="W25" s="42">
        <v>-12042.67</v>
      </c>
    </row>
    <row r="26" spans="1:23" ht="16.2" x14ac:dyDescent="0.3">
      <c r="A26" s="7">
        <v>20</v>
      </c>
      <c r="B26" s="71" t="s">
        <v>103</v>
      </c>
      <c r="C26" s="72">
        <v>43561</v>
      </c>
      <c r="D26" s="73">
        <f t="shared" si="20"/>
        <v>43561</v>
      </c>
      <c r="E26" s="55">
        <v>402</v>
      </c>
      <c r="F26" s="55">
        <v>1100</v>
      </c>
      <c r="G26" s="74">
        <f t="shared" si="5"/>
        <v>0.36545454545454548</v>
      </c>
      <c r="H26" s="55">
        <v>9729.5</v>
      </c>
      <c r="I26" s="75">
        <f t="shared" si="21"/>
        <v>24.202736318407961</v>
      </c>
      <c r="J26" s="55">
        <v>7276.94</v>
      </c>
      <c r="K26" s="75">
        <f t="shared" si="22"/>
        <v>18.1018407960199</v>
      </c>
      <c r="L26" s="55">
        <v>7000</v>
      </c>
      <c r="M26" s="78">
        <f t="shared" si="23"/>
        <v>0.71946143172824917</v>
      </c>
      <c r="N26" s="117">
        <f t="shared" si="8"/>
        <v>-2002.7113306200001</v>
      </c>
      <c r="O26" s="97">
        <f t="shared" si="9"/>
        <v>7276.9399999999987</v>
      </c>
      <c r="P26" s="33">
        <f t="shared" si="27"/>
        <v>5274.2286693799988</v>
      </c>
      <c r="Q26" s="32">
        <f>W26*33.3333%</f>
        <v>-1001.3556653100001</v>
      </c>
      <c r="R26" s="55">
        <f t="shared" si="24"/>
        <v>5093.8579999999993</v>
      </c>
      <c r="S26" s="41">
        <f t="shared" si="28"/>
        <v>4092.5023346899993</v>
      </c>
      <c r="T26" s="32">
        <f t="shared" si="19"/>
        <v>-1001.3556653100001</v>
      </c>
      <c r="U26" s="55">
        <f t="shared" si="25"/>
        <v>2183.0819999999999</v>
      </c>
      <c r="V26" s="41">
        <f t="shared" si="26"/>
        <v>1181.7263346899999</v>
      </c>
      <c r="W26" s="42">
        <v>-3004.07</v>
      </c>
    </row>
    <row r="27" spans="1:23" x14ac:dyDescent="0.3">
      <c r="A27" s="12">
        <v>21</v>
      </c>
      <c r="B27" s="65" t="s">
        <v>50</v>
      </c>
      <c r="C27" s="66">
        <v>43568</v>
      </c>
      <c r="D27" s="67">
        <f t="shared" si="20"/>
        <v>43568</v>
      </c>
      <c r="E27" s="56">
        <v>598</v>
      </c>
      <c r="F27" s="56">
        <v>1100</v>
      </c>
      <c r="G27" s="68">
        <f t="shared" si="5"/>
        <v>0.54363636363636358</v>
      </c>
      <c r="H27" s="56">
        <v>25609.5</v>
      </c>
      <c r="I27" s="79">
        <f t="shared" si="21"/>
        <v>42.825250836120404</v>
      </c>
      <c r="J27" s="80">
        <v>2327.56</v>
      </c>
      <c r="K27" s="81">
        <f t="shared" si="22"/>
        <v>3.8922408026755853</v>
      </c>
      <c r="L27" s="56">
        <v>12750</v>
      </c>
      <c r="M27" s="70">
        <f t="shared" si="23"/>
        <v>0.49786212147835762</v>
      </c>
      <c r="N27" s="30">
        <f t="shared" si="8"/>
        <v>-349.51</v>
      </c>
      <c r="O27" s="56">
        <f t="shared" si="9"/>
        <v>2327.56</v>
      </c>
      <c r="P27" s="40">
        <f t="shared" si="27"/>
        <v>1978.05</v>
      </c>
      <c r="Q27" s="30">
        <f t="shared" si="17"/>
        <v>-174.755</v>
      </c>
      <c r="R27" s="56">
        <f t="shared" si="24"/>
        <v>1629.2919999999999</v>
      </c>
      <c r="S27" s="31">
        <f t="shared" si="28"/>
        <v>1454.5369999999998</v>
      </c>
      <c r="T27" s="34">
        <f t="shared" si="19"/>
        <v>-174.755</v>
      </c>
      <c r="U27" s="85">
        <f t="shared" si="25"/>
        <v>698.26799999999992</v>
      </c>
      <c r="V27" s="31">
        <f t="shared" si="26"/>
        <v>523.51299999999992</v>
      </c>
      <c r="W27" s="42">
        <v>-349.51</v>
      </c>
    </row>
    <row r="28" spans="1:23" x14ac:dyDescent="0.3">
      <c r="A28" s="7">
        <v>22</v>
      </c>
      <c r="B28" s="71" t="s">
        <v>51</v>
      </c>
      <c r="C28" s="72">
        <v>43569</v>
      </c>
      <c r="D28" s="73">
        <f t="shared" si="20"/>
        <v>43569</v>
      </c>
      <c r="E28" s="55"/>
      <c r="F28" s="55"/>
      <c r="G28" s="74" t="str">
        <f>IFERROR(E28/F28,"")</f>
        <v/>
      </c>
      <c r="H28" s="55"/>
      <c r="I28" s="75"/>
      <c r="J28" s="55">
        <v>1430.64</v>
      </c>
      <c r="K28" s="75"/>
      <c r="L28" s="55"/>
      <c r="M28" s="78"/>
      <c r="N28" s="117">
        <f t="shared" si="8"/>
        <v>0</v>
      </c>
      <c r="O28" s="97">
        <f t="shared" si="9"/>
        <v>1430.6399999999999</v>
      </c>
      <c r="P28" s="33">
        <f t="shared" si="27"/>
        <v>1430.6399999999999</v>
      </c>
      <c r="Q28" s="32"/>
      <c r="R28" s="55">
        <f t="shared" si="24"/>
        <v>1001.448</v>
      </c>
      <c r="S28" s="41">
        <f t="shared" si="28"/>
        <v>1001.448</v>
      </c>
      <c r="T28" s="32"/>
      <c r="U28" s="55">
        <f t="shared" si="25"/>
        <v>429.19200000000001</v>
      </c>
      <c r="V28" s="41">
        <f t="shared" si="26"/>
        <v>429.19200000000001</v>
      </c>
      <c r="W28" s="42">
        <v>0</v>
      </c>
    </row>
    <row r="29" spans="1:23" x14ac:dyDescent="0.3">
      <c r="A29" s="12">
        <v>23</v>
      </c>
      <c r="B29" s="65" t="s">
        <v>53</v>
      </c>
      <c r="C29" s="66">
        <v>43571</v>
      </c>
      <c r="D29" s="67">
        <f t="shared" si="20"/>
        <v>43571</v>
      </c>
      <c r="E29" s="56">
        <v>367</v>
      </c>
      <c r="F29" s="56">
        <v>1000</v>
      </c>
      <c r="G29" s="68">
        <f t="shared" ref="G29:G89" si="29">IFERROR(E29/F29,"")</f>
        <v>0.36699999999999999</v>
      </c>
      <c r="H29" s="56">
        <v>9083</v>
      </c>
      <c r="I29" s="79">
        <f t="shared" si="21"/>
        <v>24.749318801089917</v>
      </c>
      <c r="J29" s="80">
        <v>1685.73</v>
      </c>
      <c r="K29" s="81">
        <f t="shared" si="22"/>
        <v>4.5932697547683921</v>
      </c>
      <c r="L29" s="56">
        <v>7500</v>
      </c>
      <c r="M29" s="70">
        <f t="shared" si="23"/>
        <v>0.82571837498623801</v>
      </c>
      <c r="N29" s="30">
        <f t="shared" si="8"/>
        <v>-3464.68</v>
      </c>
      <c r="O29" s="56">
        <f t="shared" si="9"/>
        <v>1685.73</v>
      </c>
      <c r="P29" s="40">
        <f t="shared" si="27"/>
        <v>-1778.9499999999998</v>
      </c>
      <c r="Q29" s="30">
        <f t="shared" si="17"/>
        <v>-1732.34</v>
      </c>
      <c r="R29" s="56">
        <f t="shared" si="24"/>
        <v>1180.011</v>
      </c>
      <c r="S29" s="31">
        <f t="shared" si="28"/>
        <v>-552.32899999999995</v>
      </c>
      <c r="T29" s="34">
        <f t="shared" si="19"/>
        <v>-1732.34</v>
      </c>
      <c r="U29" s="85">
        <f t="shared" si="25"/>
        <v>505.71899999999999</v>
      </c>
      <c r="V29" s="31">
        <f t="shared" si="26"/>
        <v>-1226.6209999999999</v>
      </c>
      <c r="W29" s="42">
        <v>-3464.68</v>
      </c>
    </row>
    <row r="30" spans="1:23" x14ac:dyDescent="0.3">
      <c r="A30" s="7">
        <v>24</v>
      </c>
      <c r="B30" s="71" t="s">
        <v>54</v>
      </c>
      <c r="C30" s="72">
        <v>43573</v>
      </c>
      <c r="D30" s="73">
        <f t="shared" si="20"/>
        <v>43573</v>
      </c>
      <c r="E30" s="55"/>
      <c r="F30" s="55"/>
      <c r="G30" s="74" t="str">
        <f t="shared" si="29"/>
        <v/>
      </c>
      <c r="H30" s="55"/>
      <c r="I30" s="75"/>
      <c r="J30" s="55">
        <v>3274.82</v>
      </c>
      <c r="K30" s="75"/>
      <c r="L30" s="55"/>
      <c r="M30" s="78"/>
      <c r="N30" s="117">
        <f t="shared" si="8"/>
        <v>0</v>
      </c>
      <c r="O30" s="97">
        <f t="shared" si="9"/>
        <v>3274.8199999999997</v>
      </c>
      <c r="P30" s="33">
        <f t="shared" si="27"/>
        <v>3274.8199999999997</v>
      </c>
      <c r="Q30" s="32"/>
      <c r="R30" s="55">
        <f t="shared" si="24"/>
        <v>2292.3739999999998</v>
      </c>
      <c r="S30" s="41">
        <f t="shared" si="28"/>
        <v>2292.3739999999998</v>
      </c>
      <c r="T30" s="32"/>
      <c r="U30" s="55">
        <f t="shared" si="25"/>
        <v>982.44600000000003</v>
      </c>
      <c r="V30" s="41">
        <f t="shared" si="26"/>
        <v>982.44600000000003</v>
      </c>
    </row>
    <row r="31" spans="1:23" ht="16.2" x14ac:dyDescent="0.3">
      <c r="A31" s="12">
        <v>25</v>
      </c>
      <c r="B31" s="65" t="s">
        <v>104</v>
      </c>
      <c r="C31" s="66">
        <v>43575</v>
      </c>
      <c r="D31" s="67">
        <f t="shared" si="20"/>
        <v>43575</v>
      </c>
      <c r="E31" s="56">
        <v>1100</v>
      </c>
      <c r="F31" s="56">
        <v>1100</v>
      </c>
      <c r="G31" s="68">
        <f t="shared" si="29"/>
        <v>1</v>
      </c>
      <c r="H31" s="56">
        <v>27840</v>
      </c>
      <c r="I31" s="79">
        <f t="shared" si="21"/>
        <v>25.309090909090909</v>
      </c>
      <c r="J31" s="80">
        <v>13062.2</v>
      </c>
      <c r="K31" s="81">
        <f t="shared" si="22"/>
        <v>11.874727272727274</v>
      </c>
      <c r="L31" s="56">
        <v>12318.93</v>
      </c>
      <c r="M31" s="70">
        <f>IFERROR(L31/H31,"")</f>
        <v>0.44249030172413795</v>
      </c>
      <c r="N31" s="30">
        <f t="shared" si="8"/>
        <v>5084.6215820399993</v>
      </c>
      <c r="O31" s="56">
        <f t="shared" si="9"/>
        <v>13062.199999999999</v>
      </c>
      <c r="P31" s="40">
        <f t="shared" si="27"/>
        <v>18146.82158204</v>
      </c>
      <c r="Q31" s="30">
        <f>W31*33.3333%</f>
        <v>2542.3107910199997</v>
      </c>
      <c r="R31" s="56">
        <f t="shared" si="24"/>
        <v>9143.5399999999991</v>
      </c>
      <c r="S31" s="31">
        <f t="shared" si="28"/>
        <v>11685.850791019999</v>
      </c>
      <c r="T31" s="34">
        <f t="shared" si="19"/>
        <v>2542.3107910199997</v>
      </c>
      <c r="U31" s="85">
        <f t="shared" si="25"/>
        <v>3918.66</v>
      </c>
      <c r="V31" s="31">
        <f t="shared" si="26"/>
        <v>6460.9707910199995</v>
      </c>
      <c r="W31" s="42">
        <v>7626.94</v>
      </c>
    </row>
    <row r="32" spans="1:23" x14ac:dyDescent="0.3">
      <c r="A32" s="7">
        <v>26</v>
      </c>
      <c r="B32" s="71" t="s">
        <v>56</v>
      </c>
      <c r="C32" s="72">
        <v>43577</v>
      </c>
      <c r="D32" s="73">
        <f t="shared" si="20"/>
        <v>43577</v>
      </c>
      <c r="E32" s="55">
        <v>674</v>
      </c>
      <c r="F32" s="55">
        <v>1100</v>
      </c>
      <c r="G32" s="74">
        <f t="shared" si="29"/>
        <v>0.61272727272727268</v>
      </c>
      <c r="H32" s="55">
        <v>24059.5</v>
      </c>
      <c r="I32" s="75">
        <f t="shared" si="21"/>
        <v>35.696587537091986</v>
      </c>
      <c r="J32" s="55">
        <v>6679.44</v>
      </c>
      <c r="K32" s="75">
        <f t="shared" si="22"/>
        <v>9.9101483679525213</v>
      </c>
      <c r="L32" s="55">
        <v>19000</v>
      </c>
      <c r="M32" s="78">
        <f t="shared" si="23"/>
        <v>0.7897088468172655</v>
      </c>
      <c r="N32" s="117">
        <f t="shared" si="8"/>
        <v>-1867.24</v>
      </c>
      <c r="O32" s="97">
        <f t="shared" si="9"/>
        <v>6679.4399999999987</v>
      </c>
      <c r="P32" s="33">
        <f t="shared" si="27"/>
        <v>4812.1999999999989</v>
      </c>
      <c r="Q32" s="32">
        <f t="shared" si="17"/>
        <v>-933.62</v>
      </c>
      <c r="R32" s="55">
        <f t="shared" si="24"/>
        <v>4675.6079999999993</v>
      </c>
      <c r="S32" s="41">
        <f t="shared" si="28"/>
        <v>3741.9879999999994</v>
      </c>
      <c r="T32" s="32">
        <f t="shared" ref="T32:T41" si="30">Q32</f>
        <v>-933.62</v>
      </c>
      <c r="U32" s="55">
        <f t="shared" ref="U32:U41" si="31">J32*30%</f>
        <v>2003.8319999999999</v>
      </c>
      <c r="V32" s="41">
        <f t="shared" ref="V32:V41" si="32">T32+U32</f>
        <v>1070.212</v>
      </c>
      <c r="W32" s="42">
        <v>-1867.24</v>
      </c>
    </row>
    <row r="33" spans="1:25" x14ac:dyDescent="0.3">
      <c r="A33" s="12">
        <v>27</v>
      </c>
      <c r="B33" s="65" t="s">
        <v>57</v>
      </c>
      <c r="C33" s="66">
        <v>43580</v>
      </c>
      <c r="D33" s="67">
        <f t="shared" si="20"/>
        <v>43580</v>
      </c>
      <c r="E33" s="56">
        <v>689</v>
      </c>
      <c r="F33" s="56">
        <v>1100</v>
      </c>
      <c r="G33" s="68">
        <f t="shared" si="29"/>
        <v>0.62636363636363634</v>
      </c>
      <c r="H33" s="56">
        <v>19549.5</v>
      </c>
      <c r="I33" s="79">
        <f t="shared" si="21"/>
        <v>28.373730043541364</v>
      </c>
      <c r="J33" s="80">
        <v>3714.44</v>
      </c>
      <c r="K33" s="81">
        <f t="shared" si="22"/>
        <v>5.3910595065312048</v>
      </c>
      <c r="L33" s="56">
        <v>15400</v>
      </c>
      <c r="M33" s="70">
        <f t="shared" si="23"/>
        <v>0.78774393206987392</v>
      </c>
      <c r="N33" s="30">
        <f t="shared" si="8"/>
        <v>-2116.4499999999998</v>
      </c>
      <c r="O33" s="56">
        <f t="shared" si="9"/>
        <v>3714.4399999999996</v>
      </c>
      <c r="P33" s="40">
        <f t="shared" si="27"/>
        <v>1597.9899999999998</v>
      </c>
      <c r="Q33" s="30">
        <f t="shared" si="17"/>
        <v>-1058.2249999999999</v>
      </c>
      <c r="R33" s="56">
        <f t="shared" si="24"/>
        <v>2600.1079999999997</v>
      </c>
      <c r="S33" s="31">
        <f t="shared" si="28"/>
        <v>1541.8829999999998</v>
      </c>
      <c r="T33" s="34">
        <f t="shared" si="30"/>
        <v>-1058.2249999999999</v>
      </c>
      <c r="U33" s="85">
        <f t="shared" si="31"/>
        <v>1114.3319999999999</v>
      </c>
      <c r="V33" s="31">
        <f t="shared" si="32"/>
        <v>56.106999999999971</v>
      </c>
      <c r="W33" s="42">
        <v>-2116.4499999999998</v>
      </c>
    </row>
    <row r="34" spans="1:25" x14ac:dyDescent="0.3">
      <c r="A34" s="7">
        <v>28</v>
      </c>
      <c r="B34" s="71" t="s">
        <v>59</v>
      </c>
      <c r="C34" s="72">
        <v>43582</v>
      </c>
      <c r="D34" s="73">
        <f t="shared" si="20"/>
        <v>43582</v>
      </c>
      <c r="E34" s="55">
        <v>1100</v>
      </c>
      <c r="F34" s="55">
        <v>1100</v>
      </c>
      <c r="G34" s="74">
        <f t="shared" si="29"/>
        <v>1</v>
      </c>
      <c r="H34" s="55">
        <v>50826</v>
      </c>
      <c r="I34" s="75">
        <f t="shared" si="21"/>
        <v>46.205454545454543</v>
      </c>
      <c r="J34" s="55">
        <v>14217.94</v>
      </c>
      <c r="K34" s="75">
        <f t="shared" si="22"/>
        <v>12.9254</v>
      </c>
      <c r="L34" s="55">
        <v>15500</v>
      </c>
      <c r="M34" s="78">
        <f t="shared" si="23"/>
        <v>0.30496202730885769</v>
      </c>
      <c r="N34" s="117">
        <f t="shared" si="8"/>
        <v>13945.74</v>
      </c>
      <c r="O34" s="97">
        <f t="shared" si="9"/>
        <v>14217.939999999999</v>
      </c>
      <c r="P34" s="33">
        <f t="shared" si="27"/>
        <v>28163.68</v>
      </c>
      <c r="Q34" s="32">
        <f t="shared" si="17"/>
        <v>6972.87</v>
      </c>
      <c r="R34" s="55">
        <f t="shared" si="24"/>
        <v>9952.5579999999991</v>
      </c>
      <c r="S34" s="41">
        <f t="shared" si="28"/>
        <v>16925.428</v>
      </c>
      <c r="T34" s="32">
        <f t="shared" si="30"/>
        <v>6972.87</v>
      </c>
      <c r="U34" s="55">
        <f t="shared" si="31"/>
        <v>4265.3819999999996</v>
      </c>
      <c r="V34" s="41">
        <f t="shared" si="32"/>
        <v>11238.252</v>
      </c>
      <c r="W34" s="42">
        <v>13945.74</v>
      </c>
    </row>
    <row r="35" spans="1:25" x14ac:dyDescent="0.3">
      <c r="A35" s="12">
        <v>29</v>
      </c>
      <c r="B35" s="65" t="s">
        <v>60</v>
      </c>
      <c r="C35" s="66">
        <v>43583</v>
      </c>
      <c r="D35" s="67">
        <f t="shared" si="20"/>
        <v>43583</v>
      </c>
      <c r="E35" s="56">
        <v>257</v>
      </c>
      <c r="F35" s="56">
        <v>1000</v>
      </c>
      <c r="G35" s="68">
        <f t="shared" si="29"/>
        <v>0.25700000000000001</v>
      </c>
      <c r="H35" s="56">
        <v>9478</v>
      </c>
      <c r="I35" s="79">
        <f t="shared" si="21"/>
        <v>36.879377431906612</v>
      </c>
      <c r="J35" s="80">
        <v>1363.61</v>
      </c>
      <c r="K35" s="81">
        <f t="shared" si="22"/>
        <v>5.3058754863813222</v>
      </c>
      <c r="L35" s="56">
        <v>3900</v>
      </c>
      <c r="M35" s="70">
        <f>IFERROR(L35/H35,"")</f>
        <v>0.41147921502426671</v>
      </c>
      <c r="N35" s="30">
        <f t="shared" si="8"/>
        <v>-2032.41</v>
      </c>
      <c r="O35" s="56">
        <f t="shared" si="9"/>
        <v>1363.6099999999997</v>
      </c>
      <c r="P35" s="40">
        <f t="shared" si="27"/>
        <v>-668.80000000000041</v>
      </c>
      <c r="Q35" s="30">
        <f t="shared" si="17"/>
        <v>-1016.205</v>
      </c>
      <c r="R35" s="56">
        <f t="shared" si="24"/>
        <v>954.52699999999982</v>
      </c>
      <c r="S35" s="31">
        <f t="shared" si="28"/>
        <v>-61.678000000000225</v>
      </c>
      <c r="T35" s="34">
        <f t="shared" si="30"/>
        <v>-1016.205</v>
      </c>
      <c r="U35" s="85">
        <f t="shared" si="31"/>
        <v>409.08299999999997</v>
      </c>
      <c r="V35" s="31">
        <f t="shared" si="32"/>
        <v>-607.12200000000007</v>
      </c>
      <c r="W35" s="42">
        <v>-2032.41</v>
      </c>
    </row>
    <row r="36" spans="1:25" x14ac:dyDescent="0.3">
      <c r="A36" s="7">
        <v>30</v>
      </c>
      <c r="B36" s="71" t="s">
        <v>61</v>
      </c>
      <c r="C36" s="72">
        <v>43588</v>
      </c>
      <c r="D36" s="73">
        <f t="shared" si="20"/>
        <v>43588</v>
      </c>
      <c r="E36" s="55">
        <v>914</v>
      </c>
      <c r="F36" s="55">
        <v>1100</v>
      </c>
      <c r="G36" s="74">
        <f t="shared" si="29"/>
        <v>0.83090909090909093</v>
      </c>
      <c r="H36" s="55">
        <v>28549.5</v>
      </c>
      <c r="I36" s="75">
        <f t="shared" si="21"/>
        <v>31.235776805251643</v>
      </c>
      <c r="J36" s="55">
        <v>9555.76</v>
      </c>
      <c r="K36" s="75">
        <f t="shared" si="22"/>
        <v>10.454879649890591</v>
      </c>
      <c r="L36" s="55">
        <v>17500</v>
      </c>
      <c r="M36" s="78">
        <f>IFERROR(L36/H36,"")</f>
        <v>0.61297045482407753</v>
      </c>
      <c r="N36" s="117">
        <f t="shared" si="8"/>
        <v>3622.75</v>
      </c>
      <c r="O36" s="97">
        <f t="shared" si="9"/>
        <v>9555.76</v>
      </c>
      <c r="P36" s="33">
        <f t="shared" si="27"/>
        <v>13178.51</v>
      </c>
      <c r="Q36" s="32">
        <f t="shared" si="17"/>
        <v>1811.375</v>
      </c>
      <c r="R36" s="55">
        <f t="shared" si="24"/>
        <v>6689.0320000000002</v>
      </c>
      <c r="S36" s="41">
        <f t="shared" si="28"/>
        <v>8500.4069999999992</v>
      </c>
      <c r="T36" s="32">
        <f t="shared" si="30"/>
        <v>1811.375</v>
      </c>
      <c r="U36" s="55">
        <f t="shared" si="31"/>
        <v>2866.7280000000001</v>
      </c>
      <c r="V36" s="41">
        <f t="shared" si="32"/>
        <v>4678.1030000000001</v>
      </c>
      <c r="W36" s="42">
        <v>3622.75</v>
      </c>
    </row>
    <row r="37" spans="1:25" x14ac:dyDescent="0.3">
      <c r="A37" s="12">
        <v>31</v>
      </c>
      <c r="B37" s="65" t="s">
        <v>62</v>
      </c>
      <c r="C37" s="66">
        <v>43594</v>
      </c>
      <c r="D37" s="67">
        <f t="shared" si="20"/>
        <v>43594</v>
      </c>
      <c r="E37" s="56">
        <v>194</v>
      </c>
      <c r="F37" s="56">
        <v>1000</v>
      </c>
      <c r="G37" s="68">
        <f t="shared" si="29"/>
        <v>0.19400000000000001</v>
      </c>
      <c r="H37" s="56">
        <v>8312.5</v>
      </c>
      <c r="I37" s="79">
        <f t="shared" si="21"/>
        <v>42.847938144329895</v>
      </c>
      <c r="J37" s="80">
        <v>1412.04</v>
      </c>
      <c r="K37" s="81">
        <f t="shared" si="22"/>
        <v>7.2785567010309276</v>
      </c>
      <c r="L37" s="56">
        <v>10500</v>
      </c>
      <c r="M37" s="70">
        <f>IFERROR(L37/H37,"")</f>
        <v>1.263157894736842</v>
      </c>
      <c r="N37" s="30">
        <f t="shared" si="8"/>
        <v>-10415.5</v>
      </c>
      <c r="O37" s="56">
        <f t="shared" si="9"/>
        <v>1412.04</v>
      </c>
      <c r="P37" s="40">
        <f t="shared" si="27"/>
        <v>-9003.4599999999991</v>
      </c>
      <c r="Q37" s="30">
        <f t="shared" si="17"/>
        <v>-5207.75</v>
      </c>
      <c r="R37" s="56">
        <f t="shared" si="24"/>
        <v>988.42799999999988</v>
      </c>
      <c r="S37" s="31">
        <f t="shared" si="28"/>
        <v>-4219.3220000000001</v>
      </c>
      <c r="T37" s="34">
        <f t="shared" si="30"/>
        <v>-5207.75</v>
      </c>
      <c r="U37" s="85">
        <f t="shared" si="31"/>
        <v>423.61199999999997</v>
      </c>
      <c r="V37" s="31">
        <f t="shared" si="32"/>
        <v>-4784.1379999999999</v>
      </c>
      <c r="W37" s="42">
        <v>-10415.5</v>
      </c>
    </row>
    <row r="38" spans="1:25" x14ac:dyDescent="0.3">
      <c r="A38" s="7">
        <v>32</v>
      </c>
      <c r="B38" s="71" t="s">
        <v>63</v>
      </c>
      <c r="C38" s="72">
        <v>43596</v>
      </c>
      <c r="D38" s="73">
        <f t="shared" si="20"/>
        <v>43596</v>
      </c>
      <c r="E38" s="55">
        <v>358</v>
      </c>
      <c r="F38" s="55">
        <v>1100</v>
      </c>
      <c r="G38" s="74">
        <f t="shared" si="29"/>
        <v>0.32545454545454544</v>
      </c>
      <c r="H38" s="55">
        <v>11466.5</v>
      </c>
      <c r="I38" s="75">
        <f t="shared" si="21"/>
        <v>32.029329608938546</v>
      </c>
      <c r="J38" s="55">
        <v>1403.19</v>
      </c>
      <c r="K38" s="75">
        <f t="shared" si="22"/>
        <v>3.9195251396648048</v>
      </c>
      <c r="L38" s="55">
        <v>12150</v>
      </c>
      <c r="M38" s="78">
        <f>IFERROR(L38/H38,"")</f>
        <v>1.0596084245410544</v>
      </c>
      <c r="N38" s="117">
        <f t="shared" si="8"/>
        <v>-8341.48</v>
      </c>
      <c r="O38" s="97">
        <f t="shared" si="9"/>
        <v>1403.19</v>
      </c>
      <c r="P38" s="33">
        <f t="shared" si="27"/>
        <v>-6938.2899999999991</v>
      </c>
      <c r="Q38" s="32">
        <f t="shared" si="17"/>
        <v>-4170.74</v>
      </c>
      <c r="R38" s="55">
        <f t="shared" si="24"/>
        <v>982.23299999999995</v>
      </c>
      <c r="S38" s="41">
        <f t="shared" si="28"/>
        <v>-3188.5069999999996</v>
      </c>
      <c r="T38" s="32">
        <f t="shared" si="30"/>
        <v>-4170.74</v>
      </c>
      <c r="U38" s="55">
        <f t="shared" si="31"/>
        <v>420.95699999999999</v>
      </c>
      <c r="V38" s="41">
        <f t="shared" si="32"/>
        <v>-3749.7829999999999</v>
      </c>
      <c r="W38" s="42">
        <v>-8341.48</v>
      </c>
    </row>
    <row r="39" spans="1:25" x14ac:dyDescent="0.3">
      <c r="A39" s="12">
        <v>33</v>
      </c>
      <c r="B39" s="65" t="s">
        <v>68</v>
      </c>
      <c r="C39" s="66">
        <v>43600</v>
      </c>
      <c r="D39" s="67">
        <f t="shared" si="20"/>
        <v>43600</v>
      </c>
      <c r="E39" s="56">
        <v>337</v>
      </c>
      <c r="F39" s="56">
        <v>400</v>
      </c>
      <c r="G39" s="68">
        <f t="shared" si="29"/>
        <v>0.84250000000000003</v>
      </c>
      <c r="H39" s="56">
        <v>16489</v>
      </c>
      <c r="I39" s="79">
        <f t="shared" si="21"/>
        <v>48.928783382789319</v>
      </c>
      <c r="J39" s="80">
        <v>1249.94</v>
      </c>
      <c r="K39" s="81">
        <f t="shared" si="22"/>
        <v>3.7090207715133534</v>
      </c>
      <c r="L39" s="56">
        <v>4419.37</v>
      </c>
      <c r="M39" s="70">
        <f>IFERROR(L39/H39,"")</f>
        <v>0.26801928558432891</v>
      </c>
      <c r="N39" s="30">
        <f t="shared" si="8"/>
        <v>5448.47</v>
      </c>
      <c r="O39" s="56">
        <f t="shared" si="9"/>
        <v>1249.94</v>
      </c>
      <c r="P39" s="40">
        <f t="shared" si="27"/>
        <v>6698.41</v>
      </c>
      <c r="Q39" s="30">
        <f t="shared" si="17"/>
        <v>2724.2350000000001</v>
      </c>
      <c r="R39" s="56">
        <f t="shared" si="24"/>
        <v>874.95799999999997</v>
      </c>
      <c r="S39" s="31">
        <f t="shared" si="28"/>
        <v>3599.1930000000002</v>
      </c>
      <c r="T39" s="34">
        <f t="shared" si="30"/>
        <v>2724.2350000000001</v>
      </c>
      <c r="U39" s="85">
        <f t="shared" si="31"/>
        <v>374.98200000000003</v>
      </c>
      <c r="V39" s="31">
        <f t="shared" si="32"/>
        <v>3099.2170000000001</v>
      </c>
      <c r="W39" s="42">
        <v>5448.47</v>
      </c>
    </row>
    <row r="40" spans="1:25" ht="16.2" x14ac:dyDescent="0.3">
      <c r="A40" s="7">
        <v>34</v>
      </c>
      <c r="B40" s="71" t="s">
        <v>102</v>
      </c>
      <c r="C40" s="72">
        <v>43601</v>
      </c>
      <c r="D40" s="73">
        <f t="shared" si="20"/>
        <v>43601</v>
      </c>
      <c r="E40" s="55">
        <v>1100</v>
      </c>
      <c r="F40" s="55">
        <v>1100</v>
      </c>
      <c r="G40" s="74">
        <f t="shared" si="29"/>
        <v>1</v>
      </c>
      <c r="H40" s="55">
        <v>30495</v>
      </c>
      <c r="I40" s="75">
        <f t="shared" si="21"/>
        <v>27.722727272727273</v>
      </c>
      <c r="J40" s="55">
        <v>13512.85</v>
      </c>
      <c r="K40" s="75">
        <f t="shared" si="22"/>
        <v>12.284409090909092</v>
      </c>
      <c r="L40" s="55">
        <v>13506.58</v>
      </c>
      <c r="M40" s="78">
        <f t="shared" ref="M40:M89" si="33">IFERROR(L40/H40,"")</f>
        <v>0.44291129693392361</v>
      </c>
      <c r="N40" s="117">
        <f t="shared" si="8"/>
        <v>6448.9268843999998</v>
      </c>
      <c r="O40" s="97">
        <f t="shared" si="9"/>
        <v>13512.849999999999</v>
      </c>
      <c r="P40" s="33">
        <f t="shared" si="27"/>
        <v>19961.776884399998</v>
      </c>
      <c r="Q40" s="32">
        <f>W40*33.3333%</f>
        <v>3224.4634421999999</v>
      </c>
      <c r="R40" s="55">
        <f t="shared" si="24"/>
        <v>9458.994999999999</v>
      </c>
      <c r="S40" s="41">
        <f t="shared" si="28"/>
        <v>12683.458442199999</v>
      </c>
      <c r="T40" s="32">
        <f t="shared" si="30"/>
        <v>3224.4634421999999</v>
      </c>
      <c r="U40" s="55">
        <f t="shared" si="31"/>
        <v>4053.855</v>
      </c>
      <c r="V40" s="41">
        <f t="shared" si="32"/>
        <v>7278.3184421999995</v>
      </c>
      <c r="W40" s="42">
        <v>9673.4</v>
      </c>
      <c r="X40" s="42">
        <v>9673.4</v>
      </c>
      <c r="Y40" s="42">
        <v>-3224.47</v>
      </c>
    </row>
    <row r="41" spans="1:25" x14ac:dyDescent="0.3">
      <c r="A41" s="12">
        <v>35</v>
      </c>
      <c r="B41" s="65" t="s">
        <v>69</v>
      </c>
      <c r="C41" s="66">
        <v>43602</v>
      </c>
      <c r="D41" s="67">
        <f t="shared" si="20"/>
        <v>43602</v>
      </c>
      <c r="E41" s="56">
        <v>654</v>
      </c>
      <c r="F41" s="56">
        <v>1100</v>
      </c>
      <c r="G41" s="68">
        <f t="shared" si="29"/>
        <v>0.5945454545454546</v>
      </c>
      <c r="H41" s="56">
        <v>17853.5</v>
      </c>
      <c r="I41" s="79">
        <f t="shared" si="21"/>
        <v>27.298929663608561</v>
      </c>
      <c r="J41" s="80">
        <v>6010.96</v>
      </c>
      <c r="K41" s="81">
        <f t="shared" si="22"/>
        <v>9.1910703363914372</v>
      </c>
      <c r="L41" s="56">
        <v>12000</v>
      </c>
      <c r="M41" s="70">
        <f t="shared" si="33"/>
        <v>0.67213711597165826</v>
      </c>
      <c r="N41" s="30">
        <f t="shared" si="8"/>
        <v>928.94</v>
      </c>
      <c r="O41" s="56">
        <f t="shared" si="9"/>
        <v>6010.9599999999991</v>
      </c>
      <c r="P41" s="40">
        <f t="shared" si="27"/>
        <v>6939.9</v>
      </c>
      <c r="Q41" s="30">
        <f t="shared" si="17"/>
        <v>464.47</v>
      </c>
      <c r="R41" s="56">
        <f t="shared" si="24"/>
        <v>4207.6719999999996</v>
      </c>
      <c r="S41" s="31">
        <f t="shared" si="28"/>
        <v>4672.1419999999998</v>
      </c>
      <c r="T41" s="34">
        <f t="shared" si="30"/>
        <v>464.47</v>
      </c>
      <c r="U41" s="85">
        <f t="shared" si="31"/>
        <v>1803.288</v>
      </c>
      <c r="V41" s="31">
        <f t="shared" si="32"/>
        <v>2267.7579999999998</v>
      </c>
      <c r="W41" s="42">
        <v>928.94</v>
      </c>
    </row>
    <row r="42" spans="1:25" x14ac:dyDescent="0.3">
      <c r="A42" s="7">
        <v>36</v>
      </c>
      <c r="B42" s="71" t="s">
        <v>72</v>
      </c>
      <c r="C42" s="72">
        <v>43608</v>
      </c>
      <c r="D42" s="73">
        <f t="shared" si="20"/>
        <v>43608</v>
      </c>
      <c r="E42" s="55">
        <v>376</v>
      </c>
      <c r="F42" s="55">
        <v>700</v>
      </c>
      <c r="G42" s="74">
        <f t="shared" si="29"/>
        <v>0.53714285714285714</v>
      </c>
      <c r="H42" s="55">
        <v>20529</v>
      </c>
      <c r="I42" s="75">
        <f t="shared" si="21"/>
        <v>54.598404255319146</v>
      </c>
      <c r="J42" s="55">
        <v>3595.4</v>
      </c>
      <c r="K42" s="75">
        <f t="shared" si="22"/>
        <v>9.5622340425531913</v>
      </c>
      <c r="L42" s="55">
        <v>10700</v>
      </c>
      <c r="M42" s="78">
        <f t="shared" si="33"/>
        <v>0.52121389254225725</v>
      </c>
      <c r="N42" s="117">
        <f t="shared" si="8"/>
        <v>-306.55999999999767</v>
      </c>
      <c r="O42" s="97">
        <f t="shared" si="9"/>
        <v>3595.3999999999996</v>
      </c>
      <c r="P42" s="33">
        <f t="shared" si="27"/>
        <v>3288.840000000002</v>
      </c>
      <c r="Q42" s="32">
        <f t="shared" si="17"/>
        <v>-153.27999999999884</v>
      </c>
      <c r="R42" s="55">
        <f t="shared" ref="R42:R49" si="34">J42*70%</f>
        <v>2516.7799999999997</v>
      </c>
      <c r="S42" s="41">
        <f t="shared" ref="S42:S49" si="35">Q42+R42</f>
        <v>2363.5000000000009</v>
      </c>
      <c r="T42" s="32">
        <f t="shared" ref="T42:T47" si="36">Q42</f>
        <v>-153.27999999999884</v>
      </c>
      <c r="U42" s="55">
        <f t="shared" ref="U42:U49" si="37">J42*30%</f>
        <v>1078.6199999999999</v>
      </c>
      <c r="V42" s="41">
        <f t="shared" ref="V42:V49" si="38">T42+U42</f>
        <v>925.34000000000106</v>
      </c>
      <c r="W42" s="42">
        <v>-306.55999999999767</v>
      </c>
    </row>
    <row r="43" spans="1:25" x14ac:dyDescent="0.3">
      <c r="A43" s="12">
        <v>37</v>
      </c>
      <c r="B43" s="65" t="s">
        <v>73</v>
      </c>
      <c r="C43" s="66">
        <v>43609</v>
      </c>
      <c r="D43" s="67">
        <f t="shared" si="20"/>
        <v>43609</v>
      </c>
      <c r="E43" s="56">
        <v>1062</v>
      </c>
      <c r="F43" s="56">
        <v>1100</v>
      </c>
      <c r="G43" s="68">
        <f t="shared" si="29"/>
        <v>0.96545454545454545</v>
      </c>
      <c r="H43" s="56">
        <v>37289</v>
      </c>
      <c r="I43" s="79">
        <f t="shared" si="21"/>
        <v>35.112052730696796</v>
      </c>
      <c r="J43" s="80">
        <v>11878.48</v>
      </c>
      <c r="K43" s="81">
        <f t="shared" si="22"/>
        <v>11.185009416195857</v>
      </c>
      <c r="L43" s="56">
        <v>20000</v>
      </c>
      <c r="M43" s="70">
        <f t="shared" si="33"/>
        <v>0.5363512027675722</v>
      </c>
      <c r="N43" s="30">
        <f t="shared" si="8"/>
        <v>8534.9800000000032</v>
      </c>
      <c r="O43" s="56">
        <f t="shared" si="9"/>
        <v>11878.48</v>
      </c>
      <c r="P43" s="40">
        <f t="shared" si="27"/>
        <v>20413.460000000003</v>
      </c>
      <c r="Q43" s="30">
        <f t="shared" si="17"/>
        <v>4267.4900000000016</v>
      </c>
      <c r="R43" s="56">
        <f t="shared" si="34"/>
        <v>8314.9359999999997</v>
      </c>
      <c r="S43" s="31">
        <f t="shared" si="35"/>
        <v>12582.426000000001</v>
      </c>
      <c r="T43" s="34">
        <f t="shared" si="36"/>
        <v>4267.4900000000016</v>
      </c>
      <c r="U43" s="85">
        <f t="shared" si="37"/>
        <v>3563.5439999999999</v>
      </c>
      <c r="V43" s="31">
        <f t="shared" si="38"/>
        <v>7831.0340000000015</v>
      </c>
      <c r="W43" s="42">
        <v>8534.9800000000032</v>
      </c>
    </row>
    <row r="44" spans="1:25" x14ac:dyDescent="0.3">
      <c r="A44" s="7">
        <v>38</v>
      </c>
      <c r="B44" s="71" t="s">
        <v>74</v>
      </c>
      <c r="C44" s="72">
        <v>43610</v>
      </c>
      <c r="D44" s="73">
        <f t="shared" si="20"/>
        <v>43610</v>
      </c>
      <c r="E44" s="55">
        <v>975</v>
      </c>
      <c r="F44" s="55">
        <v>1100</v>
      </c>
      <c r="G44" s="74">
        <f t="shared" si="29"/>
        <v>0.88636363636363635</v>
      </c>
      <c r="H44" s="55">
        <v>34714.5</v>
      </c>
      <c r="I44" s="75">
        <f t="shared" si="21"/>
        <v>35.604615384615386</v>
      </c>
      <c r="J44" s="55">
        <v>11836.7</v>
      </c>
      <c r="K44" s="75">
        <f t="shared" si="22"/>
        <v>12.140205128205128</v>
      </c>
      <c r="L44" s="55">
        <v>23000</v>
      </c>
      <c r="M44" s="78">
        <f t="shared" si="33"/>
        <v>0.66254735053075808</v>
      </c>
      <c r="N44" s="117">
        <f t="shared" si="8"/>
        <v>4144.5300000000025</v>
      </c>
      <c r="O44" s="97">
        <f t="shared" si="9"/>
        <v>11836.7</v>
      </c>
      <c r="P44" s="33">
        <f t="shared" si="27"/>
        <v>15981.230000000003</v>
      </c>
      <c r="Q44" s="32">
        <f t="shared" si="17"/>
        <v>2072.2650000000012</v>
      </c>
      <c r="R44" s="55">
        <f t="shared" si="34"/>
        <v>8285.69</v>
      </c>
      <c r="S44" s="41">
        <f t="shared" si="35"/>
        <v>10357.955000000002</v>
      </c>
      <c r="T44" s="32">
        <f t="shared" si="36"/>
        <v>2072.2650000000012</v>
      </c>
      <c r="U44" s="55">
        <f t="shared" si="37"/>
        <v>3551.01</v>
      </c>
      <c r="V44" s="41">
        <f t="shared" si="38"/>
        <v>5623.2750000000015</v>
      </c>
      <c r="W44" s="42">
        <v>4144.5300000000025</v>
      </c>
    </row>
    <row r="45" spans="1:25" x14ac:dyDescent="0.3">
      <c r="A45" s="12">
        <v>39</v>
      </c>
      <c r="B45" s="65" t="s">
        <v>75</v>
      </c>
      <c r="C45" s="66">
        <v>43611</v>
      </c>
      <c r="D45" s="67">
        <f t="shared" si="20"/>
        <v>43611</v>
      </c>
      <c r="E45" s="56">
        <v>224</v>
      </c>
      <c r="F45" s="56">
        <v>1000</v>
      </c>
      <c r="G45" s="68">
        <f t="shared" si="29"/>
        <v>0.224</v>
      </c>
      <c r="H45" s="56">
        <v>5351</v>
      </c>
      <c r="I45" s="79">
        <f t="shared" si="21"/>
        <v>23.888392857142858</v>
      </c>
      <c r="J45" s="80">
        <v>1954.47</v>
      </c>
      <c r="K45" s="81">
        <f t="shared" si="22"/>
        <v>8.7253124999999994</v>
      </c>
      <c r="L45" s="56">
        <v>8000</v>
      </c>
      <c r="M45" s="70">
        <f t="shared" si="33"/>
        <v>1.4950476546439917</v>
      </c>
      <c r="N45" s="30">
        <f t="shared" si="8"/>
        <v>-7771.41</v>
      </c>
      <c r="O45" s="56">
        <f t="shared" si="9"/>
        <v>1954.4699999999998</v>
      </c>
      <c r="P45" s="40">
        <f t="shared" si="27"/>
        <v>-5816.9400000000005</v>
      </c>
      <c r="Q45" s="30">
        <f t="shared" si="17"/>
        <v>-3885.7049999999999</v>
      </c>
      <c r="R45" s="56">
        <f t="shared" si="34"/>
        <v>1368.1289999999999</v>
      </c>
      <c r="S45" s="31">
        <f t="shared" si="35"/>
        <v>-2517.576</v>
      </c>
      <c r="T45" s="34">
        <f t="shared" si="36"/>
        <v>-3885.7049999999999</v>
      </c>
      <c r="U45" s="85">
        <f t="shared" si="37"/>
        <v>586.34100000000001</v>
      </c>
      <c r="V45" s="31">
        <f t="shared" si="38"/>
        <v>-3299.364</v>
      </c>
      <c r="W45" s="42">
        <v>-7771.41</v>
      </c>
    </row>
    <row r="46" spans="1:25" x14ac:dyDescent="0.3">
      <c r="A46" s="7">
        <v>40</v>
      </c>
      <c r="B46" s="71" t="s">
        <v>81</v>
      </c>
      <c r="C46" s="72">
        <v>43612</v>
      </c>
      <c r="D46" s="73">
        <f t="shared" si="20"/>
        <v>43612</v>
      </c>
      <c r="E46" s="55">
        <v>407</v>
      </c>
      <c r="F46" s="55">
        <v>1000</v>
      </c>
      <c r="G46" s="74">
        <f t="shared" si="29"/>
        <v>0.40699999999999997</v>
      </c>
      <c r="H46" s="55">
        <v>12665.5</v>
      </c>
      <c r="I46" s="75">
        <f t="shared" si="21"/>
        <v>31.119164619164618</v>
      </c>
      <c r="J46" s="55">
        <v>3846.65</v>
      </c>
      <c r="K46" s="75">
        <f t="shared" si="22"/>
        <v>9.4512285012285009</v>
      </c>
      <c r="L46" s="55">
        <v>9450</v>
      </c>
      <c r="M46" s="78">
        <f t="shared" si="33"/>
        <v>0.74612135328253915</v>
      </c>
      <c r="N46" s="117">
        <f t="shared" si="8"/>
        <v>-2512.56</v>
      </c>
      <c r="O46" s="97">
        <f t="shared" si="9"/>
        <v>3846.6499999999996</v>
      </c>
      <c r="P46" s="33">
        <f t="shared" si="27"/>
        <v>1334.0899999999997</v>
      </c>
      <c r="Q46" s="32">
        <f t="shared" si="17"/>
        <v>-1256.28</v>
      </c>
      <c r="R46" s="55">
        <f t="shared" si="34"/>
        <v>2692.6549999999997</v>
      </c>
      <c r="S46" s="41">
        <f t="shared" si="35"/>
        <v>1436.3749999999998</v>
      </c>
      <c r="T46" s="32">
        <f t="shared" si="36"/>
        <v>-1256.28</v>
      </c>
      <c r="U46" s="55">
        <f t="shared" si="37"/>
        <v>1153.9949999999999</v>
      </c>
      <c r="V46" s="41">
        <f t="shared" si="38"/>
        <v>-102.28500000000008</v>
      </c>
      <c r="W46" s="42">
        <v>-2512.56</v>
      </c>
    </row>
    <row r="47" spans="1:25" x14ac:dyDescent="0.3">
      <c r="A47" s="12">
        <v>41</v>
      </c>
      <c r="B47" s="65" t="s">
        <v>80</v>
      </c>
      <c r="C47" s="66">
        <v>43614</v>
      </c>
      <c r="D47" s="67">
        <f t="shared" si="20"/>
        <v>43614</v>
      </c>
      <c r="E47" s="56">
        <v>610</v>
      </c>
      <c r="F47" s="56">
        <v>1000</v>
      </c>
      <c r="G47" s="68">
        <f t="shared" si="29"/>
        <v>0.61</v>
      </c>
      <c r="H47" s="56">
        <v>23024.5</v>
      </c>
      <c r="I47" s="79">
        <f t="shared" si="21"/>
        <v>37.745081967213117</v>
      </c>
      <c r="J47" s="80">
        <v>3634.1</v>
      </c>
      <c r="K47" s="81">
        <f t="shared" si="22"/>
        <v>5.9575409836065569</v>
      </c>
      <c r="L47" s="56">
        <v>12400</v>
      </c>
      <c r="M47" s="70">
        <f t="shared" si="33"/>
        <v>0.53855675476123255</v>
      </c>
      <c r="N47" s="30">
        <f t="shared" si="8"/>
        <v>616.57000000000005</v>
      </c>
      <c r="O47" s="56">
        <f t="shared" si="9"/>
        <v>3634.1</v>
      </c>
      <c r="P47" s="40">
        <f t="shared" si="27"/>
        <v>4250.67</v>
      </c>
      <c r="Q47" s="30">
        <f t="shared" si="17"/>
        <v>308.28500000000003</v>
      </c>
      <c r="R47" s="56">
        <f t="shared" si="34"/>
        <v>2543.87</v>
      </c>
      <c r="S47" s="31">
        <f t="shared" si="35"/>
        <v>2852.1549999999997</v>
      </c>
      <c r="T47" s="34">
        <f t="shared" si="36"/>
        <v>308.28500000000003</v>
      </c>
      <c r="U47" s="85">
        <f t="shared" si="37"/>
        <v>1090.23</v>
      </c>
      <c r="V47" s="31">
        <f t="shared" si="38"/>
        <v>1398.5150000000001</v>
      </c>
      <c r="W47" s="42">
        <v>616.57000000000005</v>
      </c>
    </row>
    <row r="48" spans="1:25" x14ac:dyDescent="0.3">
      <c r="A48" s="7">
        <v>42</v>
      </c>
      <c r="B48" s="71" t="s">
        <v>82</v>
      </c>
      <c r="C48" s="72">
        <v>43620</v>
      </c>
      <c r="D48" s="73">
        <f t="shared" si="20"/>
        <v>43620</v>
      </c>
      <c r="E48" s="55">
        <v>646</v>
      </c>
      <c r="F48" s="55">
        <v>1100</v>
      </c>
      <c r="G48" s="74">
        <f t="shared" si="29"/>
        <v>0.58727272727272728</v>
      </c>
      <c r="H48" s="55">
        <v>20182</v>
      </c>
      <c r="I48" s="75">
        <f t="shared" si="21"/>
        <v>31.241486068111456</v>
      </c>
      <c r="J48" s="55">
        <v>7715.76</v>
      </c>
      <c r="K48" s="75">
        <f t="shared" si="22"/>
        <v>11.943900928792569</v>
      </c>
      <c r="L48" s="55">
        <v>15500</v>
      </c>
      <c r="M48" s="78">
        <f t="shared" si="33"/>
        <v>0.76801109899910813</v>
      </c>
      <c r="N48" s="117">
        <f t="shared" si="8"/>
        <v>-1060.74</v>
      </c>
      <c r="O48" s="97">
        <f t="shared" si="9"/>
        <v>7715.76</v>
      </c>
      <c r="P48" s="33">
        <f t="shared" si="27"/>
        <v>6655.02</v>
      </c>
      <c r="Q48" s="32">
        <f>W48*50%</f>
        <v>-530.37</v>
      </c>
      <c r="R48" s="55">
        <f t="shared" si="34"/>
        <v>5401.0320000000002</v>
      </c>
      <c r="S48" s="41">
        <f t="shared" si="35"/>
        <v>4870.6620000000003</v>
      </c>
      <c r="T48" s="32">
        <f>Q48</f>
        <v>-530.37</v>
      </c>
      <c r="U48" s="55">
        <f t="shared" si="37"/>
        <v>2314.7280000000001</v>
      </c>
      <c r="V48" s="41">
        <f t="shared" si="38"/>
        <v>1784.3580000000002</v>
      </c>
      <c r="W48" s="42">
        <v>-1060.74</v>
      </c>
    </row>
    <row r="49" spans="1:23" x14ac:dyDescent="0.3">
      <c r="A49" s="12">
        <v>43</v>
      </c>
      <c r="B49" s="65" t="s">
        <v>83</v>
      </c>
      <c r="C49" s="66">
        <v>43625</v>
      </c>
      <c r="D49" s="67">
        <f t="shared" si="20"/>
        <v>43625</v>
      </c>
      <c r="E49" s="56">
        <v>506</v>
      </c>
      <c r="F49" s="56">
        <v>1100</v>
      </c>
      <c r="G49" s="68">
        <f t="shared" si="29"/>
        <v>0.46</v>
      </c>
      <c r="H49" s="56">
        <v>16336.5</v>
      </c>
      <c r="I49" s="79">
        <f t="shared" si="21"/>
        <v>32.285573122529641</v>
      </c>
      <c r="J49" s="80">
        <v>1801.56</v>
      </c>
      <c r="K49" s="81">
        <f t="shared" si="22"/>
        <v>3.5603952569169959</v>
      </c>
      <c r="L49" s="56">
        <v>6697.9</v>
      </c>
      <c r="M49" s="70">
        <f t="shared" si="33"/>
        <v>0.40999602117956718</v>
      </c>
      <c r="N49" s="30">
        <f t="shared" si="8"/>
        <v>4354.21</v>
      </c>
      <c r="O49" s="56">
        <f t="shared" si="9"/>
        <v>1801.56</v>
      </c>
      <c r="P49" s="40">
        <f t="shared" si="27"/>
        <v>6155.77</v>
      </c>
      <c r="Q49" s="30">
        <f>W49*50%</f>
        <v>2177.105</v>
      </c>
      <c r="R49" s="56">
        <f t="shared" si="34"/>
        <v>1261.0919999999999</v>
      </c>
      <c r="S49" s="31">
        <f t="shared" si="35"/>
        <v>3438.1970000000001</v>
      </c>
      <c r="T49" s="34">
        <f>Q49</f>
        <v>2177.105</v>
      </c>
      <c r="U49" s="85">
        <f t="shared" si="37"/>
        <v>540.46799999999996</v>
      </c>
      <c r="V49" s="31">
        <f t="shared" si="38"/>
        <v>2717.5729999999999</v>
      </c>
      <c r="W49" s="42">
        <v>4354.21</v>
      </c>
    </row>
    <row r="50" spans="1:23" x14ac:dyDescent="0.3">
      <c r="A50" s="7">
        <v>44</v>
      </c>
      <c r="B50" s="71" t="s">
        <v>87</v>
      </c>
      <c r="C50" s="72">
        <v>43629</v>
      </c>
      <c r="D50" s="73">
        <f t="shared" si="20"/>
        <v>43629</v>
      </c>
      <c r="E50" s="55">
        <v>636</v>
      </c>
      <c r="F50" s="55">
        <v>1100</v>
      </c>
      <c r="G50" s="74">
        <f t="shared" si="29"/>
        <v>0.57818181818181813</v>
      </c>
      <c r="H50" s="55">
        <v>16363</v>
      </c>
      <c r="I50" s="75">
        <f t="shared" si="21"/>
        <v>25.727987421383649</v>
      </c>
      <c r="J50" s="55">
        <v>5675.97</v>
      </c>
      <c r="K50" s="75">
        <f t="shared" si="22"/>
        <v>8.9244811320754724</v>
      </c>
      <c r="L50" s="55">
        <v>15000</v>
      </c>
      <c r="M50" s="78">
        <f t="shared" si="33"/>
        <v>0.91670231620118559</v>
      </c>
      <c r="N50" s="117">
        <f t="shared" si="8"/>
        <v>-4177.18</v>
      </c>
      <c r="O50" s="97">
        <f t="shared" si="9"/>
        <v>5675.97</v>
      </c>
      <c r="P50" s="33">
        <f t="shared" si="27"/>
        <v>1498.79</v>
      </c>
      <c r="Q50" s="32">
        <f>W50*50%</f>
        <v>-2088.59</v>
      </c>
      <c r="R50" s="55">
        <f t="shared" ref="R50:R58" si="39">J50*70%</f>
        <v>3973.1790000000001</v>
      </c>
      <c r="S50" s="41">
        <f t="shared" ref="S50:S58" si="40">Q50+R50</f>
        <v>1884.5889999999999</v>
      </c>
      <c r="T50" s="32">
        <f t="shared" ref="T50:T58" si="41">Q50</f>
        <v>-2088.59</v>
      </c>
      <c r="U50" s="55">
        <f t="shared" ref="U50:U58" si="42">J50*30%</f>
        <v>1702.7909999999999</v>
      </c>
      <c r="V50" s="41">
        <f t="shared" ref="V50:V58" si="43">T50+U50</f>
        <v>-385.79900000000021</v>
      </c>
      <c r="W50" s="42">
        <v>-4177.18</v>
      </c>
    </row>
    <row r="51" spans="1:23" x14ac:dyDescent="0.3">
      <c r="A51" s="12">
        <v>45</v>
      </c>
      <c r="B51" s="65" t="s">
        <v>88</v>
      </c>
      <c r="C51" s="66">
        <v>43631</v>
      </c>
      <c r="D51" s="67">
        <f t="shared" si="20"/>
        <v>43631</v>
      </c>
      <c r="E51" s="56">
        <v>594</v>
      </c>
      <c r="F51" s="56">
        <v>1100</v>
      </c>
      <c r="G51" s="68">
        <f t="shared" si="29"/>
        <v>0.54</v>
      </c>
      <c r="H51" s="56">
        <v>17509.5</v>
      </c>
      <c r="I51" s="79">
        <f t="shared" si="21"/>
        <v>29.477272727272727</v>
      </c>
      <c r="J51" s="80">
        <v>5160.1099999999997</v>
      </c>
      <c r="K51" s="81">
        <f t="shared" si="22"/>
        <v>8.6870538720538715</v>
      </c>
      <c r="L51" s="56">
        <v>12000</v>
      </c>
      <c r="M51" s="70">
        <f t="shared" si="33"/>
        <v>0.68534224278248945</v>
      </c>
      <c r="N51" s="30">
        <f t="shared" si="8"/>
        <v>-551.97</v>
      </c>
      <c r="O51" s="56">
        <f t="shared" si="9"/>
        <v>5160.1099999999988</v>
      </c>
      <c r="P51" s="40">
        <f t="shared" si="27"/>
        <v>4608.1399999999985</v>
      </c>
      <c r="Q51" s="30">
        <f>W51*50%</f>
        <v>-275.98500000000001</v>
      </c>
      <c r="R51" s="56">
        <f t="shared" si="39"/>
        <v>3612.0769999999993</v>
      </c>
      <c r="S51" s="31">
        <f t="shared" si="40"/>
        <v>3336.0919999999992</v>
      </c>
      <c r="T51" s="34">
        <f t="shared" si="41"/>
        <v>-275.98500000000001</v>
      </c>
      <c r="U51" s="85">
        <f t="shared" si="42"/>
        <v>1548.0329999999999</v>
      </c>
      <c r="V51" s="31">
        <f t="shared" si="43"/>
        <v>1272.0479999999998</v>
      </c>
      <c r="W51" s="42">
        <v>-551.97</v>
      </c>
    </row>
    <row r="52" spans="1:23" x14ac:dyDescent="0.3">
      <c r="A52" s="7">
        <v>46</v>
      </c>
      <c r="B52" s="71" t="s">
        <v>89</v>
      </c>
      <c r="C52" s="72">
        <v>43637</v>
      </c>
      <c r="D52" s="73">
        <f t="shared" si="20"/>
        <v>43637</v>
      </c>
      <c r="E52" s="55">
        <v>589</v>
      </c>
      <c r="F52" s="55">
        <v>1100</v>
      </c>
      <c r="G52" s="74">
        <f t="shared" si="29"/>
        <v>0.53545454545454541</v>
      </c>
      <c r="H52" s="55">
        <v>18608.5</v>
      </c>
      <c r="I52" s="75">
        <f t="shared" si="21"/>
        <v>31.593378607809846</v>
      </c>
      <c r="J52" s="55">
        <v>4829.49</v>
      </c>
      <c r="K52" s="75">
        <f t="shared" si="22"/>
        <v>8.1994736842105258</v>
      </c>
      <c r="L52" s="55">
        <v>9350</v>
      </c>
      <c r="M52" s="78">
        <f t="shared" si="33"/>
        <v>0.50245855388666472</v>
      </c>
      <c r="N52" s="117">
        <f t="shared" si="8"/>
        <v>686.48</v>
      </c>
      <c r="O52" s="97">
        <f t="shared" si="9"/>
        <v>4829.49</v>
      </c>
      <c r="P52" s="33">
        <f t="shared" si="27"/>
        <v>5515.9699999999993</v>
      </c>
      <c r="Q52" s="32">
        <f>W52*50%</f>
        <v>343.24</v>
      </c>
      <c r="R52" s="55">
        <f t="shared" si="39"/>
        <v>3380.6429999999996</v>
      </c>
      <c r="S52" s="41">
        <f t="shared" si="40"/>
        <v>3723.8829999999998</v>
      </c>
      <c r="T52" s="32">
        <f t="shared" si="41"/>
        <v>343.24</v>
      </c>
      <c r="U52" s="55">
        <f t="shared" si="42"/>
        <v>1448.847</v>
      </c>
      <c r="V52" s="41">
        <f t="shared" si="43"/>
        <v>1792.087</v>
      </c>
      <c r="W52" s="42">
        <v>686.48</v>
      </c>
    </row>
    <row r="53" spans="1:23" ht="16.2" x14ac:dyDescent="0.3">
      <c r="A53" s="12">
        <v>47</v>
      </c>
      <c r="B53" s="65" t="s">
        <v>99</v>
      </c>
      <c r="C53" s="66">
        <v>43638</v>
      </c>
      <c r="D53" s="67">
        <f t="shared" si="20"/>
        <v>43638</v>
      </c>
      <c r="E53" s="56">
        <v>474</v>
      </c>
      <c r="F53" s="56">
        <v>1100</v>
      </c>
      <c r="G53" s="68">
        <f t="shared" si="29"/>
        <v>0.43090909090909091</v>
      </c>
      <c r="H53" s="56">
        <v>13860.5</v>
      </c>
      <c r="I53" s="79">
        <f t="shared" si="21"/>
        <v>29.241561181434598</v>
      </c>
      <c r="J53" s="80">
        <v>5530.14</v>
      </c>
      <c r="K53" s="81">
        <f t="shared" si="22"/>
        <v>11.666962025316456</v>
      </c>
      <c r="L53" s="56">
        <v>14000</v>
      </c>
      <c r="M53" s="70">
        <f t="shared" si="33"/>
        <v>1.0100645719851375</v>
      </c>
      <c r="N53" s="30">
        <f t="shared" si="8"/>
        <v>-4231.906243475999</v>
      </c>
      <c r="O53" s="56">
        <f t="shared" si="9"/>
        <v>5530.14</v>
      </c>
      <c r="P53" s="40">
        <f t="shared" si="27"/>
        <v>1298.2337565240014</v>
      </c>
      <c r="Q53" s="30">
        <f>W53*33.33333%</f>
        <v>-2115.9531217379995</v>
      </c>
      <c r="R53" s="56">
        <f t="shared" si="39"/>
        <v>3871.098</v>
      </c>
      <c r="S53" s="31">
        <f t="shared" si="40"/>
        <v>1755.1448782620005</v>
      </c>
      <c r="T53" s="34">
        <f t="shared" si="41"/>
        <v>-2115.9531217379995</v>
      </c>
      <c r="U53" s="85">
        <f t="shared" si="42"/>
        <v>1659.0420000000001</v>
      </c>
      <c r="V53" s="31">
        <f t="shared" si="43"/>
        <v>-456.91112173799934</v>
      </c>
      <c r="W53" s="42">
        <v>-6347.86</v>
      </c>
    </row>
    <row r="54" spans="1:23" x14ac:dyDescent="0.3">
      <c r="A54" s="7">
        <v>48</v>
      </c>
      <c r="B54" s="71" t="s">
        <v>90</v>
      </c>
      <c r="C54" s="72">
        <v>43639</v>
      </c>
      <c r="D54" s="73">
        <f t="shared" si="20"/>
        <v>43639</v>
      </c>
      <c r="E54" s="55">
        <v>196</v>
      </c>
      <c r="F54" s="55">
        <v>400</v>
      </c>
      <c r="G54" s="74">
        <f t="shared" si="29"/>
        <v>0.49</v>
      </c>
      <c r="H54" s="55">
        <v>7478.5</v>
      </c>
      <c r="I54" s="75">
        <f t="shared" si="21"/>
        <v>38.155612244897959</v>
      </c>
      <c r="J54" s="55">
        <v>2329.4</v>
      </c>
      <c r="K54" s="75">
        <f t="shared" si="22"/>
        <v>11.884693877551021</v>
      </c>
      <c r="L54" s="55">
        <v>2000</v>
      </c>
      <c r="M54" s="78">
        <f t="shared" si="33"/>
        <v>0.26743330881861338</v>
      </c>
      <c r="N54" s="117">
        <f t="shared" si="8"/>
        <v>573.34</v>
      </c>
      <c r="O54" s="97">
        <f t="shared" si="9"/>
        <v>2329.4</v>
      </c>
      <c r="P54" s="33">
        <f t="shared" si="27"/>
        <v>2902.7400000000002</v>
      </c>
      <c r="Q54" s="32">
        <f>W54*50%</f>
        <v>286.67</v>
      </c>
      <c r="R54" s="55">
        <f t="shared" si="39"/>
        <v>1630.58</v>
      </c>
      <c r="S54" s="41">
        <f t="shared" si="40"/>
        <v>1917.25</v>
      </c>
      <c r="T54" s="32">
        <f t="shared" si="41"/>
        <v>286.67</v>
      </c>
      <c r="U54" s="55">
        <f t="shared" si="42"/>
        <v>698.82</v>
      </c>
      <c r="V54" s="41">
        <f t="shared" si="43"/>
        <v>985.49</v>
      </c>
      <c r="W54" s="42">
        <v>573.34</v>
      </c>
    </row>
    <row r="55" spans="1:23" x14ac:dyDescent="0.3">
      <c r="A55" s="12">
        <v>49</v>
      </c>
      <c r="B55" s="65" t="s">
        <v>92</v>
      </c>
      <c r="C55" s="66">
        <v>43643</v>
      </c>
      <c r="D55" s="67">
        <f t="shared" si="20"/>
        <v>43643</v>
      </c>
      <c r="E55" s="56">
        <v>357</v>
      </c>
      <c r="F55" s="56">
        <v>1100</v>
      </c>
      <c r="G55" s="68">
        <f t="shared" si="29"/>
        <v>0.32454545454545453</v>
      </c>
      <c r="H55" s="56">
        <v>9332</v>
      </c>
      <c r="I55" s="79">
        <f t="shared" si="21"/>
        <v>26.140056022408963</v>
      </c>
      <c r="J55" s="80">
        <v>3005.81</v>
      </c>
      <c r="K55" s="81">
        <f t="shared" si="22"/>
        <v>8.4196358543417364</v>
      </c>
      <c r="L55" s="56">
        <v>15000</v>
      </c>
      <c r="M55" s="70">
        <f t="shared" si="33"/>
        <v>1.6073724817831119</v>
      </c>
      <c r="N55" s="30">
        <f t="shared" si="8"/>
        <v>-10721.1</v>
      </c>
      <c r="O55" s="56">
        <f t="shared" si="9"/>
        <v>3005.81</v>
      </c>
      <c r="P55" s="40">
        <f t="shared" si="27"/>
        <v>-7715.2900000000009</v>
      </c>
      <c r="Q55" s="30">
        <f>W55*50%</f>
        <v>-5360.55</v>
      </c>
      <c r="R55" s="56">
        <f t="shared" si="39"/>
        <v>2104.067</v>
      </c>
      <c r="S55" s="31">
        <f t="shared" si="40"/>
        <v>-3256.4830000000002</v>
      </c>
      <c r="T55" s="34">
        <f t="shared" si="41"/>
        <v>-5360.55</v>
      </c>
      <c r="U55" s="85">
        <f t="shared" si="42"/>
        <v>901.74299999999994</v>
      </c>
      <c r="V55" s="31">
        <f t="shared" si="43"/>
        <v>-4458.8070000000007</v>
      </c>
      <c r="W55" s="42">
        <v>-10721.1</v>
      </c>
    </row>
    <row r="56" spans="1:23" x14ac:dyDescent="0.3">
      <c r="A56" s="7">
        <v>50</v>
      </c>
      <c r="B56" s="71" t="s">
        <v>94</v>
      </c>
      <c r="C56" s="72">
        <v>43665</v>
      </c>
      <c r="D56" s="73">
        <f t="shared" si="20"/>
        <v>43665</v>
      </c>
      <c r="E56" s="55">
        <v>682</v>
      </c>
      <c r="F56" s="55">
        <v>1100</v>
      </c>
      <c r="G56" s="74">
        <f t="shared" si="29"/>
        <v>0.62</v>
      </c>
      <c r="H56" s="55">
        <v>33137</v>
      </c>
      <c r="I56" s="75">
        <f t="shared" si="21"/>
        <v>48.587976539589441</v>
      </c>
      <c r="J56" s="55">
        <v>6094.73</v>
      </c>
      <c r="K56" s="75">
        <f t="shared" si="22"/>
        <v>8.9365542521994126</v>
      </c>
      <c r="L56" s="55">
        <v>12260.6</v>
      </c>
      <c r="M56" s="78">
        <f t="shared" si="33"/>
        <v>0.36999728400277637</v>
      </c>
      <c r="N56" s="117">
        <f t="shared" si="8"/>
        <v>9761.5300000000007</v>
      </c>
      <c r="O56" s="97">
        <f t="shared" si="9"/>
        <v>6094.73</v>
      </c>
      <c r="P56" s="33">
        <f t="shared" si="27"/>
        <v>15856.26</v>
      </c>
      <c r="Q56" s="32">
        <f>W56*50%</f>
        <v>4880.7650000000003</v>
      </c>
      <c r="R56" s="55">
        <f t="shared" si="39"/>
        <v>4266.3109999999997</v>
      </c>
      <c r="S56" s="41">
        <f t="shared" si="40"/>
        <v>9147.0760000000009</v>
      </c>
      <c r="T56" s="32">
        <f t="shared" si="41"/>
        <v>4880.7650000000003</v>
      </c>
      <c r="U56" s="55">
        <f t="shared" si="42"/>
        <v>1828.4189999999999</v>
      </c>
      <c r="V56" s="41">
        <f t="shared" si="43"/>
        <v>6709.1840000000002</v>
      </c>
      <c r="W56" s="42">
        <v>9761.5300000000007</v>
      </c>
    </row>
    <row r="57" spans="1:23" x14ac:dyDescent="0.3">
      <c r="A57" s="12">
        <v>51</v>
      </c>
      <c r="B57" s="65" t="s">
        <v>93</v>
      </c>
      <c r="C57" s="66">
        <v>43666</v>
      </c>
      <c r="D57" s="67">
        <f t="shared" si="20"/>
        <v>43666</v>
      </c>
      <c r="E57" s="56">
        <v>547</v>
      </c>
      <c r="F57" s="56">
        <v>1100</v>
      </c>
      <c r="G57" s="68">
        <f t="shared" si="29"/>
        <v>0.49727272727272726</v>
      </c>
      <c r="H57" s="56">
        <v>17827.5</v>
      </c>
      <c r="I57" s="79">
        <f t="shared" si="21"/>
        <v>32.59140767824497</v>
      </c>
      <c r="J57" s="80">
        <v>7129.38</v>
      </c>
      <c r="K57" s="81">
        <f t="shared" si="22"/>
        <v>13.033601462522853</v>
      </c>
      <c r="L57" s="56">
        <v>8000</v>
      </c>
      <c r="M57" s="70">
        <f t="shared" si="33"/>
        <v>0.44874491656149207</v>
      </c>
      <c r="N57" s="30">
        <f t="shared" si="8"/>
        <v>2867.77</v>
      </c>
      <c r="O57" s="56">
        <f t="shared" si="9"/>
        <v>7129.3799999999992</v>
      </c>
      <c r="P57" s="40">
        <f t="shared" si="27"/>
        <v>9997.15</v>
      </c>
      <c r="Q57" s="30">
        <f>W57*50%</f>
        <v>1433.885</v>
      </c>
      <c r="R57" s="56">
        <f t="shared" si="39"/>
        <v>4990.5659999999998</v>
      </c>
      <c r="S57" s="31">
        <f t="shared" si="40"/>
        <v>6424.451</v>
      </c>
      <c r="T57" s="34">
        <f t="shared" si="41"/>
        <v>1433.885</v>
      </c>
      <c r="U57" s="85">
        <f t="shared" si="42"/>
        <v>2138.8139999999999</v>
      </c>
      <c r="V57" s="31">
        <f t="shared" si="43"/>
        <v>3572.6989999999996</v>
      </c>
      <c r="W57" s="42">
        <v>2867.77</v>
      </c>
    </row>
    <row r="58" spans="1:23" x14ac:dyDescent="0.3">
      <c r="A58" s="84">
        <v>52</v>
      </c>
      <c r="B58" s="94" t="s">
        <v>100</v>
      </c>
      <c r="C58" s="95">
        <v>43700</v>
      </c>
      <c r="D58" s="96">
        <f t="shared" si="20"/>
        <v>43700</v>
      </c>
      <c r="E58" s="97">
        <v>404</v>
      </c>
      <c r="F58" s="97">
        <v>418</v>
      </c>
      <c r="G58" s="98">
        <f t="shared" si="29"/>
        <v>0.96650717703349287</v>
      </c>
      <c r="H58" s="97">
        <v>19707.86</v>
      </c>
      <c r="I58" s="99">
        <f t="shared" si="21"/>
        <v>48.781831683168321</v>
      </c>
      <c r="J58" s="97">
        <v>2991.41</v>
      </c>
      <c r="K58" s="100">
        <f t="shared" si="22"/>
        <v>7.4044801980198018</v>
      </c>
      <c r="L58" s="97">
        <v>5631.22</v>
      </c>
      <c r="M58" s="110">
        <f t="shared" si="33"/>
        <v>0.28573472715962056</v>
      </c>
      <c r="N58" s="117">
        <f t="shared" si="8"/>
        <v>8467.51</v>
      </c>
      <c r="O58" s="97">
        <f t="shared" si="9"/>
        <v>2991.4099999999994</v>
      </c>
      <c r="P58" s="33">
        <f t="shared" si="27"/>
        <v>11458.92</v>
      </c>
      <c r="Q58" s="117">
        <f>W58*50%</f>
        <v>4233.7550000000001</v>
      </c>
      <c r="R58" s="97">
        <f t="shared" si="39"/>
        <v>2093.9869999999996</v>
      </c>
      <c r="S58" s="101">
        <f t="shared" si="40"/>
        <v>6327.7420000000002</v>
      </c>
      <c r="T58" s="109">
        <f t="shared" si="41"/>
        <v>4233.7550000000001</v>
      </c>
      <c r="U58" s="102">
        <f t="shared" si="42"/>
        <v>897.42299999999989</v>
      </c>
      <c r="V58" s="101">
        <f t="shared" si="43"/>
        <v>5131.1779999999999</v>
      </c>
      <c r="W58" s="42">
        <v>8467.51</v>
      </c>
    </row>
    <row r="59" spans="1:23" x14ac:dyDescent="0.3">
      <c r="A59" s="12">
        <v>53</v>
      </c>
      <c r="B59" s="65" t="s">
        <v>108</v>
      </c>
      <c r="C59" s="66">
        <v>43716</v>
      </c>
      <c r="D59" s="67">
        <f t="shared" si="20"/>
        <v>43716</v>
      </c>
      <c r="E59" s="56">
        <v>560</v>
      </c>
      <c r="F59" s="56">
        <v>1118</v>
      </c>
      <c r="G59" s="68">
        <f t="shared" si="29"/>
        <v>0.50089445438282643</v>
      </c>
      <c r="H59" s="56">
        <v>19533.5</v>
      </c>
      <c r="I59" s="79">
        <f t="shared" si="21"/>
        <v>34.881250000000001</v>
      </c>
      <c r="J59" s="80">
        <v>5174.8599999999997</v>
      </c>
      <c r="K59" s="81">
        <f t="shared" si="22"/>
        <v>9.2408214285714276</v>
      </c>
      <c r="L59" s="56">
        <v>20000</v>
      </c>
      <c r="M59" s="70">
        <f t="shared" si="33"/>
        <v>1.0238820487879796</v>
      </c>
      <c r="N59" s="30">
        <f t="shared" si="8"/>
        <v>-6279.42</v>
      </c>
      <c r="O59" s="56">
        <f t="shared" si="9"/>
        <v>5174.8599999999997</v>
      </c>
      <c r="P59" s="40">
        <f t="shared" si="27"/>
        <v>-1104.5600000000004</v>
      </c>
      <c r="Q59" s="30">
        <f t="shared" ref="Q59:Q72" si="44">W59*50%</f>
        <v>-3139.71</v>
      </c>
      <c r="R59" s="56">
        <f t="shared" ref="R59:R72" si="45">J59*70%</f>
        <v>3622.4019999999996</v>
      </c>
      <c r="S59" s="31">
        <f t="shared" ref="S59:S72" si="46">Q59+R59</f>
        <v>482.69199999999955</v>
      </c>
      <c r="T59" s="34">
        <f t="shared" ref="T59:T72" si="47">Q59</f>
        <v>-3139.71</v>
      </c>
      <c r="U59" s="85">
        <f t="shared" ref="U59:U72" si="48">J59*30%</f>
        <v>1552.4579999999999</v>
      </c>
      <c r="V59" s="31">
        <f t="shared" ref="V59:V72" si="49">T59+U59</f>
        <v>-1587.2520000000002</v>
      </c>
      <c r="W59" s="42">
        <v>-6279.42</v>
      </c>
    </row>
    <row r="60" spans="1:23" x14ac:dyDescent="0.3">
      <c r="A60" s="7">
        <v>54</v>
      </c>
      <c r="B60" s="71" t="s">
        <v>109</v>
      </c>
      <c r="C60" s="72">
        <v>43717</v>
      </c>
      <c r="D60" s="73">
        <f t="shared" si="20"/>
        <v>43717</v>
      </c>
      <c r="E60" s="55">
        <v>706</v>
      </c>
      <c r="F60" s="55">
        <v>1118</v>
      </c>
      <c r="G60" s="74">
        <f t="shared" si="29"/>
        <v>0.63148479427549198</v>
      </c>
      <c r="H60" s="55">
        <v>17500</v>
      </c>
      <c r="I60" s="75">
        <f t="shared" si="21"/>
        <v>24.787535410764871</v>
      </c>
      <c r="J60" s="55">
        <v>7353.89</v>
      </c>
      <c r="K60" s="75">
        <f t="shared" si="22"/>
        <v>10.416274787535411</v>
      </c>
      <c r="L60" s="55">
        <v>12500</v>
      </c>
      <c r="M60" s="78">
        <f t="shared" si="33"/>
        <v>0.7142857142857143</v>
      </c>
      <c r="N60" s="117">
        <f t="shared" si="8"/>
        <v>-935.42</v>
      </c>
      <c r="O60" s="97">
        <f t="shared" si="9"/>
        <v>7353.8899999999994</v>
      </c>
      <c r="P60" s="33">
        <f t="shared" si="27"/>
        <v>6418.4699999999993</v>
      </c>
      <c r="Q60" s="32">
        <f t="shared" si="44"/>
        <v>-467.71</v>
      </c>
      <c r="R60" s="55">
        <f t="shared" si="45"/>
        <v>5147.723</v>
      </c>
      <c r="S60" s="41">
        <f t="shared" si="46"/>
        <v>4680.0129999999999</v>
      </c>
      <c r="T60" s="32">
        <f t="shared" si="47"/>
        <v>-467.71</v>
      </c>
      <c r="U60" s="55">
        <f t="shared" si="48"/>
        <v>2206.1669999999999</v>
      </c>
      <c r="V60" s="41">
        <f t="shared" si="49"/>
        <v>1738.4569999999999</v>
      </c>
      <c r="W60" s="42">
        <v>-935.42</v>
      </c>
    </row>
    <row r="61" spans="1:23" x14ac:dyDescent="0.3">
      <c r="A61" s="12">
        <f>A60+1</f>
        <v>55</v>
      </c>
      <c r="B61" s="65" t="s">
        <v>110</v>
      </c>
      <c r="C61" s="66">
        <v>43720</v>
      </c>
      <c r="D61" s="67">
        <f t="shared" si="20"/>
        <v>43720</v>
      </c>
      <c r="E61" s="56">
        <v>267</v>
      </c>
      <c r="F61" s="56">
        <v>1100</v>
      </c>
      <c r="G61" s="68">
        <f t="shared" si="29"/>
        <v>0.24272727272727274</v>
      </c>
      <c r="H61" s="56">
        <v>7262</v>
      </c>
      <c r="I61" s="79">
        <f t="shared" si="21"/>
        <v>27.198501872659175</v>
      </c>
      <c r="J61" s="80">
        <v>2497.7600000000002</v>
      </c>
      <c r="K61" s="81">
        <f t="shared" si="22"/>
        <v>9.3549063670411989</v>
      </c>
      <c r="L61" s="56">
        <v>3110.92</v>
      </c>
      <c r="M61" s="70">
        <f t="shared" si="33"/>
        <v>0.42838336546405947</v>
      </c>
      <c r="N61" s="30">
        <f t="shared" si="8"/>
        <v>-1006.96</v>
      </c>
      <c r="O61" s="56">
        <f t="shared" si="9"/>
        <v>2497.7600000000002</v>
      </c>
      <c r="P61" s="40">
        <f t="shared" si="27"/>
        <v>1490.8000000000002</v>
      </c>
      <c r="Q61" s="30">
        <f t="shared" si="44"/>
        <v>-503.48</v>
      </c>
      <c r="R61" s="56">
        <f t="shared" si="45"/>
        <v>1748.432</v>
      </c>
      <c r="S61" s="31">
        <f t="shared" si="46"/>
        <v>1244.952</v>
      </c>
      <c r="T61" s="34">
        <f t="shared" si="47"/>
        <v>-503.48</v>
      </c>
      <c r="U61" s="85">
        <f t="shared" si="48"/>
        <v>749.32800000000009</v>
      </c>
      <c r="V61" s="31">
        <f t="shared" si="49"/>
        <v>245.84800000000007</v>
      </c>
      <c r="W61" s="42">
        <v>-1006.96</v>
      </c>
    </row>
    <row r="62" spans="1:23" x14ac:dyDescent="0.3">
      <c r="A62" s="7">
        <f t="shared" ref="A62:A108" si="50">A61+1</f>
        <v>56</v>
      </c>
      <c r="B62" s="71" t="s">
        <v>111</v>
      </c>
      <c r="C62" s="72">
        <v>43721</v>
      </c>
      <c r="D62" s="73">
        <f t="shared" si="20"/>
        <v>43721</v>
      </c>
      <c r="E62" s="55">
        <v>566</v>
      </c>
      <c r="F62" s="55">
        <v>1118</v>
      </c>
      <c r="G62" s="74">
        <f t="shared" si="29"/>
        <v>0.50626118067978532</v>
      </c>
      <c r="H62" s="55">
        <v>19993.27</v>
      </c>
      <c r="I62" s="75">
        <f t="shared" si="21"/>
        <v>35.323798586572437</v>
      </c>
      <c r="J62" s="55">
        <v>3839.76</v>
      </c>
      <c r="K62" s="75">
        <f t="shared" si="22"/>
        <v>6.7840282685512374</v>
      </c>
      <c r="L62" s="55">
        <v>10000</v>
      </c>
      <c r="M62" s="78">
        <f t="shared" si="33"/>
        <v>0.50016830663518275</v>
      </c>
      <c r="N62" s="117">
        <f t="shared" si="8"/>
        <v>2527.6799999999998</v>
      </c>
      <c r="O62" s="97">
        <f t="shared" si="9"/>
        <v>3839.76</v>
      </c>
      <c r="P62" s="33">
        <f t="shared" si="27"/>
        <v>6367.4400000000005</v>
      </c>
      <c r="Q62" s="32">
        <f t="shared" si="44"/>
        <v>1263.8399999999999</v>
      </c>
      <c r="R62" s="55">
        <f t="shared" si="45"/>
        <v>2687.8319999999999</v>
      </c>
      <c r="S62" s="41">
        <f t="shared" si="46"/>
        <v>3951.6719999999996</v>
      </c>
      <c r="T62" s="32">
        <f t="shared" si="47"/>
        <v>1263.8399999999999</v>
      </c>
      <c r="U62" s="55">
        <f t="shared" si="48"/>
        <v>1151.9280000000001</v>
      </c>
      <c r="V62" s="41">
        <f t="shared" si="49"/>
        <v>2415.768</v>
      </c>
      <c r="W62" s="42">
        <v>2527.6799999999998</v>
      </c>
    </row>
    <row r="63" spans="1:23" x14ac:dyDescent="0.3">
      <c r="A63" s="12">
        <f t="shared" si="50"/>
        <v>57</v>
      </c>
      <c r="B63" s="65" t="s">
        <v>112</v>
      </c>
      <c r="C63" s="66">
        <v>43722</v>
      </c>
      <c r="D63" s="67">
        <f t="shared" si="20"/>
        <v>43722</v>
      </c>
      <c r="E63" s="56">
        <v>1118</v>
      </c>
      <c r="F63" s="56">
        <v>1118</v>
      </c>
      <c r="G63" s="68">
        <f t="shared" si="29"/>
        <v>1</v>
      </c>
      <c r="H63" s="56">
        <v>34682.39</v>
      </c>
      <c r="I63" s="79">
        <f t="shared" si="21"/>
        <v>31.021815742397138</v>
      </c>
      <c r="J63" s="80">
        <v>2319.2399999999998</v>
      </c>
      <c r="K63" s="81">
        <f t="shared" si="22"/>
        <v>2.0744543828264757</v>
      </c>
      <c r="L63" s="56">
        <v>15500</v>
      </c>
      <c r="M63" s="70">
        <f t="shared" si="33"/>
        <v>0.44691268392979838</v>
      </c>
      <c r="N63" s="30">
        <f t="shared" si="8"/>
        <v>13189.14</v>
      </c>
      <c r="O63" s="56">
        <f t="shared" si="9"/>
        <v>2319.2399999999998</v>
      </c>
      <c r="P63" s="40">
        <f t="shared" si="27"/>
        <v>15508.38</v>
      </c>
      <c r="Q63" s="30">
        <f t="shared" si="44"/>
        <v>6594.57</v>
      </c>
      <c r="R63" s="56">
        <f t="shared" si="45"/>
        <v>1623.4679999999998</v>
      </c>
      <c r="S63" s="31">
        <f t="shared" si="46"/>
        <v>8218.0380000000005</v>
      </c>
      <c r="T63" s="34">
        <f t="shared" si="47"/>
        <v>6594.57</v>
      </c>
      <c r="U63" s="85">
        <f t="shared" si="48"/>
        <v>695.77199999999993</v>
      </c>
      <c r="V63" s="31">
        <f t="shared" si="49"/>
        <v>7290.3419999999996</v>
      </c>
      <c r="W63" s="42">
        <v>13189.14</v>
      </c>
    </row>
    <row r="64" spans="1:23" x14ac:dyDescent="0.3">
      <c r="A64" s="7">
        <f t="shared" si="50"/>
        <v>58</v>
      </c>
      <c r="B64" s="71" t="s">
        <v>113</v>
      </c>
      <c r="C64" s="72">
        <v>43723</v>
      </c>
      <c r="D64" s="73">
        <f t="shared" si="20"/>
        <v>43723</v>
      </c>
      <c r="E64" s="55">
        <v>514</v>
      </c>
      <c r="F64" s="55">
        <v>1118</v>
      </c>
      <c r="G64" s="74">
        <f t="shared" si="29"/>
        <v>0.4597495527728086</v>
      </c>
      <c r="H64" s="55">
        <v>15894</v>
      </c>
      <c r="I64" s="75">
        <f t="shared" si="21"/>
        <v>30.922178988326849</v>
      </c>
      <c r="J64" s="55">
        <v>3817.37</v>
      </c>
      <c r="K64" s="75">
        <f t="shared" si="22"/>
        <v>7.4267898832684827</v>
      </c>
      <c r="L64" s="55">
        <v>16500</v>
      </c>
      <c r="M64" s="78">
        <f t="shared" si="33"/>
        <v>1.0381275953189883</v>
      </c>
      <c r="N64" s="117">
        <f t="shared" si="8"/>
        <v>-6786.33</v>
      </c>
      <c r="O64" s="97">
        <f t="shared" si="9"/>
        <v>3817.37</v>
      </c>
      <c r="P64" s="33">
        <f t="shared" si="27"/>
        <v>-2968.96</v>
      </c>
      <c r="Q64" s="32">
        <f t="shared" si="44"/>
        <v>-3393.165</v>
      </c>
      <c r="R64" s="55">
        <f t="shared" si="45"/>
        <v>2672.1589999999997</v>
      </c>
      <c r="S64" s="41">
        <f t="shared" si="46"/>
        <v>-721.00600000000031</v>
      </c>
      <c r="T64" s="32">
        <f t="shared" si="47"/>
        <v>-3393.165</v>
      </c>
      <c r="U64" s="55">
        <f t="shared" si="48"/>
        <v>1145.211</v>
      </c>
      <c r="V64" s="41">
        <f t="shared" si="49"/>
        <v>-2247.9539999999997</v>
      </c>
      <c r="W64" s="42">
        <v>-6786.33</v>
      </c>
    </row>
    <row r="65" spans="1:23" x14ac:dyDescent="0.3">
      <c r="A65" s="12">
        <f t="shared" si="50"/>
        <v>59</v>
      </c>
      <c r="B65" s="65" t="s">
        <v>114</v>
      </c>
      <c r="C65" s="66">
        <v>43726</v>
      </c>
      <c r="D65" s="67">
        <f t="shared" si="20"/>
        <v>43726</v>
      </c>
      <c r="E65" s="56">
        <v>482</v>
      </c>
      <c r="F65" s="56">
        <v>1000</v>
      </c>
      <c r="G65" s="68">
        <f t="shared" si="29"/>
        <v>0.48199999999999998</v>
      </c>
      <c r="H65" s="56">
        <v>12788</v>
      </c>
      <c r="I65" s="79">
        <f t="shared" si="21"/>
        <v>26.531120331950209</v>
      </c>
      <c r="J65" s="80">
        <v>6895.84</v>
      </c>
      <c r="K65" s="81">
        <f t="shared" si="22"/>
        <v>14.306721991701245</v>
      </c>
      <c r="L65" s="56">
        <v>7750</v>
      </c>
      <c r="M65" s="70">
        <f t="shared" si="33"/>
        <v>0.60603690960275258</v>
      </c>
      <c r="N65" s="30">
        <f t="shared" si="8"/>
        <v>-2657.04</v>
      </c>
      <c r="O65" s="56">
        <f t="shared" si="9"/>
        <v>6895.84</v>
      </c>
      <c r="P65" s="40">
        <f t="shared" si="27"/>
        <v>4238.8</v>
      </c>
      <c r="Q65" s="30">
        <f t="shared" si="44"/>
        <v>-1328.52</v>
      </c>
      <c r="R65" s="56">
        <f t="shared" si="45"/>
        <v>4827.0879999999997</v>
      </c>
      <c r="S65" s="31">
        <f t="shared" si="46"/>
        <v>3498.5679999999998</v>
      </c>
      <c r="T65" s="34">
        <f t="shared" si="47"/>
        <v>-1328.52</v>
      </c>
      <c r="U65" s="85">
        <f t="shared" si="48"/>
        <v>2068.752</v>
      </c>
      <c r="V65" s="31">
        <f t="shared" si="49"/>
        <v>740.23199999999997</v>
      </c>
      <c r="W65" s="42">
        <v>-2657.04</v>
      </c>
    </row>
    <row r="66" spans="1:23" x14ac:dyDescent="0.3">
      <c r="A66" s="7">
        <f t="shared" si="50"/>
        <v>60</v>
      </c>
      <c r="B66" s="71" t="s">
        <v>121</v>
      </c>
      <c r="C66" s="72">
        <v>43727</v>
      </c>
      <c r="D66" s="73">
        <f t="shared" si="20"/>
        <v>43727</v>
      </c>
      <c r="E66" s="55"/>
      <c r="F66" s="55"/>
      <c r="G66" s="74" t="str">
        <f t="shared" si="29"/>
        <v/>
      </c>
      <c r="H66" s="55"/>
      <c r="I66" s="75" t="str">
        <f t="shared" si="21"/>
        <v/>
      </c>
      <c r="J66" s="55">
        <v>8183.9</v>
      </c>
      <c r="K66" s="75" t="str">
        <f t="shared" si="22"/>
        <v/>
      </c>
      <c r="L66" s="55"/>
      <c r="M66" s="78" t="str">
        <f t="shared" si="33"/>
        <v/>
      </c>
      <c r="N66" s="117">
        <f t="shared" si="8"/>
        <v>0</v>
      </c>
      <c r="O66" s="97">
        <f t="shared" si="9"/>
        <v>8183.9</v>
      </c>
      <c r="P66" s="33">
        <f t="shared" si="27"/>
        <v>8183.9</v>
      </c>
      <c r="Q66" s="32">
        <f t="shared" si="44"/>
        <v>0</v>
      </c>
      <c r="R66" s="55">
        <f t="shared" si="45"/>
        <v>5728.73</v>
      </c>
      <c r="S66" s="41">
        <f t="shared" si="46"/>
        <v>5728.73</v>
      </c>
      <c r="T66" s="32">
        <f t="shared" si="47"/>
        <v>0</v>
      </c>
      <c r="U66" s="55">
        <f t="shared" si="48"/>
        <v>2455.1699999999996</v>
      </c>
      <c r="V66" s="41">
        <f t="shared" si="49"/>
        <v>2455.1699999999996</v>
      </c>
      <c r="W66" s="42">
        <v>0</v>
      </c>
    </row>
    <row r="67" spans="1:23" x14ac:dyDescent="0.3">
      <c r="A67" s="12">
        <f t="shared" si="50"/>
        <v>61</v>
      </c>
      <c r="B67" s="65" t="s">
        <v>115</v>
      </c>
      <c r="C67" s="66">
        <v>43729</v>
      </c>
      <c r="D67" s="67">
        <f t="shared" si="20"/>
        <v>43729</v>
      </c>
      <c r="E67" s="56">
        <v>412</v>
      </c>
      <c r="F67" s="56">
        <v>418</v>
      </c>
      <c r="G67" s="68">
        <f t="shared" si="29"/>
        <v>0.9856459330143541</v>
      </c>
      <c r="H67" s="56">
        <v>17315.2</v>
      </c>
      <c r="I67" s="79">
        <f t="shared" si="21"/>
        <v>42.02718446601942</v>
      </c>
      <c r="J67" s="80">
        <v>6969.88</v>
      </c>
      <c r="K67" s="81">
        <f t="shared" si="22"/>
        <v>16.917184466019417</v>
      </c>
      <c r="L67" s="56">
        <v>7247.63</v>
      </c>
      <c r="M67" s="70">
        <f t="shared" si="33"/>
        <v>0.41857038902236182</v>
      </c>
      <c r="N67" s="30">
        <f t="shared" si="8"/>
        <v>4828.7</v>
      </c>
      <c r="O67" s="56">
        <f t="shared" si="9"/>
        <v>6969.88</v>
      </c>
      <c r="P67" s="40">
        <f t="shared" si="27"/>
        <v>11798.58</v>
      </c>
      <c r="Q67" s="30">
        <f t="shared" si="44"/>
        <v>2414.35</v>
      </c>
      <c r="R67" s="56">
        <f t="shared" si="45"/>
        <v>4878.9160000000002</v>
      </c>
      <c r="S67" s="31">
        <f t="shared" si="46"/>
        <v>7293.2659999999996</v>
      </c>
      <c r="T67" s="34">
        <f t="shared" si="47"/>
        <v>2414.35</v>
      </c>
      <c r="U67" s="85">
        <f t="shared" si="48"/>
        <v>2090.9639999999999</v>
      </c>
      <c r="V67" s="31">
        <f t="shared" si="49"/>
        <v>4505.3140000000003</v>
      </c>
      <c r="W67" s="42">
        <v>4828.7</v>
      </c>
    </row>
    <row r="68" spans="1:23" x14ac:dyDescent="0.3">
      <c r="A68" s="7">
        <f t="shared" si="50"/>
        <v>62</v>
      </c>
      <c r="B68" s="71" t="s">
        <v>116</v>
      </c>
      <c r="C68" s="72">
        <v>43730</v>
      </c>
      <c r="D68" s="73">
        <f t="shared" si="20"/>
        <v>43730</v>
      </c>
      <c r="E68" s="55">
        <v>221</v>
      </c>
      <c r="F68" s="55">
        <v>1000</v>
      </c>
      <c r="G68" s="74">
        <f t="shared" si="29"/>
        <v>0.221</v>
      </c>
      <c r="H68" s="55">
        <v>9262</v>
      </c>
      <c r="I68" s="75">
        <f t="shared" si="21"/>
        <v>41.909502262443439</v>
      </c>
      <c r="J68" s="55">
        <v>2369.9699999999998</v>
      </c>
      <c r="K68" s="75">
        <f t="shared" si="22"/>
        <v>10.723846153846154</v>
      </c>
      <c r="L68" s="55">
        <v>10500</v>
      </c>
      <c r="M68" s="78">
        <f t="shared" si="33"/>
        <v>1.1336644353271432</v>
      </c>
      <c r="N68" s="117">
        <f t="shared" si="8"/>
        <v>-8468.3700000000008</v>
      </c>
      <c r="O68" s="97">
        <f t="shared" si="9"/>
        <v>2369.9699999999998</v>
      </c>
      <c r="P68" s="33">
        <f t="shared" si="27"/>
        <v>-6098.4000000000015</v>
      </c>
      <c r="Q68" s="32">
        <f t="shared" si="44"/>
        <v>-4234.1850000000004</v>
      </c>
      <c r="R68" s="55">
        <f t="shared" si="45"/>
        <v>1658.9789999999998</v>
      </c>
      <c r="S68" s="41">
        <f t="shared" si="46"/>
        <v>-2575.2060000000006</v>
      </c>
      <c r="T68" s="32">
        <f t="shared" si="47"/>
        <v>-4234.1850000000004</v>
      </c>
      <c r="U68" s="55">
        <f t="shared" si="48"/>
        <v>710.99099999999987</v>
      </c>
      <c r="V68" s="41">
        <f t="shared" si="49"/>
        <v>-3523.1940000000004</v>
      </c>
      <c r="W68" s="42">
        <v>-8468.3700000000008</v>
      </c>
    </row>
    <row r="69" spans="1:23" x14ac:dyDescent="0.3">
      <c r="A69" s="12">
        <f t="shared" si="50"/>
        <v>63</v>
      </c>
      <c r="B69" s="65" t="s">
        <v>117</v>
      </c>
      <c r="C69" s="66">
        <v>43732</v>
      </c>
      <c r="D69" s="67">
        <f t="shared" si="20"/>
        <v>43732</v>
      </c>
      <c r="E69" s="56">
        <v>655</v>
      </c>
      <c r="F69" s="56">
        <v>1100</v>
      </c>
      <c r="G69" s="68">
        <f t="shared" si="29"/>
        <v>0.59545454545454546</v>
      </c>
      <c r="H69" s="56">
        <v>18350</v>
      </c>
      <c r="I69" s="79">
        <f t="shared" si="21"/>
        <v>28.015267175572518</v>
      </c>
      <c r="J69" s="80">
        <v>2683.62</v>
      </c>
      <c r="K69" s="81">
        <f t="shared" si="22"/>
        <v>4.0971297709923666</v>
      </c>
      <c r="L69" s="56">
        <v>17250</v>
      </c>
      <c r="M69" s="70">
        <f t="shared" si="33"/>
        <v>0.94005449591280654</v>
      </c>
      <c r="N69" s="30">
        <f>Q69+T69</f>
        <v>-5541.15</v>
      </c>
      <c r="O69" s="56">
        <f>R69+U69</f>
        <v>2683.62</v>
      </c>
      <c r="P69" s="40">
        <f>N69+O69</f>
        <v>-2857.5299999999997</v>
      </c>
      <c r="Q69" s="30">
        <f t="shared" si="44"/>
        <v>-2770.5749999999998</v>
      </c>
      <c r="R69" s="56">
        <f t="shared" si="45"/>
        <v>1878.5339999999999</v>
      </c>
      <c r="S69" s="31">
        <f t="shared" si="46"/>
        <v>-892.04099999999994</v>
      </c>
      <c r="T69" s="34">
        <f t="shared" si="47"/>
        <v>-2770.5749999999998</v>
      </c>
      <c r="U69" s="85">
        <f t="shared" si="48"/>
        <v>805.0859999999999</v>
      </c>
      <c r="V69" s="31">
        <f t="shared" si="49"/>
        <v>-1965.489</v>
      </c>
      <c r="W69" s="42">
        <v>-5541.15</v>
      </c>
    </row>
    <row r="70" spans="1:23" x14ac:dyDescent="0.3">
      <c r="A70" s="7">
        <f t="shared" si="50"/>
        <v>64</v>
      </c>
      <c r="B70" s="71" t="s">
        <v>118</v>
      </c>
      <c r="C70" s="72">
        <v>43734</v>
      </c>
      <c r="D70" s="73">
        <f t="shared" si="20"/>
        <v>43734</v>
      </c>
      <c r="E70" s="55">
        <v>415</v>
      </c>
      <c r="F70" s="55">
        <v>1000</v>
      </c>
      <c r="G70" s="74">
        <f t="shared" si="29"/>
        <v>0.41499999999999998</v>
      </c>
      <c r="H70" s="55">
        <v>16807</v>
      </c>
      <c r="I70" s="75">
        <f t="shared" si="21"/>
        <v>40.498795180722894</v>
      </c>
      <c r="J70" s="55">
        <v>5130.8100000000004</v>
      </c>
      <c r="K70" s="75">
        <f t="shared" si="22"/>
        <v>12.363397590361446</v>
      </c>
      <c r="L70" s="55">
        <v>10000</v>
      </c>
      <c r="M70" s="78">
        <f t="shared" si="33"/>
        <v>0.59499018266198611</v>
      </c>
      <c r="N70" s="117">
        <f t="shared" ref="N70:N89" si="51">Q70+T70</f>
        <v>2792.5</v>
      </c>
      <c r="O70" s="97">
        <f t="shared" ref="O70:O89" si="52">R70+U70</f>
        <v>5130.8100000000004</v>
      </c>
      <c r="P70" s="33">
        <f t="shared" si="27"/>
        <v>7923.31</v>
      </c>
      <c r="Q70" s="32">
        <f t="shared" si="44"/>
        <v>1396.25</v>
      </c>
      <c r="R70" s="55">
        <f t="shared" si="45"/>
        <v>3591.567</v>
      </c>
      <c r="S70" s="41">
        <f t="shared" si="46"/>
        <v>4987.817</v>
      </c>
      <c r="T70" s="32">
        <f t="shared" si="47"/>
        <v>1396.25</v>
      </c>
      <c r="U70" s="55">
        <f t="shared" si="48"/>
        <v>1539.2430000000002</v>
      </c>
      <c r="V70" s="41">
        <f t="shared" si="49"/>
        <v>2935.4930000000004</v>
      </c>
      <c r="W70" s="42">
        <v>2792.5</v>
      </c>
    </row>
    <row r="71" spans="1:23" x14ac:dyDescent="0.3">
      <c r="A71" s="12">
        <f t="shared" si="50"/>
        <v>65</v>
      </c>
      <c r="B71" s="65" t="s">
        <v>119</v>
      </c>
      <c r="C71" s="66">
        <v>43735</v>
      </c>
      <c r="D71" s="67">
        <f t="shared" si="20"/>
        <v>43735</v>
      </c>
      <c r="E71" s="56">
        <v>400</v>
      </c>
      <c r="F71" s="56">
        <v>400</v>
      </c>
      <c r="G71" s="68">
        <f t="shared" si="29"/>
        <v>1</v>
      </c>
      <c r="H71" s="56">
        <v>28171</v>
      </c>
      <c r="I71" s="79">
        <f t="shared" si="21"/>
        <v>70.427499999999995</v>
      </c>
      <c r="J71" s="80">
        <v>2018.82</v>
      </c>
      <c r="K71" s="81">
        <f t="shared" si="22"/>
        <v>5.0470499999999996</v>
      </c>
      <c r="L71" s="56">
        <v>5000</v>
      </c>
      <c r="M71" s="70">
        <f t="shared" si="33"/>
        <v>0.17748748713215717</v>
      </c>
      <c r="N71" s="30">
        <f t="shared" si="51"/>
        <v>19437.45</v>
      </c>
      <c r="O71" s="56">
        <f t="shared" si="52"/>
        <v>2018.82</v>
      </c>
      <c r="P71" s="40">
        <f t="shared" si="27"/>
        <v>21456.27</v>
      </c>
      <c r="Q71" s="30">
        <f t="shared" si="44"/>
        <v>9718.7250000000004</v>
      </c>
      <c r="R71" s="56">
        <f t="shared" si="45"/>
        <v>1413.174</v>
      </c>
      <c r="S71" s="31">
        <f t="shared" si="46"/>
        <v>11131.899000000001</v>
      </c>
      <c r="T71" s="34">
        <f t="shared" si="47"/>
        <v>9718.7250000000004</v>
      </c>
      <c r="U71" s="85">
        <f t="shared" si="48"/>
        <v>605.64599999999996</v>
      </c>
      <c r="V71" s="31">
        <f t="shared" si="49"/>
        <v>10324.371000000001</v>
      </c>
      <c r="W71" s="42">
        <v>19437.45</v>
      </c>
    </row>
    <row r="72" spans="1:23" x14ac:dyDescent="0.3">
      <c r="A72" s="7">
        <f t="shared" si="50"/>
        <v>66</v>
      </c>
      <c r="B72" s="71" t="s">
        <v>120</v>
      </c>
      <c r="C72" s="72">
        <v>43736</v>
      </c>
      <c r="D72" s="73">
        <f t="shared" si="20"/>
        <v>43736</v>
      </c>
      <c r="E72" s="55">
        <v>518</v>
      </c>
      <c r="F72" s="55">
        <v>1118</v>
      </c>
      <c r="G72" s="74">
        <f t="shared" si="29"/>
        <v>0.46332737030411447</v>
      </c>
      <c r="H72" s="55">
        <v>18930</v>
      </c>
      <c r="I72" s="75">
        <f t="shared" si="21"/>
        <v>36.544401544401545</v>
      </c>
      <c r="J72" s="55">
        <v>3515.78</v>
      </c>
      <c r="K72" s="75">
        <f t="shared" si="22"/>
        <v>6.7872200772200779</v>
      </c>
      <c r="L72" s="55">
        <v>15500</v>
      </c>
      <c r="M72" s="78">
        <f t="shared" si="33"/>
        <v>0.81880612783940832</v>
      </c>
      <c r="N72" s="117">
        <f t="shared" si="51"/>
        <v>-648.39</v>
      </c>
      <c r="O72" s="97">
        <f t="shared" si="52"/>
        <v>3515.7799999999997</v>
      </c>
      <c r="P72" s="33">
        <f t="shared" si="27"/>
        <v>2867.39</v>
      </c>
      <c r="Q72" s="32">
        <f t="shared" si="44"/>
        <v>-324.19499999999999</v>
      </c>
      <c r="R72" s="55">
        <f t="shared" si="45"/>
        <v>2461.0459999999998</v>
      </c>
      <c r="S72" s="41">
        <f t="shared" si="46"/>
        <v>2136.8509999999997</v>
      </c>
      <c r="T72" s="32">
        <f t="shared" si="47"/>
        <v>-324.19499999999999</v>
      </c>
      <c r="U72" s="55">
        <f t="shared" si="48"/>
        <v>1054.7339999999999</v>
      </c>
      <c r="V72" s="41">
        <f t="shared" si="49"/>
        <v>730.53899999999999</v>
      </c>
      <c r="W72" s="42">
        <v>-648.39</v>
      </c>
    </row>
    <row r="73" spans="1:23" x14ac:dyDescent="0.3">
      <c r="A73" s="12">
        <f t="shared" si="50"/>
        <v>67</v>
      </c>
      <c r="B73" s="65" t="s">
        <v>122</v>
      </c>
      <c r="C73" s="66">
        <v>43739</v>
      </c>
      <c r="D73" s="67">
        <f t="shared" si="20"/>
        <v>43739</v>
      </c>
      <c r="E73" s="56">
        <v>247</v>
      </c>
      <c r="F73" s="56">
        <v>1000</v>
      </c>
      <c r="G73" s="68">
        <f t="shared" si="29"/>
        <v>0.247</v>
      </c>
      <c r="H73" s="56">
        <v>6968</v>
      </c>
      <c r="I73" s="79">
        <f t="shared" si="21"/>
        <v>28.210526315789473</v>
      </c>
      <c r="J73" s="80">
        <v>1687.1</v>
      </c>
      <c r="K73" s="81">
        <f t="shared" si="22"/>
        <v>6.830364372469635</v>
      </c>
      <c r="L73" s="56">
        <v>8000</v>
      </c>
      <c r="M73" s="70">
        <f t="shared" si="33"/>
        <v>1.1481056257175659</v>
      </c>
      <c r="N73" s="30">
        <f t="shared" si="51"/>
        <v>-6502.38</v>
      </c>
      <c r="O73" s="56">
        <f t="shared" si="52"/>
        <v>1687.0999999999997</v>
      </c>
      <c r="P73" s="40">
        <f t="shared" si="27"/>
        <v>-4815.2800000000007</v>
      </c>
      <c r="Q73" s="30">
        <f t="shared" ref="Q73:Q79" si="53">W73*50%</f>
        <v>-3251.19</v>
      </c>
      <c r="R73" s="56">
        <f t="shared" ref="R73:R79" si="54">J73*70%</f>
        <v>1180.9699999999998</v>
      </c>
      <c r="S73" s="31">
        <f t="shared" ref="S73:S79" si="55">Q73+R73</f>
        <v>-2070.2200000000003</v>
      </c>
      <c r="T73" s="34">
        <f t="shared" ref="T73:T79" si="56">Q73</f>
        <v>-3251.19</v>
      </c>
      <c r="U73" s="85">
        <f t="shared" ref="U73:U79" si="57">J73*30%</f>
        <v>506.12999999999994</v>
      </c>
      <c r="V73" s="31">
        <f t="shared" ref="V73:V79" si="58">T73+U73</f>
        <v>-2745.06</v>
      </c>
      <c r="W73" s="42">
        <v>-6502.38</v>
      </c>
    </row>
    <row r="74" spans="1:23" x14ac:dyDescent="0.3">
      <c r="A74" s="7">
        <f t="shared" si="50"/>
        <v>68</v>
      </c>
      <c r="B74" s="71" t="s">
        <v>123</v>
      </c>
      <c r="C74" s="72">
        <v>43741</v>
      </c>
      <c r="D74" s="73">
        <f t="shared" si="20"/>
        <v>43741</v>
      </c>
      <c r="E74" s="55">
        <v>413</v>
      </c>
      <c r="F74" s="55">
        <v>1000</v>
      </c>
      <c r="G74" s="74">
        <f t="shared" si="29"/>
        <v>0.41299999999999998</v>
      </c>
      <c r="H74" s="55">
        <v>14856</v>
      </c>
      <c r="I74" s="75">
        <f t="shared" si="21"/>
        <v>35.970944309927361</v>
      </c>
      <c r="J74" s="55">
        <v>4607.99</v>
      </c>
      <c r="K74" s="75">
        <f t="shared" si="22"/>
        <v>11.157360774818402</v>
      </c>
      <c r="L74" s="55">
        <v>15500</v>
      </c>
      <c r="M74" s="78">
        <f t="shared" si="33"/>
        <v>1.0433494884221863</v>
      </c>
      <c r="N74" s="117">
        <f t="shared" si="51"/>
        <v>-4428.4399999999996</v>
      </c>
      <c r="O74" s="97">
        <f t="shared" si="52"/>
        <v>4607.99</v>
      </c>
      <c r="P74" s="33">
        <f t="shared" si="27"/>
        <v>179.55000000000018</v>
      </c>
      <c r="Q74" s="32">
        <f t="shared" si="53"/>
        <v>-2214.2199999999998</v>
      </c>
      <c r="R74" s="55">
        <f t="shared" si="54"/>
        <v>3225.5929999999998</v>
      </c>
      <c r="S74" s="41">
        <f t="shared" si="55"/>
        <v>1011.373</v>
      </c>
      <c r="T74" s="32">
        <f t="shared" si="56"/>
        <v>-2214.2199999999998</v>
      </c>
      <c r="U74" s="55">
        <f t="shared" si="57"/>
        <v>1382.3969999999999</v>
      </c>
      <c r="V74" s="41">
        <f t="shared" si="58"/>
        <v>-831.82299999999987</v>
      </c>
      <c r="W74" s="42">
        <v>-4428.4399999999996</v>
      </c>
    </row>
    <row r="75" spans="1:23" x14ac:dyDescent="0.3">
      <c r="A75" s="12">
        <f t="shared" si="50"/>
        <v>69</v>
      </c>
      <c r="B75" s="65" t="s">
        <v>124</v>
      </c>
      <c r="C75" s="66">
        <v>43743</v>
      </c>
      <c r="D75" s="67">
        <f t="shared" si="20"/>
        <v>43743</v>
      </c>
      <c r="E75" s="56">
        <v>748</v>
      </c>
      <c r="F75" s="56">
        <v>1100</v>
      </c>
      <c r="G75" s="68">
        <f t="shared" si="29"/>
        <v>0.68</v>
      </c>
      <c r="H75" s="56">
        <v>25330</v>
      </c>
      <c r="I75" s="79">
        <f t="shared" si="21"/>
        <v>33.863636363636367</v>
      </c>
      <c r="J75" s="80">
        <v>13395.89</v>
      </c>
      <c r="K75" s="81">
        <f t="shared" si="22"/>
        <v>17.908943850267377</v>
      </c>
      <c r="L75" s="56">
        <v>15164</v>
      </c>
      <c r="M75" s="70">
        <f t="shared" si="33"/>
        <v>0.59865771812080537</v>
      </c>
      <c r="N75" s="30">
        <f t="shared" si="51"/>
        <v>2924.34</v>
      </c>
      <c r="O75" s="56">
        <f t="shared" si="52"/>
        <v>13395.89</v>
      </c>
      <c r="P75" s="40">
        <f t="shared" si="27"/>
        <v>16320.23</v>
      </c>
      <c r="Q75" s="30">
        <f t="shared" si="53"/>
        <v>1462.17</v>
      </c>
      <c r="R75" s="56">
        <f t="shared" si="54"/>
        <v>9377.1229999999996</v>
      </c>
      <c r="S75" s="31">
        <f t="shared" si="55"/>
        <v>10839.293</v>
      </c>
      <c r="T75" s="34">
        <f t="shared" si="56"/>
        <v>1462.17</v>
      </c>
      <c r="U75" s="85">
        <f t="shared" si="57"/>
        <v>4018.7669999999998</v>
      </c>
      <c r="V75" s="31">
        <f t="shared" si="58"/>
        <v>5480.9369999999999</v>
      </c>
      <c r="W75" s="42">
        <v>2924.34</v>
      </c>
    </row>
    <row r="76" spans="1:23" x14ac:dyDescent="0.3">
      <c r="A76" s="7">
        <f t="shared" si="50"/>
        <v>70</v>
      </c>
      <c r="B76" s="71" t="s">
        <v>125</v>
      </c>
      <c r="C76" s="72">
        <v>43753</v>
      </c>
      <c r="D76" s="73">
        <f t="shared" si="20"/>
        <v>43753</v>
      </c>
      <c r="E76" s="55">
        <v>497</v>
      </c>
      <c r="F76" s="55">
        <v>1100</v>
      </c>
      <c r="G76" s="74">
        <f t="shared" si="29"/>
        <v>0.45181818181818184</v>
      </c>
      <c r="H76" s="55">
        <v>16512</v>
      </c>
      <c r="I76" s="75">
        <f t="shared" si="21"/>
        <v>33.223340040241446</v>
      </c>
      <c r="J76" s="55">
        <v>2800.6</v>
      </c>
      <c r="K76" s="75">
        <f t="shared" si="22"/>
        <v>5.6350100603621724</v>
      </c>
      <c r="L76" s="55">
        <v>4500</v>
      </c>
      <c r="M76" s="78">
        <f t="shared" si="33"/>
        <v>0.27252906976744184</v>
      </c>
      <c r="N76" s="117">
        <f t="shared" si="51"/>
        <v>4011.37</v>
      </c>
      <c r="O76" s="97">
        <f t="shared" si="52"/>
        <v>2800.6</v>
      </c>
      <c r="P76" s="33">
        <f t="shared" si="27"/>
        <v>6811.9699999999993</v>
      </c>
      <c r="Q76" s="32">
        <f t="shared" si="53"/>
        <v>2005.6849999999999</v>
      </c>
      <c r="R76" s="55">
        <f t="shared" si="54"/>
        <v>1960.4199999999998</v>
      </c>
      <c r="S76" s="41">
        <f t="shared" si="55"/>
        <v>3966.1049999999996</v>
      </c>
      <c r="T76" s="32">
        <f t="shared" si="56"/>
        <v>2005.6849999999999</v>
      </c>
      <c r="U76" s="55">
        <f t="shared" si="57"/>
        <v>840.18</v>
      </c>
      <c r="V76" s="41">
        <f t="shared" si="58"/>
        <v>2845.8649999999998</v>
      </c>
      <c r="W76" s="42">
        <v>4011.37</v>
      </c>
    </row>
    <row r="77" spans="1:23" x14ac:dyDescent="0.3">
      <c r="A77" s="12">
        <f t="shared" si="50"/>
        <v>71</v>
      </c>
      <c r="B77" s="65" t="s">
        <v>126</v>
      </c>
      <c r="C77" s="66">
        <v>43754</v>
      </c>
      <c r="D77" s="67">
        <f t="shared" si="20"/>
        <v>43754</v>
      </c>
      <c r="E77" s="56">
        <v>359</v>
      </c>
      <c r="F77" s="56">
        <v>1000</v>
      </c>
      <c r="G77" s="68">
        <f t="shared" si="29"/>
        <v>0.35899999999999999</v>
      </c>
      <c r="H77" s="56">
        <v>10889.5</v>
      </c>
      <c r="I77" s="79">
        <f t="shared" si="21"/>
        <v>30.332869080779943</v>
      </c>
      <c r="J77" s="80">
        <v>4638.54</v>
      </c>
      <c r="K77" s="81">
        <f t="shared" si="22"/>
        <v>12.920724233983286</v>
      </c>
      <c r="L77" s="56">
        <v>10500</v>
      </c>
      <c r="M77" s="70">
        <f t="shared" si="33"/>
        <v>0.96423159924698099</v>
      </c>
      <c r="N77" s="30">
        <f t="shared" si="51"/>
        <v>-5594.44</v>
      </c>
      <c r="O77" s="56">
        <f t="shared" si="52"/>
        <v>4638.5399999999991</v>
      </c>
      <c r="P77" s="40">
        <f t="shared" si="27"/>
        <v>-955.90000000000055</v>
      </c>
      <c r="Q77" s="30">
        <f t="shared" si="53"/>
        <v>-2797.22</v>
      </c>
      <c r="R77" s="56">
        <f t="shared" si="54"/>
        <v>3246.9779999999996</v>
      </c>
      <c r="S77" s="31">
        <f t="shared" si="55"/>
        <v>449.75799999999981</v>
      </c>
      <c r="T77" s="34">
        <f t="shared" si="56"/>
        <v>-2797.22</v>
      </c>
      <c r="U77" s="85">
        <f t="shared" si="57"/>
        <v>1391.5619999999999</v>
      </c>
      <c r="V77" s="31">
        <f t="shared" si="58"/>
        <v>-1405.6579999999999</v>
      </c>
      <c r="W77" s="42">
        <v>-5594.44</v>
      </c>
    </row>
    <row r="78" spans="1:23" x14ac:dyDescent="0.3">
      <c r="A78" s="7">
        <f t="shared" si="50"/>
        <v>72</v>
      </c>
      <c r="B78" s="71" t="s">
        <v>127</v>
      </c>
      <c r="C78" s="72">
        <v>43755</v>
      </c>
      <c r="D78" s="73">
        <f t="shared" si="20"/>
        <v>43755</v>
      </c>
      <c r="E78" s="55">
        <v>966</v>
      </c>
      <c r="F78" s="55">
        <v>1100</v>
      </c>
      <c r="G78" s="74">
        <f t="shared" si="29"/>
        <v>0.87818181818181817</v>
      </c>
      <c r="H78" s="55">
        <v>25700.5</v>
      </c>
      <c r="I78" s="75">
        <f t="shared" si="21"/>
        <v>26.605072463768117</v>
      </c>
      <c r="J78" s="55">
        <v>7572.93</v>
      </c>
      <c r="K78" s="75">
        <f t="shared" si="22"/>
        <v>7.8394720496894417</v>
      </c>
      <c r="L78" s="55">
        <v>9517.8410000000003</v>
      </c>
      <c r="M78" s="78">
        <f t="shared" si="33"/>
        <v>0.37033680278593806</v>
      </c>
      <c r="N78" s="117">
        <f t="shared" si="51"/>
        <v>8786.5300000000007</v>
      </c>
      <c r="O78" s="97">
        <f t="shared" si="52"/>
        <v>7572.9299999999994</v>
      </c>
      <c r="P78" s="33">
        <f t="shared" si="27"/>
        <v>16359.46</v>
      </c>
      <c r="Q78" s="32">
        <f t="shared" si="53"/>
        <v>4393.2650000000003</v>
      </c>
      <c r="R78" s="55">
        <f t="shared" si="54"/>
        <v>5301.0509999999995</v>
      </c>
      <c r="S78" s="41">
        <f t="shared" si="55"/>
        <v>9694.3159999999989</v>
      </c>
      <c r="T78" s="32">
        <f t="shared" si="56"/>
        <v>4393.2650000000003</v>
      </c>
      <c r="U78" s="55">
        <f t="shared" si="57"/>
        <v>2271.8789999999999</v>
      </c>
      <c r="V78" s="41">
        <f t="shared" si="58"/>
        <v>6665.1440000000002</v>
      </c>
      <c r="W78" s="42">
        <v>8786.5300000000007</v>
      </c>
    </row>
    <row r="79" spans="1:23" x14ac:dyDescent="0.3">
      <c r="A79" s="12">
        <f t="shared" si="50"/>
        <v>73</v>
      </c>
      <c r="B79" s="65" t="s">
        <v>128</v>
      </c>
      <c r="C79" s="66">
        <v>43757</v>
      </c>
      <c r="D79" s="67">
        <f t="shared" si="20"/>
        <v>43757</v>
      </c>
      <c r="E79" s="56">
        <v>95</v>
      </c>
      <c r="F79" s="56">
        <v>1100</v>
      </c>
      <c r="G79" s="68">
        <f t="shared" si="29"/>
        <v>8.6363636363636365E-2</v>
      </c>
      <c r="H79" s="56">
        <v>4452</v>
      </c>
      <c r="I79" s="79">
        <f t="shared" si="21"/>
        <v>46.863157894736844</v>
      </c>
      <c r="J79" s="80">
        <v>1429.29</v>
      </c>
      <c r="K79" s="81">
        <f t="shared" si="22"/>
        <v>15.045157894736843</v>
      </c>
      <c r="L79" s="56">
        <v>8750</v>
      </c>
      <c r="M79" s="70">
        <f t="shared" si="33"/>
        <v>1.9654088050314464</v>
      </c>
      <c r="N79" s="30">
        <f t="shared" si="51"/>
        <v>-9788.7999999999993</v>
      </c>
      <c r="O79" s="56">
        <f t="shared" si="52"/>
        <v>1429.29</v>
      </c>
      <c r="P79" s="40">
        <f t="shared" si="27"/>
        <v>-8359.5099999999984</v>
      </c>
      <c r="Q79" s="30">
        <f t="shared" si="53"/>
        <v>-4894.3999999999996</v>
      </c>
      <c r="R79" s="56">
        <f t="shared" si="54"/>
        <v>1000.5029999999999</v>
      </c>
      <c r="S79" s="31">
        <f t="shared" si="55"/>
        <v>-3893.8969999999999</v>
      </c>
      <c r="T79" s="34">
        <f t="shared" si="56"/>
        <v>-4894.3999999999996</v>
      </c>
      <c r="U79" s="85">
        <f t="shared" si="57"/>
        <v>428.78699999999998</v>
      </c>
      <c r="V79" s="31">
        <f t="shared" si="58"/>
        <v>-4465.6129999999994</v>
      </c>
      <c r="W79" s="42">
        <v>-9788.7999999999993</v>
      </c>
    </row>
    <row r="80" spans="1:23" x14ac:dyDescent="0.3">
      <c r="A80" s="7">
        <f t="shared" si="50"/>
        <v>74</v>
      </c>
      <c r="B80" s="71" t="s">
        <v>162</v>
      </c>
      <c r="C80" s="72">
        <v>43763</v>
      </c>
      <c r="D80" s="73">
        <f t="shared" si="20"/>
        <v>43763</v>
      </c>
      <c r="E80" s="55">
        <v>1109</v>
      </c>
      <c r="F80" s="55">
        <v>1218</v>
      </c>
      <c r="G80" s="74">
        <f t="shared" si="29"/>
        <v>0.91050903119868642</v>
      </c>
      <c r="H80" s="55">
        <v>29835.74</v>
      </c>
      <c r="I80" s="75">
        <f t="shared" si="21"/>
        <v>26.903282236248874</v>
      </c>
      <c r="J80" s="55">
        <v>5509.31</v>
      </c>
      <c r="K80" s="75">
        <f t="shared" si="22"/>
        <v>4.9678178539224529</v>
      </c>
      <c r="L80" s="55">
        <v>11963.55</v>
      </c>
      <c r="M80" s="78">
        <f t="shared" si="33"/>
        <v>0.40098050190811418</v>
      </c>
      <c r="N80" s="117">
        <f t="shared" si="51"/>
        <v>11897.46</v>
      </c>
      <c r="O80" s="97">
        <f t="shared" si="52"/>
        <v>5509.3099999999995</v>
      </c>
      <c r="P80" s="33">
        <f t="shared" si="27"/>
        <v>17406.769999999997</v>
      </c>
      <c r="Q80" s="32">
        <f t="shared" ref="Q80" si="59">W80*50%</f>
        <v>5948.73</v>
      </c>
      <c r="R80" s="55">
        <f t="shared" ref="R80:R81" si="60">J80*70%</f>
        <v>3856.5169999999998</v>
      </c>
      <c r="S80" s="41">
        <f t="shared" ref="S80:S81" si="61">Q80+R80</f>
        <v>9805.2469999999994</v>
      </c>
      <c r="T80" s="32">
        <f t="shared" ref="T80:T81" si="62">Q80</f>
        <v>5948.73</v>
      </c>
      <c r="U80" s="55">
        <f t="shared" ref="U80:U81" si="63">J80*30%</f>
        <v>1652.7930000000001</v>
      </c>
      <c r="V80" s="41">
        <f t="shared" ref="V80:V81" si="64">T80+U80</f>
        <v>7601.5229999999992</v>
      </c>
      <c r="W80" s="42">
        <v>11897.46</v>
      </c>
    </row>
    <row r="81" spans="1:23" x14ac:dyDescent="0.3">
      <c r="A81" s="12">
        <f t="shared" si="50"/>
        <v>75</v>
      </c>
      <c r="B81" s="65" t="s">
        <v>164</v>
      </c>
      <c r="C81" s="66">
        <v>43764</v>
      </c>
      <c r="D81" s="67">
        <f t="shared" si="20"/>
        <v>43764</v>
      </c>
      <c r="E81" s="56">
        <v>943</v>
      </c>
      <c r="F81" s="56">
        <v>1100</v>
      </c>
      <c r="G81" s="68">
        <f t="shared" si="29"/>
        <v>0.8572727272727273</v>
      </c>
      <c r="H81" s="56">
        <v>23724.5</v>
      </c>
      <c r="I81" s="79">
        <f t="shared" si="21"/>
        <v>25.158536585365855</v>
      </c>
      <c r="J81" s="80">
        <v>14127.21</v>
      </c>
      <c r="K81" s="81">
        <f t="shared" si="22"/>
        <v>14.981134676564157</v>
      </c>
      <c r="L81" s="56">
        <v>7540.63</v>
      </c>
      <c r="M81" s="70">
        <f t="shared" si="33"/>
        <v>0.31784147189614115</v>
      </c>
      <c r="N81" s="30">
        <f t="shared" si="51"/>
        <v>5778.3394221659992</v>
      </c>
      <c r="O81" s="56">
        <f t="shared" si="52"/>
        <v>14127.21</v>
      </c>
      <c r="P81" s="40">
        <f t="shared" si="27"/>
        <v>19905.549422165997</v>
      </c>
      <c r="Q81" s="30">
        <f>W81*33.33333%</f>
        <v>2889.1697110829996</v>
      </c>
      <c r="R81" s="56">
        <f t="shared" si="60"/>
        <v>9889.0469999999987</v>
      </c>
      <c r="S81" s="31">
        <f t="shared" si="61"/>
        <v>12778.216711082998</v>
      </c>
      <c r="T81" s="34">
        <f t="shared" si="62"/>
        <v>2889.1697110829996</v>
      </c>
      <c r="U81" s="85">
        <f t="shared" si="63"/>
        <v>4238.1629999999996</v>
      </c>
      <c r="V81" s="31">
        <f t="shared" si="64"/>
        <v>7127.3327110829996</v>
      </c>
      <c r="W81" s="42">
        <v>8667.51</v>
      </c>
    </row>
    <row r="82" spans="1:23" x14ac:dyDescent="0.3">
      <c r="A82" s="7">
        <f t="shared" si="50"/>
        <v>76</v>
      </c>
      <c r="B82" s="71" t="s">
        <v>163</v>
      </c>
      <c r="C82" s="72">
        <v>43768</v>
      </c>
      <c r="D82" s="73">
        <f t="shared" si="20"/>
        <v>43768</v>
      </c>
      <c r="E82" s="55">
        <v>722</v>
      </c>
      <c r="F82" s="55">
        <v>1000</v>
      </c>
      <c r="G82" s="74">
        <f t="shared" si="29"/>
        <v>0.72199999999999998</v>
      </c>
      <c r="H82" s="55">
        <v>23692</v>
      </c>
      <c r="I82" s="75">
        <f t="shared" si="21"/>
        <v>32.814404432132967</v>
      </c>
      <c r="J82" s="55">
        <v>5241.12</v>
      </c>
      <c r="K82" s="75">
        <f t="shared" si="22"/>
        <v>7.2591689750692519</v>
      </c>
      <c r="L82" s="55">
        <v>10000</v>
      </c>
      <c r="M82" s="78">
        <f t="shared" si="33"/>
        <v>0.42208340368056729</v>
      </c>
      <c r="N82" s="117">
        <f t="shared" si="51"/>
        <v>5819.55</v>
      </c>
      <c r="O82" s="97">
        <f t="shared" si="52"/>
        <v>5241.12</v>
      </c>
      <c r="P82" s="33">
        <f t="shared" si="27"/>
        <v>11060.67</v>
      </c>
      <c r="Q82" s="32">
        <f t="shared" ref="Q82" si="65">W82*50%</f>
        <v>2909.7750000000001</v>
      </c>
      <c r="R82" s="55">
        <f t="shared" ref="R82" si="66">J82*70%</f>
        <v>3668.7839999999997</v>
      </c>
      <c r="S82" s="41">
        <f t="shared" ref="S82" si="67">Q82+R82</f>
        <v>6578.5589999999993</v>
      </c>
      <c r="T82" s="32">
        <f t="shared" ref="T82" si="68">Q82</f>
        <v>2909.7750000000001</v>
      </c>
      <c r="U82" s="55">
        <f t="shared" ref="U82" si="69">J82*30%</f>
        <v>1572.336</v>
      </c>
      <c r="V82" s="41">
        <f t="shared" ref="V82" si="70">T82+U82</f>
        <v>4482.1109999999999</v>
      </c>
      <c r="W82" s="42">
        <v>5819.55</v>
      </c>
    </row>
    <row r="83" spans="1:23" x14ac:dyDescent="0.3">
      <c r="A83" s="12">
        <f t="shared" si="50"/>
        <v>77</v>
      </c>
      <c r="B83" s="65" t="s">
        <v>165</v>
      </c>
      <c r="C83" s="66">
        <v>43770</v>
      </c>
      <c r="D83" s="67">
        <f t="shared" si="20"/>
        <v>43770</v>
      </c>
      <c r="E83" s="56">
        <v>245</v>
      </c>
      <c r="F83" s="56">
        <v>275</v>
      </c>
      <c r="G83" s="68">
        <f t="shared" si="29"/>
        <v>0.89090909090909087</v>
      </c>
      <c r="H83" s="56">
        <v>9692</v>
      </c>
      <c r="I83" s="79">
        <f t="shared" si="21"/>
        <v>39.559183673469384</v>
      </c>
      <c r="J83" s="80">
        <v>0</v>
      </c>
      <c r="K83" s="81">
        <f t="shared" si="22"/>
        <v>0</v>
      </c>
      <c r="L83" s="56">
        <v>4750</v>
      </c>
      <c r="M83" s="70">
        <f t="shared" si="33"/>
        <v>0.49009492364836976</v>
      </c>
      <c r="N83" s="30">
        <f t="shared" si="51"/>
        <v>158.85</v>
      </c>
      <c r="O83" s="56">
        <f t="shared" si="52"/>
        <v>0</v>
      </c>
      <c r="P83" s="40">
        <f t="shared" si="27"/>
        <v>158.85</v>
      </c>
      <c r="Q83" s="30">
        <f t="shared" ref="Q83:Q89" si="71">W83*50%</f>
        <v>79.424999999999997</v>
      </c>
      <c r="R83" s="56">
        <f t="shared" ref="R83:R89" si="72">J83*70%</f>
        <v>0</v>
      </c>
      <c r="S83" s="31">
        <f t="shared" ref="S83:S89" si="73">Q83+R83</f>
        <v>79.424999999999997</v>
      </c>
      <c r="T83" s="34">
        <f t="shared" ref="T83:T89" si="74">Q83</f>
        <v>79.424999999999997</v>
      </c>
      <c r="U83" s="85">
        <f t="shared" ref="U83:U89" si="75">J83*30%</f>
        <v>0</v>
      </c>
      <c r="V83" s="31">
        <f t="shared" ref="V83:V89" si="76">T83+U83</f>
        <v>79.424999999999997</v>
      </c>
      <c r="W83" s="42">
        <v>158.85</v>
      </c>
    </row>
    <row r="84" spans="1:23" x14ac:dyDescent="0.3">
      <c r="A84" s="7">
        <f t="shared" si="50"/>
        <v>78</v>
      </c>
      <c r="B84" s="71" t="s">
        <v>166</v>
      </c>
      <c r="C84" s="72">
        <v>43770</v>
      </c>
      <c r="D84" s="73">
        <f t="shared" si="20"/>
        <v>43770</v>
      </c>
      <c r="E84" s="55">
        <v>1220</v>
      </c>
      <c r="F84" s="55">
        <v>1218</v>
      </c>
      <c r="G84" s="74">
        <f t="shared" si="29"/>
        <v>1.0016420361247949</v>
      </c>
      <c r="H84" s="55">
        <v>35521</v>
      </c>
      <c r="I84" s="75">
        <f t="shared" si="21"/>
        <v>29.115573770491803</v>
      </c>
      <c r="J84" s="55">
        <v>8583.02</v>
      </c>
      <c r="K84" s="75">
        <f t="shared" si="22"/>
        <v>7.0352622950819672</v>
      </c>
      <c r="L84" s="55">
        <v>13975.46</v>
      </c>
      <c r="M84" s="78">
        <f t="shared" si="33"/>
        <v>0.39344218912755829</v>
      </c>
      <c r="N84" s="117">
        <f t="shared" si="51"/>
        <v>15157.18</v>
      </c>
      <c r="O84" s="97">
        <f t="shared" si="52"/>
        <v>8583.02</v>
      </c>
      <c r="P84" s="33">
        <f t="shared" si="27"/>
        <v>23740.2</v>
      </c>
      <c r="Q84" s="32">
        <f t="shared" si="71"/>
        <v>7578.59</v>
      </c>
      <c r="R84" s="55">
        <f t="shared" si="72"/>
        <v>6008.1139999999996</v>
      </c>
      <c r="S84" s="41">
        <f t="shared" si="73"/>
        <v>13586.704</v>
      </c>
      <c r="T84" s="32">
        <f t="shared" si="74"/>
        <v>7578.59</v>
      </c>
      <c r="U84" s="55">
        <f t="shared" si="75"/>
        <v>2574.9059999999999</v>
      </c>
      <c r="V84" s="41">
        <f t="shared" si="76"/>
        <v>10153.495999999999</v>
      </c>
      <c r="W84" s="42">
        <v>15157.18</v>
      </c>
    </row>
    <row r="85" spans="1:23" x14ac:dyDescent="0.3">
      <c r="A85" s="12">
        <f t="shared" si="50"/>
        <v>79</v>
      </c>
      <c r="B85" s="65" t="s">
        <v>167</v>
      </c>
      <c r="C85" s="66">
        <v>43771</v>
      </c>
      <c r="D85" s="67">
        <f t="shared" si="20"/>
        <v>43771</v>
      </c>
      <c r="E85" s="56">
        <v>1100</v>
      </c>
      <c r="F85" s="56">
        <v>1108</v>
      </c>
      <c r="G85" s="68">
        <f t="shared" si="29"/>
        <v>0.99277978339350181</v>
      </c>
      <c r="H85" s="56">
        <v>30422</v>
      </c>
      <c r="I85" s="79">
        <f t="shared" si="21"/>
        <v>27.656363636363636</v>
      </c>
      <c r="J85" s="80">
        <v>11590.33</v>
      </c>
      <c r="K85" s="81">
        <f t="shared" si="22"/>
        <v>10.536663636363636</v>
      </c>
      <c r="L85" s="56">
        <v>15000</v>
      </c>
      <c r="M85" s="70">
        <f t="shared" si="33"/>
        <v>0.49306422983367298</v>
      </c>
      <c r="N85" s="30">
        <f t="shared" si="51"/>
        <v>9369.3799999999992</v>
      </c>
      <c r="O85" s="56">
        <f t="shared" si="52"/>
        <v>11590.33</v>
      </c>
      <c r="P85" s="40">
        <f t="shared" si="27"/>
        <v>20959.71</v>
      </c>
      <c r="Q85" s="30">
        <f t="shared" si="71"/>
        <v>4684.6899999999996</v>
      </c>
      <c r="R85" s="56">
        <f t="shared" si="72"/>
        <v>8113.2309999999998</v>
      </c>
      <c r="S85" s="31">
        <f t="shared" si="73"/>
        <v>12797.920999999998</v>
      </c>
      <c r="T85" s="34">
        <f t="shared" si="74"/>
        <v>4684.6899999999996</v>
      </c>
      <c r="U85" s="85">
        <f t="shared" si="75"/>
        <v>3477.0989999999997</v>
      </c>
      <c r="V85" s="31">
        <f t="shared" si="76"/>
        <v>8161.7889999999989</v>
      </c>
      <c r="W85" s="42">
        <v>9369.3799999999992</v>
      </c>
    </row>
    <row r="86" spans="1:23" x14ac:dyDescent="0.3">
      <c r="A86" s="7">
        <f t="shared" si="50"/>
        <v>80</v>
      </c>
      <c r="B86" s="71" t="s">
        <v>168</v>
      </c>
      <c r="C86" s="72">
        <v>43773</v>
      </c>
      <c r="D86" s="73">
        <f t="shared" ref="D86:D89" si="77">C86</f>
        <v>43773</v>
      </c>
      <c r="E86" s="55">
        <v>730</v>
      </c>
      <c r="F86" s="55">
        <v>1140</v>
      </c>
      <c r="G86" s="74">
        <f t="shared" si="29"/>
        <v>0.64035087719298245</v>
      </c>
      <c r="H86" s="55">
        <v>33191</v>
      </c>
      <c r="I86" s="75">
        <f t="shared" ref="I86:I89" si="78">IFERROR(H86/E86,"")</f>
        <v>45.467123287671235</v>
      </c>
      <c r="J86" s="55">
        <v>5269.25</v>
      </c>
      <c r="K86" s="75">
        <f t="shared" ref="K86:K89" si="79">IFERROR(J86/E86,"")</f>
        <v>7.2181506849315067</v>
      </c>
      <c r="L86" s="55">
        <v>30500</v>
      </c>
      <c r="M86" s="78">
        <f t="shared" si="33"/>
        <v>0.91892380464583767</v>
      </c>
      <c r="N86" s="117">
        <f t="shared" si="51"/>
        <v>-6030.22</v>
      </c>
      <c r="O86" s="97">
        <f t="shared" si="52"/>
        <v>5269.25</v>
      </c>
      <c r="P86" s="33">
        <f t="shared" si="27"/>
        <v>-760.97000000000025</v>
      </c>
      <c r="Q86" s="32">
        <f t="shared" si="71"/>
        <v>-3015.11</v>
      </c>
      <c r="R86" s="55">
        <f t="shared" si="72"/>
        <v>3688.4749999999999</v>
      </c>
      <c r="S86" s="41">
        <f t="shared" si="73"/>
        <v>673.36499999999978</v>
      </c>
      <c r="T86" s="32">
        <f t="shared" si="74"/>
        <v>-3015.11</v>
      </c>
      <c r="U86" s="55">
        <f t="shared" si="75"/>
        <v>1580.7749999999999</v>
      </c>
      <c r="V86" s="41">
        <f t="shared" si="76"/>
        <v>-1434.3350000000003</v>
      </c>
      <c r="W86" s="42">
        <v>-6030.22</v>
      </c>
    </row>
    <row r="87" spans="1:23" x14ac:dyDescent="0.3">
      <c r="A87" s="12">
        <f t="shared" si="50"/>
        <v>81</v>
      </c>
      <c r="B87" s="65" t="s">
        <v>169</v>
      </c>
      <c r="C87" s="66">
        <v>43774</v>
      </c>
      <c r="D87" s="67">
        <f t="shared" si="77"/>
        <v>43774</v>
      </c>
      <c r="E87" s="56">
        <v>386</v>
      </c>
      <c r="F87" s="56">
        <v>1100</v>
      </c>
      <c r="G87" s="68">
        <f t="shared" si="29"/>
        <v>0.35090909090909089</v>
      </c>
      <c r="H87" s="56">
        <v>10035</v>
      </c>
      <c r="I87" s="79">
        <f t="shared" si="78"/>
        <v>25.997409326424872</v>
      </c>
      <c r="J87" s="80">
        <v>3545.49</v>
      </c>
      <c r="K87" s="81">
        <f t="shared" si="79"/>
        <v>9.1852072538860092</v>
      </c>
      <c r="L87" s="56">
        <v>8000</v>
      </c>
      <c r="M87" s="70">
        <f t="shared" si="33"/>
        <v>0.79720976581963132</v>
      </c>
      <c r="N87" s="30">
        <f t="shared" si="51"/>
        <v>-3505.44</v>
      </c>
      <c r="O87" s="56">
        <f t="shared" si="52"/>
        <v>3545.49</v>
      </c>
      <c r="P87" s="40">
        <f t="shared" si="27"/>
        <v>40.049999999999727</v>
      </c>
      <c r="Q87" s="30">
        <f t="shared" si="71"/>
        <v>-1752.72</v>
      </c>
      <c r="R87" s="56">
        <f t="shared" si="72"/>
        <v>2481.8429999999998</v>
      </c>
      <c r="S87" s="31">
        <f t="shared" si="73"/>
        <v>729.12299999999982</v>
      </c>
      <c r="T87" s="34">
        <f t="shared" si="74"/>
        <v>-1752.72</v>
      </c>
      <c r="U87" s="85">
        <f t="shared" si="75"/>
        <v>1063.6469999999999</v>
      </c>
      <c r="V87" s="31">
        <f t="shared" si="76"/>
        <v>-689.07300000000009</v>
      </c>
      <c r="W87" s="42">
        <v>-3505.44</v>
      </c>
    </row>
    <row r="88" spans="1:23" x14ac:dyDescent="0.3">
      <c r="A88" s="7">
        <f t="shared" si="50"/>
        <v>82</v>
      </c>
      <c r="B88" s="71" t="s">
        <v>171</v>
      </c>
      <c r="C88" s="72">
        <v>43777</v>
      </c>
      <c r="D88" s="73">
        <f t="shared" si="77"/>
        <v>43777</v>
      </c>
      <c r="E88" s="55"/>
      <c r="F88" s="55"/>
      <c r="G88" s="74" t="str">
        <f t="shared" si="29"/>
        <v/>
      </c>
      <c r="H88" s="55"/>
      <c r="I88" s="75"/>
      <c r="J88" s="55">
        <v>4760.99</v>
      </c>
      <c r="K88" s="75"/>
      <c r="L88" s="55"/>
      <c r="M88" s="78" t="str">
        <f t="shared" si="33"/>
        <v/>
      </c>
      <c r="N88" s="117">
        <f t="shared" si="51"/>
        <v>0</v>
      </c>
      <c r="O88" s="97">
        <f t="shared" si="52"/>
        <v>4760.99</v>
      </c>
      <c r="P88" s="33">
        <f t="shared" ref="P88:P89" si="80">N88+O88</f>
        <v>4760.99</v>
      </c>
      <c r="Q88" s="32">
        <f t="shared" si="71"/>
        <v>0</v>
      </c>
      <c r="R88" s="55">
        <f t="shared" si="72"/>
        <v>3332.6929999999998</v>
      </c>
      <c r="S88" s="41">
        <f t="shared" si="73"/>
        <v>3332.6929999999998</v>
      </c>
      <c r="T88" s="32">
        <f t="shared" si="74"/>
        <v>0</v>
      </c>
      <c r="U88" s="55">
        <f t="shared" si="75"/>
        <v>1428.2969999999998</v>
      </c>
      <c r="V88" s="41">
        <f t="shared" si="76"/>
        <v>1428.2969999999998</v>
      </c>
      <c r="W88" s="42"/>
    </row>
    <row r="89" spans="1:23" x14ac:dyDescent="0.3">
      <c r="A89" s="12">
        <f t="shared" si="50"/>
        <v>83</v>
      </c>
      <c r="B89" s="65" t="s">
        <v>170</v>
      </c>
      <c r="C89" s="66">
        <v>43778</v>
      </c>
      <c r="D89" s="67">
        <f t="shared" si="77"/>
        <v>43778</v>
      </c>
      <c r="E89" s="56">
        <v>845</v>
      </c>
      <c r="F89" s="56">
        <v>1100</v>
      </c>
      <c r="G89" s="68">
        <f t="shared" si="29"/>
        <v>0.76818181818181819</v>
      </c>
      <c r="H89" s="56">
        <v>26905.5</v>
      </c>
      <c r="I89" s="79">
        <f t="shared" si="78"/>
        <v>31.840828402366864</v>
      </c>
      <c r="J89" s="80">
        <v>11143.64</v>
      </c>
      <c r="K89" s="81">
        <f t="shared" si="79"/>
        <v>13.187739644970414</v>
      </c>
      <c r="L89" s="56">
        <v>14080</v>
      </c>
      <c r="M89" s="70">
        <f t="shared" si="33"/>
        <v>0.52331307725186305</v>
      </c>
      <c r="N89" s="30">
        <f t="shared" si="51"/>
        <v>4858.76</v>
      </c>
      <c r="O89" s="56">
        <f t="shared" si="52"/>
        <v>11143.64</v>
      </c>
      <c r="P89" s="40">
        <f t="shared" si="80"/>
        <v>16002.4</v>
      </c>
      <c r="Q89" s="30">
        <f t="shared" si="71"/>
        <v>2429.38</v>
      </c>
      <c r="R89" s="56">
        <f t="shared" si="72"/>
        <v>7800.5479999999989</v>
      </c>
      <c r="S89" s="31">
        <f t="shared" si="73"/>
        <v>10229.928</v>
      </c>
      <c r="T89" s="34">
        <f t="shared" si="74"/>
        <v>2429.38</v>
      </c>
      <c r="U89" s="85">
        <f t="shared" si="75"/>
        <v>3343.0919999999996</v>
      </c>
      <c r="V89" s="31">
        <f t="shared" si="76"/>
        <v>5772.4719999999998</v>
      </c>
      <c r="W89" s="42">
        <v>4858.76</v>
      </c>
    </row>
    <row r="90" spans="1:23" x14ac:dyDescent="0.3">
      <c r="A90" s="7">
        <f t="shared" si="50"/>
        <v>84</v>
      </c>
      <c r="B90" s="71"/>
      <c r="C90" s="72"/>
      <c r="D90" s="73"/>
      <c r="E90" s="55"/>
      <c r="F90" s="55"/>
      <c r="G90" s="55"/>
      <c r="H90" s="55"/>
      <c r="I90" s="75"/>
      <c r="J90" s="55"/>
      <c r="K90" s="75"/>
      <c r="L90" s="55"/>
      <c r="M90" s="78"/>
      <c r="N90" s="117"/>
      <c r="O90" s="97"/>
      <c r="P90" s="33"/>
      <c r="Q90" s="32"/>
      <c r="R90" s="55"/>
      <c r="S90" s="41"/>
      <c r="T90" s="32"/>
      <c r="U90" s="55"/>
      <c r="V90" s="41"/>
      <c r="W90" s="42"/>
    </row>
    <row r="91" spans="1:23" x14ac:dyDescent="0.3">
      <c r="A91" s="12">
        <f t="shared" si="50"/>
        <v>85</v>
      </c>
      <c r="B91" s="65"/>
      <c r="C91" s="66"/>
      <c r="D91" s="67"/>
      <c r="E91" s="56"/>
      <c r="F91" s="56"/>
      <c r="G91" s="56"/>
      <c r="H91" s="56"/>
      <c r="I91" s="79"/>
      <c r="J91" s="80"/>
      <c r="K91" s="81"/>
      <c r="L91" s="56"/>
      <c r="M91" s="70"/>
      <c r="N91" s="30"/>
      <c r="O91" s="56"/>
      <c r="P91" s="31"/>
      <c r="Q91" s="30"/>
      <c r="R91" s="56"/>
      <c r="S91" s="31"/>
      <c r="T91" s="34"/>
      <c r="U91" s="85"/>
      <c r="V91" s="31"/>
      <c r="W91" s="42"/>
    </row>
    <row r="92" spans="1:23" x14ac:dyDescent="0.3">
      <c r="A92" s="7">
        <f t="shared" si="50"/>
        <v>86</v>
      </c>
      <c r="B92" s="71"/>
      <c r="C92" s="72"/>
      <c r="D92" s="73"/>
      <c r="E92" s="55"/>
      <c r="F92" s="55"/>
      <c r="G92" s="55"/>
      <c r="H92" s="55"/>
      <c r="I92" s="75"/>
      <c r="J92" s="55"/>
      <c r="K92" s="75"/>
      <c r="L92" s="55"/>
      <c r="M92" s="78"/>
      <c r="N92" s="32"/>
      <c r="O92" s="55"/>
      <c r="P92" s="41"/>
      <c r="Q92" s="32"/>
      <c r="R92" s="55"/>
      <c r="S92" s="41"/>
      <c r="T92" s="32"/>
      <c r="U92" s="55"/>
      <c r="V92" s="41"/>
      <c r="W92" s="42"/>
    </row>
    <row r="93" spans="1:23" x14ac:dyDescent="0.3">
      <c r="A93" s="12">
        <f t="shared" si="50"/>
        <v>87</v>
      </c>
      <c r="B93" s="65"/>
      <c r="C93" s="66"/>
      <c r="D93" s="67"/>
      <c r="E93" s="56"/>
      <c r="F93" s="56"/>
      <c r="G93" s="56"/>
      <c r="H93" s="56"/>
      <c r="I93" s="79"/>
      <c r="J93" s="80"/>
      <c r="K93" s="81"/>
      <c r="L93" s="56"/>
      <c r="M93" s="70"/>
      <c r="N93" s="30"/>
      <c r="O93" s="56"/>
      <c r="P93" s="31"/>
      <c r="Q93" s="30"/>
      <c r="R93" s="56"/>
      <c r="S93" s="31"/>
      <c r="T93" s="34"/>
      <c r="U93" s="85"/>
      <c r="V93" s="31"/>
      <c r="W93" s="42"/>
    </row>
    <row r="94" spans="1:23" x14ac:dyDescent="0.3">
      <c r="A94" s="7">
        <f t="shared" si="50"/>
        <v>88</v>
      </c>
      <c r="B94" s="71"/>
      <c r="C94" s="72"/>
      <c r="D94" s="73"/>
      <c r="E94" s="55"/>
      <c r="F94" s="55"/>
      <c r="G94" s="55"/>
      <c r="H94" s="55"/>
      <c r="I94" s="75"/>
      <c r="J94" s="55"/>
      <c r="K94" s="75"/>
      <c r="L94" s="55"/>
      <c r="M94" s="78"/>
      <c r="N94" s="32"/>
      <c r="O94" s="55"/>
      <c r="P94" s="41"/>
      <c r="Q94" s="32"/>
      <c r="R94" s="55"/>
      <c r="S94" s="41"/>
      <c r="T94" s="32"/>
      <c r="U94" s="55"/>
      <c r="V94" s="41"/>
      <c r="W94" s="42"/>
    </row>
    <row r="95" spans="1:23" x14ac:dyDescent="0.3">
      <c r="A95" s="12">
        <f t="shared" si="50"/>
        <v>89</v>
      </c>
      <c r="B95" s="65"/>
      <c r="C95" s="66"/>
      <c r="D95" s="67"/>
      <c r="E95" s="56"/>
      <c r="F95" s="56"/>
      <c r="G95" s="56"/>
      <c r="H95" s="56"/>
      <c r="I95" s="79"/>
      <c r="J95" s="80"/>
      <c r="K95" s="81"/>
      <c r="L95" s="56"/>
      <c r="M95" s="70"/>
      <c r="N95" s="30"/>
      <c r="O95" s="56"/>
      <c r="P95" s="31"/>
      <c r="Q95" s="30"/>
      <c r="R95" s="56"/>
      <c r="S95" s="31"/>
      <c r="T95" s="34"/>
      <c r="U95" s="85"/>
      <c r="V95" s="31"/>
      <c r="W95" s="42"/>
    </row>
    <row r="96" spans="1:23" x14ac:dyDescent="0.3">
      <c r="A96" s="7">
        <f t="shared" si="50"/>
        <v>90</v>
      </c>
      <c r="B96" s="71"/>
      <c r="C96" s="72"/>
      <c r="D96" s="73"/>
      <c r="E96" s="55"/>
      <c r="F96" s="55"/>
      <c r="G96" s="55"/>
      <c r="H96" s="55"/>
      <c r="I96" s="75"/>
      <c r="J96" s="55"/>
      <c r="K96" s="75"/>
      <c r="L96" s="55"/>
      <c r="M96" s="78"/>
      <c r="N96" s="32"/>
      <c r="O96" s="55"/>
      <c r="P96" s="41"/>
      <c r="Q96" s="32"/>
      <c r="R96" s="55"/>
      <c r="S96" s="41"/>
      <c r="T96" s="32"/>
      <c r="U96" s="55"/>
      <c r="V96" s="41"/>
      <c r="W96" s="42"/>
    </row>
    <row r="97" spans="1:23" x14ac:dyDescent="0.3">
      <c r="A97" s="12">
        <f t="shared" si="50"/>
        <v>91</v>
      </c>
      <c r="B97" s="65"/>
      <c r="C97" s="66"/>
      <c r="D97" s="67"/>
      <c r="E97" s="56"/>
      <c r="F97" s="56"/>
      <c r="G97" s="56"/>
      <c r="H97" s="56"/>
      <c r="I97" s="79"/>
      <c r="J97" s="80"/>
      <c r="K97" s="81"/>
      <c r="L97" s="56"/>
      <c r="M97" s="70"/>
      <c r="N97" s="30"/>
      <c r="O97" s="56"/>
      <c r="P97" s="31"/>
      <c r="Q97" s="30"/>
      <c r="R97" s="56"/>
      <c r="S97" s="31"/>
      <c r="T97" s="34"/>
      <c r="U97" s="85"/>
      <c r="V97" s="31"/>
      <c r="W97" s="42"/>
    </row>
    <row r="98" spans="1:23" x14ac:dyDescent="0.3">
      <c r="A98" s="7">
        <f t="shared" si="50"/>
        <v>92</v>
      </c>
      <c r="B98" s="71"/>
      <c r="C98" s="72"/>
      <c r="D98" s="73"/>
      <c r="E98" s="55"/>
      <c r="F98" s="55"/>
      <c r="G98" s="55"/>
      <c r="H98" s="55"/>
      <c r="I98" s="75"/>
      <c r="J98" s="55"/>
      <c r="K98" s="75"/>
      <c r="L98" s="55"/>
      <c r="M98" s="78"/>
      <c r="N98" s="32"/>
      <c r="O98" s="55"/>
      <c r="P98" s="41"/>
      <c r="Q98" s="32"/>
      <c r="R98" s="55"/>
      <c r="S98" s="41"/>
      <c r="T98" s="32"/>
      <c r="U98" s="55"/>
      <c r="V98" s="41"/>
      <c r="W98" s="42"/>
    </row>
    <row r="99" spans="1:23" x14ac:dyDescent="0.3">
      <c r="A99" s="12">
        <f t="shared" si="50"/>
        <v>93</v>
      </c>
      <c r="B99" s="65"/>
      <c r="C99" s="66"/>
      <c r="D99" s="67"/>
      <c r="E99" s="56"/>
      <c r="F99" s="56"/>
      <c r="G99" s="56"/>
      <c r="H99" s="56"/>
      <c r="I99" s="79"/>
      <c r="J99" s="80"/>
      <c r="K99" s="81"/>
      <c r="L99" s="56"/>
      <c r="M99" s="70"/>
      <c r="N99" s="30"/>
      <c r="O99" s="56"/>
      <c r="P99" s="31"/>
      <c r="Q99" s="30"/>
      <c r="R99" s="56"/>
      <c r="S99" s="31"/>
      <c r="T99" s="34"/>
      <c r="U99" s="85"/>
      <c r="V99" s="31"/>
      <c r="W99" s="42"/>
    </row>
    <row r="100" spans="1:23" x14ac:dyDescent="0.3">
      <c r="A100" s="7">
        <f t="shared" si="50"/>
        <v>94</v>
      </c>
      <c r="B100" s="71"/>
      <c r="C100" s="72"/>
      <c r="D100" s="73"/>
      <c r="E100" s="55"/>
      <c r="F100" s="55"/>
      <c r="G100" s="55"/>
      <c r="H100" s="55"/>
      <c r="I100" s="75"/>
      <c r="J100" s="55"/>
      <c r="K100" s="75"/>
      <c r="L100" s="55"/>
      <c r="M100" s="78"/>
      <c r="N100" s="32"/>
      <c r="O100" s="55"/>
      <c r="P100" s="41"/>
      <c r="Q100" s="32"/>
      <c r="R100" s="55"/>
      <c r="S100" s="41"/>
      <c r="T100" s="32"/>
      <c r="U100" s="55"/>
      <c r="V100" s="41"/>
      <c r="W100" s="42"/>
    </row>
    <row r="101" spans="1:23" x14ac:dyDescent="0.3">
      <c r="A101" s="12">
        <f t="shared" si="50"/>
        <v>95</v>
      </c>
      <c r="B101" s="65"/>
      <c r="C101" s="66"/>
      <c r="D101" s="67"/>
      <c r="E101" s="56"/>
      <c r="F101" s="56"/>
      <c r="G101" s="56"/>
      <c r="H101" s="56"/>
      <c r="I101" s="79"/>
      <c r="J101" s="80"/>
      <c r="K101" s="81"/>
      <c r="L101" s="56"/>
      <c r="M101" s="70"/>
      <c r="N101" s="30"/>
      <c r="O101" s="56"/>
      <c r="P101" s="31"/>
      <c r="Q101" s="30"/>
      <c r="R101" s="56"/>
      <c r="S101" s="31"/>
      <c r="T101" s="34"/>
      <c r="U101" s="85"/>
      <c r="V101" s="31"/>
      <c r="W101" s="42"/>
    </row>
    <row r="102" spans="1:23" x14ac:dyDescent="0.3">
      <c r="A102" s="7">
        <f t="shared" si="50"/>
        <v>96</v>
      </c>
      <c r="B102" s="71"/>
      <c r="C102" s="72"/>
      <c r="D102" s="73"/>
      <c r="E102" s="55"/>
      <c r="F102" s="55"/>
      <c r="G102" s="55"/>
      <c r="H102" s="55"/>
      <c r="I102" s="75"/>
      <c r="J102" s="55"/>
      <c r="K102" s="75"/>
      <c r="L102" s="55"/>
      <c r="M102" s="78"/>
      <c r="N102" s="32"/>
      <c r="O102" s="55"/>
      <c r="P102" s="41"/>
      <c r="Q102" s="32"/>
      <c r="R102" s="55"/>
      <c r="S102" s="41"/>
      <c r="T102" s="32"/>
      <c r="U102" s="55"/>
      <c r="V102" s="41"/>
      <c r="W102" s="42"/>
    </row>
    <row r="103" spans="1:23" x14ac:dyDescent="0.3">
      <c r="A103" s="12">
        <f t="shared" si="50"/>
        <v>97</v>
      </c>
      <c r="B103" s="65"/>
      <c r="C103" s="66"/>
      <c r="D103" s="67"/>
      <c r="E103" s="56"/>
      <c r="F103" s="56"/>
      <c r="G103" s="56"/>
      <c r="H103" s="56"/>
      <c r="I103" s="79"/>
      <c r="J103" s="80"/>
      <c r="K103" s="81"/>
      <c r="L103" s="56"/>
      <c r="M103" s="70"/>
      <c r="N103" s="30"/>
      <c r="O103" s="56"/>
      <c r="P103" s="31"/>
      <c r="Q103" s="30"/>
      <c r="R103" s="56"/>
      <c r="S103" s="31"/>
      <c r="T103" s="34"/>
      <c r="U103" s="85"/>
      <c r="V103" s="31"/>
      <c r="W103" s="42"/>
    </row>
    <row r="104" spans="1:23" x14ac:dyDescent="0.3">
      <c r="A104" s="7">
        <f t="shared" si="50"/>
        <v>98</v>
      </c>
      <c r="B104" s="71"/>
      <c r="C104" s="72"/>
      <c r="D104" s="73"/>
      <c r="E104" s="55"/>
      <c r="F104" s="55"/>
      <c r="G104" s="55"/>
      <c r="H104" s="55"/>
      <c r="I104" s="75"/>
      <c r="J104" s="55"/>
      <c r="K104" s="75"/>
      <c r="L104" s="55"/>
      <c r="M104" s="78"/>
      <c r="N104" s="32"/>
      <c r="O104" s="55"/>
      <c r="P104" s="41"/>
      <c r="Q104" s="32"/>
      <c r="R104" s="55"/>
      <c r="S104" s="41"/>
      <c r="T104" s="32"/>
      <c r="U104" s="55"/>
      <c r="V104" s="41"/>
      <c r="W104" s="42"/>
    </row>
    <row r="105" spans="1:23" x14ac:dyDescent="0.3">
      <c r="A105" s="12">
        <f t="shared" si="50"/>
        <v>99</v>
      </c>
      <c r="B105" s="65"/>
      <c r="C105" s="66"/>
      <c r="D105" s="67"/>
      <c r="E105" s="56"/>
      <c r="F105" s="56"/>
      <c r="G105" s="56"/>
      <c r="H105" s="56"/>
      <c r="I105" s="79"/>
      <c r="J105" s="80"/>
      <c r="K105" s="81"/>
      <c r="L105" s="56"/>
      <c r="M105" s="70"/>
      <c r="N105" s="30"/>
      <c r="O105" s="56"/>
      <c r="P105" s="31"/>
      <c r="Q105" s="30"/>
      <c r="R105" s="56"/>
      <c r="S105" s="31"/>
      <c r="T105" s="34"/>
      <c r="U105" s="85"/>
      <c r="V105" s="31"/>
      <c r="W105" s="42"/>
    </row>
    <row r="106" spans="1:23" ht="15" thickBot="1" x14ac:dyDescent="0.35">
      <c r="A106" s="7">
        <f t="shared" si="50"/>
        <v>100</v>
      </c>
      <c r="B106" s="111"/>
      <c r="C106" s="112"/>
      <c r="D106" s="113"/>
      <c r="E106" s="114"/>
      <c r="F106" s="114"/>
      <c r="G106" s="114"/>
      <c r="H106" s="114"/>
      <c r="I106" s="115"/>
      <c r="J106" s="114"/>
      <c r="K106" s="115"/>
      <c r="L106" s="114"/>
      <c r="M106" s="116"/>
      <c r="N106" s="118"/>
      <c r="O106" s="114"/>
      <c r="P106" s="119"/>
      <c r="Q106" s="118"/>
      <c r="R106" s="114"/>
      <c r="S106" s="119"/>
      <c r="T106" s="118"/>
      <c r="U106" s="114"/>
      <c r="V106" s="119"/>
      <c r="W106" s="42"/>
    </row>
    <row r="107" spans="1:23" x14ac:dyDescent="0.3">
      <c r="A107" s="12">
        <f t="shared" si="50"/>
        <v>101</v>
      </c>
      <c r="B107" s="12"/>
      <c r="C107" s="16"/>
      <c r="D107" s="13"/>
      <c r="E107" s="17"/>
      <c r="F107" s="17"/>
      <c r="G107" s="17"/>
      <c r="H107" s="17"/>
      <c r="I107" s="18"/>
      <c r="J107" s="21"/>
      <c r="K107" s="15"/>
      <c r="L107" s="17"/>
      <c r="M107" s="19"/>
      <c r="N107" s="30"/>
      <c r="O107" s="17"/>
      <c r="P107" s="31"/>
      <c r="Q107" s="30"/>
      <c r="R107" s="17"/>
      <c r="S107" s="31"/>
      <c r="T107" s="34"/>
      <c r="U107" s="35"/>
      <c r="V107" s="31"/>
      <c r="W107" s="42"/>
    </row>
    <row r="108" spans="1:23" x14ac:dyDescent="0.3">
      <c r="A108" s="7">
        <f t="shared" si="50"/>
        <v>102</v>
      </c>
      <c r="B108" s="7"/>
      <c r="C108" s="8"/>
      <c r="D108" s="9"/>
      <c r="E108" s="11"/>
      <c r="F108" s="11"/>
      <c r="G108" s="11"/>
      <c r="H108" s="11"/>
      <c r="I108" s="10"/>
      <c r="J108" s="11"/>
      <c r="K108" s="10"/>
      <c r="L108" s="11"/>
      <c r="M108" s="14"/>
      <c r="N108" s="32"/>
      <c r="O108" s="11"/>
      <c r="P108" s="41"/>
      <c r="Q108" s="32"/>
      <c r="R108" s="11"/>
      <c r="S108" s="41"/>
      <c r="T108" s="32"/>
      <c r="U108" s="11"/>
      <c r="V108" s="41"/>
    </row>
  </sheetData>
  <sortState xmlns:xlrd2="http://schemas.microsoft.com/office/spreadsheetml/2017/richdata2" ref="B7:V18">
    <sortCondition ref="C7:C18"/>
  </sortState>
  <mergeCells count="6">
    <mergeCell ref="Q2:S2"/>
    <mergeCell ref="T2:V2"/>
    <mergeCell ref="B2:M2"/>
    <mergeCell ref="N2:P2"/>
    <mergeCell ref="N1:P1"/>
    <mergeCell ref="Q1:V1"/>
  </mergeCells>
  <printOptions horizontalCentered="1"/>
  <pageMargins left="0" right="0" top="0.75" bottom="0.75" header="0.3" footer="0.3"/>
  <pageSetup scale="58" fitToHeight="4" orientation="landscape" r:id="rId1"/>
  <headerFooter>
    <oddFooter>&amp;L&amp;X(1)&amp;X AEG/React shows&amp;R&amp;P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971D-7D90-4522-9EE8-523747FDB39A}">
  <sheetPr>
    <pageSetUpPr fitToPage="1"/>
  </sheetPr>
  <dimension ref="A1:AE84"/>
  <sheetViews>
    <sheetView topLeftCell="L1" zoomScaleNormal="100" workbookViewId="0">
      <pane ySplit="5" topLeftCell="A24" activePane="bottomLeft" state="frozen"/>
      <selection pane="bottomLeft" activeCell="R1" sqref="R1:W1"/>
    </sheetView>
  </sheetViews>
  <sheetFormatPr defaultRowHeight="14.4" x14ac:dyDescent="0.3"/>
  <cols>
    <col min="1" max="1" width="3" bestFit="1" customWidth="1"/>
    <col min="2" max="2" width="26.5546875" customWidth="1"/>
    <col min="3" max="3" width="9.21875" style="104" customWidth="1"/>
    <col min="4" max="4" width="10.88671875" bestFit="1" customWidth="1"/>
    <col min="5" max="5" width="6.44140625" bestFit="1" customWidth="1"/>
    <col min="6" max="6" width="8" bestFit="1" customWidth="1"/>
    <col min="7" max="7" width="9" customWidth="1"/>
    <col min="8" max="8" width="9.5546875" customWidth="1"/>
    <col min="9" max="9" width="11.88671875" bestFit="1" customWidth="1"/>
    <col min="10" max="10" width="11.88671875" customWidth="1"/>
    <col min="11" max="11" width="12.109375" bestFit="1" customWidth="1"/>
    <col min="12" max="12" width="10.44140625" customWidth="1"/>
    <col min="13" max="13" width="10.21875" customWidth="1"/>
    <col min="14" max="14" width="8.33203125" bestFit="1" customWidth="1"/>
    <col min="15" max="15" width="11.88671875" customWidth="1"/>
    <col min="16" max="16" width="10.21875" customWidth="1"/>
    <col min="17" max="17" width="13.88671875" bestFit="1" customWidth="1"/>
    <col min="18" max="18" width="11.88671875" customWidth="1"/>
    <col min="19" max="19" width="10.21875" customWidth="1"/>
    <col min="20" max="20" width="13.88671875" bestFit="1" customWidth="1"/>
    <col min="21" max="21" width="11.44140625" customWidth="1"/>
    <col min="22" max="22" width="10.6640625" customWidth="1"/>
    <col min="23" max="23" width="13.88671875" customWidth="1"/>
    <col min="24" max="24" width="10.44140625" style="42" bestFit="1" customWidth="1"/>
    <col min="25" max="25" width="11" bestFit="1" customWidth="1"/>
    <col min="26" max="26" width="11" customWidth="1"/>
    <col min="27" max="27" width="10.44140625" style="42" bestFit="1" customWidth="1"/>
    <col min="28" max="28" width="13.109375" style="42" customWidth="1"/>
    <col min="29" max="29" width="9.33203125" bestFit="1" customWidth="1"/>
    <col min="30" max="31" width="9.109375" bestFit="1" customWidth="1"/>
    <col min="33" max="34" width="9.33203125" bestFit="1" customWidth="1"/>
    <col min="35" max="35" width="11.5546875" bestFit="1" customWidth="1"/>
  </cols>
  <sheetData>
    <row r="1" spans="1:28" ht="15" thickBot="1" x14ac:dyDescent="0.35">
      <c r="O1" s="129" t="s">
        <v>181</v>
      </c>
      <c r="P1" s="130"/>
      <c r="Q1" s="131"/>
      <c r="R1" s="132" t="s">
        <v>182</v>
      </c>
      <c r="S1" s="133"/>
      <c r="T1" s="133"/>
      <c r="U1" s="133"/>
      <c r="V1" s="133"/>
      <c r="W1" s="134"/>
    </row>
    <row r="2" spans="1:28" ht="15" thickBot="1" x14ac:dyDescent="0.35">
      <c r="B2" s="126" t="s">
        <v>66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8"/>
      <c r="O2" s="121" t="s">
        <v>178</v>
      </c>
      <c r="P2" s="121"/>
      <c r="Q2" s="122"/>
      <c r="R2" s="121" t="s">
        <v>180</v>
      </c>
      <c r="S2" s="121"/>
      <c r="T2" s="122"/>
      <c r="U2" s="123" t="s">
        <v>31</v>
      </c>
      <c r="V2" s="124"/>
      <c r="W2" s="125"/>
    </row>
    <row r="3" spans="1:28" ht="84" thickBot="1" x14ac:dyDescent="0.35">
      <c r="B3" s="57" t="s">
        <v>0</v>
      </c>
      <c r="C3" s="103" t="s">
        <v>193</v>
      </c>
      <c r="D3" s="48" t="s">
        <v>1</v>
      </c>
      <c r="E3" s="48" t="s">
        <v>2</v>
      </c>
      <c r="F3" s="49" t="s">
        <v>8</v>
      </c>
      <c r="G3" s="49" t="s">
        <v>84</v>
      </c>
      <c r="H3" s="49" t="s">
        <v>85</v>
      </c>
      <c r="I3" s="48" t="s">
        <v>3</v>
      </c>
      <c r="J3" s="48" t="s">
        <v>4</v>
      </c>
      <c r="K3" s="48" t="s">
        <v>5</v>
      </c>
      <c r="L3" s="48" t="s">
        <v>6</v>
      </c>
      <c r="M3" s="48" t="s">
        <v>7</v>
      </c>
      <c r="N3" s="58" t="s">
        <v>26</v>
      </c>
      <c r="O3" s="52" t="s">
        <v>21</v>
      </c>
      <c r="P3" s="25" t="s">
        <v>179</v>
      </c>
      <c r="Q3" s="26" t="s">
        <v>28</v>
      </c>
      <c r="R3" s="52" t="s">
        <v>21</v>
      </c>
      <c r="S3" s="25" t="s">
        <v>32</v>
      </c>
      <c r="T3" s="26" t="s">
        <v>28</v>
      </c>
      <c r="U3" s="24" t="s">
        <v>21</v>
      </c>
      <c r="V3" s="25" t="s">
        <v>32</v>
      </c>
      <c r="W3" s="26" t="s">
        <v>28</v>
      </c>
      <c r="X3" s="44" t="s">
        <v>33</v>
      </c>
      <c r="AA3" s="45" t="s">
        <v>49</v>
      </c>
      <c r="AB3" s="45" t="s">
        <v>52</v>
      </c>
    </row>
    <row r="4" spans="1:28" ht="15" thickBot="1" x14ac:dyDescent="0.35">
      <c r="B4" s="1" t="s">
        <v>9</v>
      </c>
      <c r="C4" s="105"/>
      <c r="D4" s="2"/>
      <c r="E4" s="2"/>
      <c r="F4" s="22">
        <f>SUM(F7:F82)</f>
        <v>28952</v>
      </c>
      <c r="G4" s="22">
        <f>SUM(G7:G82)</f>
        <v>43700</v>
      </c>
      <c r="H4" s="4"/>
      <c r="I4" s="3">
        <f>SUM(I7:I82)</f>
        <v>754923</v>
      </c>
      <c r="J4" s="4"/>
      <c r="K4" s="3">
        <f>SUM(K7:K82)</f>
        <v>523492.54</v>
      </c>
      <c r="L4" s="4"/>
      <c r="M4" s="3">
        <f t="shared" ref="M4:W4" si="0">SUM(M7:M82)</f>
        <v>456312.56</v>
      </c>
      <c r="N4" s="59">
        <f t="shared" si="0"/>
        <v>43.154911425508665</v>
      </c>
      <c r="O4" s="3">
        <f t="shared" ref="O4:Q4" si="1">SUM(O7:O82)</f>
        <v>31502.429999999993</v>
      </c>
      <c r="P4" s="3">
        <f t="shared" si="1"/>
        <v>523492.54</v>
      </c>
      <c r="Q4" s="23">
        <f t="shared" si="1"/>
        <v>554994.97000000009</v>
      </c>
      <c r="R4" s="3">
        <f t="shared" si="0"/>
        <v>15751.214999999997</v>
      </c>
      <c r="S4" s="3">
        <f t="shared" si="0"/>
        <v>261746.27</v>
      </c>
      <c r="T4" s="23">
        <f t="shared" si="0"/>
        <v>277497.48500000004</v>
      </c>
      <c r="U4" s="27">
        <f t="shared" si="0"/>
        <v>15751.214999999997</v>
      </c>
      <c r="V4" s="3">
        <f t="shared" si="0"/>
        <v>261746.27</v>
      </c>
      <c r="W4" s="23">
        <f t="shared" si="0"/>
        <v>277497.48500000004</v>
      </c>
    </row>
    <row r="5" spans="1:28" ht="15" thickBot="1" x14ac:dyDescent="0.35">
      <c r="B5" s="1" t="s">
        <v>10</v>
      </c>
      <c r="C5" s="105"/>
      <c r="D5" s="2"/>
      <c r="E5" s="2"/>
      <c r="F5" s="22">
        <f>F4/COUNTA(F7:F82)</f>
        <v>482.53333333333336</v>
      </c>
      <c r="G5" s="22">
        <f>G4/COUNTA(G7:G82)</f>
        <v>728.33333333333337</v>
      </c>
      <c r="H5" s="20">
        <f>F4/G4</f>
        <v>0.66251716247139592</v>
      </c>
      <c r="I5" s="3">
        <f>I4/COUNTA(I7:I82)</f>
        <v>12582.05</v>
      </c>
      <c r="J5" s="5">
        <f>I4/F4</f>
        <v>26.074986184028738</v>
      </c>
      <c r="K5" s="3">
        <f>K4/COUNTA(K7:K82)</f>
        <v>8581.8449180327862</v>
      </c>
      <c r="L5" s="5">
        <f>K4/F4</f>
        <v>18.081394722298977</v>
      </c>
      <c r="M5" s="3">
        <f>M4/COUNTA(M7:M82)</f>
        <v>7605.2093333333332</v>
      </c>
      <c r="N5" s="60">
        <f>M4/I4</f>
        <v>0.60444914249532733</v>
      </c>
      <c r="O5" s="3">
        <f>O4/COUNTA(O7:O82)</f>
        <v>516.43327868852452</v>
      </c>
      <c r="P5" s="3">
        <f t="shared" ref="P5:Q5" si="2">P4/COUNTA(P7:P82)</f>
        <v>8581.8449180327862</v>
      </c>
      <c r="Q5" s="23">
        <f t="shared" si="2"/>
        <v>9098.2781967213123</v>
      </c>
      <c r="R5" s="3">
        <f>R4/COUNTA(R7:R82)</f>
        <v>258.21663934426226</v>
      </c>
      <c r="S5" s="3">
        <f t="shared" ref="S5:W5" si="3">S4/COUNTA(S7:S82)</f>
        <v>4290.9224590163931</v>
      </c>
      <c r="T5" s="23">
        <f t="shared" si="3"/>
        <v>4549.1390983606561</v>
      </c>
      <c r="U5" s="27">
        <f t="shared" si="3"/>
        <v>258.21663934426226</v>
      </c>
      <c r="V5" s="3">
        <f t="shared" si="3"/>
        <v>4290.9224590163931</v>
      </c>
      <c r="W5" s="23">
        <f t="shared" si="3"/>
        <v>4549.1390983606561</v>
      </c>
    </row>
    <row r="6" spans="1:28" x14ac:dyDescent="0.3">
      <c r="B6" s="61"/>
      <c r="C6" s="106"/>
      <c r="D6" s="62"/>
      <c r="E6" s="62"/>
      <c r="F6" s="63"/>
      <c r="G6" s="63"/>
      <c r="H6" s="63"/>
      <c r="I6" s="53"/>
      <c r="J6" s="64"/>
      <c r="K6" s="53"/>
      <c r="L6" s="64"/>
      <c r="M6" s="53"/>
      <c r="N6" s="29"/>
      <c r="O6" s="53"/>
      <c r="P6" s="6"/>
      <c r="Q6" s="29"/>
      <c r="R6" s="53"/>
      <c r="S6" s="6"/>
      <c r="T6" s="29"/>
      <c r="U6" s="28"/>
      <c r="V6" s="6"/>
      <c r="W6" s="29"/>
    </row>
    <row r="7" spans="1:28" x14ac:dyDescent="0.3">
      <c r="A7" s="12">
        <v>1</v>
      </c>
      <c r="B7" s="65" t="s">
        <v>34</v>
      </c>
      <c r="C7" s="107">
        <v>1</v>
      </c>
      <c r="D7" s="66">
        <v>43491</v>
      </c>
      <c r="E7" s="67">
        <f t="shared" ref="E7:E67" si="4">D7</f>
        <v>43491</v>
      </c>
      <c r="F7" s="56">
        <v>270</v>
      </c>
      <c r="G7" s="56">
        <v>700</v>
      </c>
      <c r="H7" s="68">
        <f t="shared" ref="H7:H67" si="5">IFERROR(F7/G7,"")</f>
        <v>0.38571428571428573</v>
      </c>
      <c r="I7" s="54">
        <v>4193</v>
      </c>
      <c r="J7" s="69">
        <f t="shared" ref="J7:J67" si="6">IFERROR(I7/F7,"")</f>
        <v>15.52962962962963</v>
      </c>
      <c r="K7" s="54">
        <v>5772</v>
      </c>
      <c r="L7" s="69">
        <f t="shared" ref="L7:L67" si="7">IFERROR(K7/F7,"")</f>
        <v>21.377777777777776</v>
      </c>
      <c r="M7" s="54">
        <v>3300</v>
      </c>
      <c r="N7" s="70">
        <f t="shared" ref="N7:N67" si="8">IFERROR(M7/I7,"")</f>
        <v>0.78702599570713094</v>
      </c>
      <c r="O7" s="56">
        <f t="shared" ref="O7:O37" si="9">R7+U7</f>
        <v>-278</v>
      </c>
      <c r="P7" s="17">
        <f t="shared" ref="P7:P37" si="10">S7+V7</f>
        <v>5772</v>
      </c>
      <c r="Q7" s="51">
        <f>O7+P7</f>
        <v>5494</v>
      </c>
      <c r="R7" s="54">
        <f>X7*50%</f>
        <v>-139</v>
      </c>
      <c r="S7" s="39">
        <f>K7*50%</f>
        <v>2886</v>
      </c>
      <c r="T7" s="40">
        <f>R7+S7</f>
        <v>2747</v>
      </c>
      <c r="U7" s="38">
        <f>R7</f>
        <v>-139</v>
      </c>
      <c r="V7" s="39">
        <f>K7*50%</f>
        <v>2886</v>
      </c>
      <c r="W7" s="40">
        <f>U7+V7</f>
        <v>2747</v>
      </c>
      <c r="X7" s="42">
        <v>-278</v>
      </c>
      <c r="Y7" s="43">
        <f>T7+W7</f>
        <v>5494</v>
      </c>
      <c r="Z7" s="43"/>
    </row>
    <row r="8" spans="1:28" x14ac:dyDescent="0.3">
      <c r="A8" s="7">
        <v>2</v>
      </c>
      <c r="B8" s="71" t="s">
        <v>35</v>
      </c>
      <c r="C8" s="108">
        <v>5</v>
      </c>
      <c r="D8" s="72">
        <v>43504</v>
      </c>
      <c r="E8" s="73">
        <f t="shared" si="4"/>
        <v>43504</v>
      </c>
      <c r="F8" s="55">
        <v>800</v>
      </c>
      <c r="G8" s="55">
        <v>800</v>
      </c>
      <c r="H8" s="74">
        <f t="shared" si="5"/>
        <v>1</v>
      </c>
      <c r="I8" s="55">
        <v>27370.5</v>
      </c>
      <c r="J8" s="75">
        <f t="shared" si="6"/>
        <v>34.213124999999998</v>
      </c>
      <c r="K8" s="76">
        <v>18143</v>
      </c>
      <c r="L8" s="77">
        <f t="shared" si="7"/>
        <v>22.678750000000001</v>
      </c>
      <c r="M8" s="55">
        <v>15400</v>
      </c>
      <c r="N8" s="78">
        <f t="shared" si="8"/>
        <v>0.56264956796551036</v>
      </c>
      <c r="O8" s="55">
        <f t="shared" si="9"/>
        <v>5503.13</v>
      </c>
      <c r="P8" s="11">
        <f t="shared" si="10"/>
        <v>18143</v>
      </c>
      <c r="Q8" s="41">
        <f t="shared" ref="Q8:Q31" si="11">O8+P8</f>
        <v>23646.13</v>
      </c>
      <c r="R8" s="55">
        <f>X8*50%</f>
        <v>2751.5650000000001</v>
      </c>
      <c r="S8" s="11">
        <f t="shared" ref="S8:S24" si="12">K8*50%</f>
        <v>9071.5</v>
      </c>
      <c r="T8" s="33">
        <f t="shared" ref="T8:T24" si="13">R8+S8</f>
        <v>11823.065000000001</v>
      </c>
      <c r="U8" s="36">
        <f t="shared" ref="U8:U21" si="14">R8</f>
        <v>2751.5650000000001</v>
      </c>
      <c r="V8" s="37">
        <f>K8*50%</f>
        <v>9071.5</v>
      </c>
      <c r="W8" s="33">
        <f t="shared" ref="W8:W21" si="15">U8+V8</f>
        <v>11823.065000000001</v>
      </c>
      <c r="X8" s="42">
        <v>5503.13</v>
      </c>
      <c r="Y8" s="43">
        <f>T8+W8</f>
        <v>23646.13</v>
      </c>
      <c r="Z8" s="43"/>
    </row>
    <row r="9" spans="1:28" x14ac:dyDescent="0.3">
      <c r="A9" s="12">
        <v>3</v>
      </c>
      <c r="B9" s="65" t="s">
        <v>36</v>
      </c>
      <c r="C9" s="107">
        <v>5</v>
      </c>
      <c r="D9" s="66">
        <v>43505</v>
      </c>
      <c r="E9" s="67">
        <f t="shared" si="4"/>
        <v>43505</v>
      </c>
      <c r="F9" s="56">
        <v>810</v>
      </c>
      <c r="G9" s="56">
        <v>800</v>
      </c>
      <c r="H9" s="68">
        <f t="shared" si="5"/>
        <v>1.0125</v>
      </c>
      <c r="I9" s="56">
        <v>26875</v>
      </c>
      <c r="J9" s="79">
        <f t="shared" si="6"/>
        <v>33.179012345679013</v>
      </c>
      <c r="K9" s="80">
        <v>21111.5</v>
      </c>
      <c r="L9" s="81">
        <f t="shared" si="7"/>
        <v>26.063580246913581</v>
      </c>
      <c r="M9" s="56">
        <f>15000+125+100+150+75</f>
        <v>15450</v>
      </c>
      <c r="N9" s="70">
        <f t="shared" si="8"/>
        <v>0.57488372093023254</v>
      </c>
      <c r="O9" s="56">
        <f t="shared" si="9"/>
        <v>6280.05</v>
      </c>
      <c r="P9" s="17">
        <f t="shared" si="10"/>
        <v>21111.5</v>
      </c>
      <c r="Q9" s="51">
        <f t="shared" si="11"/>
        <v>27391.55</v>
      </c>
      <c r="R9" s="56">
        <f t="shared" ref="R9:R19" si="16">X9*50%</f>
        <v>3140.0250000000001</v>
      </c>
      <c r="S9" s="17">
        <f t="shared" si="12"/>
        <v>10555.75</v>
      </c>
      <c r="T9" s="31">
        <f t="shared" si="13"/>
        <v>13695.775</v>
      </c>
      <c r="U9" s="34">
        <f t="shared" si="14"/>
        <v>3140.0250000000001</v>
      </c>
      <c r="V9" s="35">
        <f>K9*50%</f>
        <v>10555.75</v>
      </c>
      <c r="W9" s="31">
        <f t="shared" si="15"/>
        <v>13695.775</v>
      </c>
      <c r="X9" s="42">
        <v>6280.05</v>
      </c>
      <c r="Y9" s="43">
        <f t="shared" ref="Y9:Y17" si="17">T9+W9</f>
        <v>27391.55</v>
      </c>
      <c r="Z9" s="43"/>
    </row>
    <row r="10" spans="1:28" x14ac:dyDescent="0.3">
      <c r="A10" s="7">
        <v>4</v>
      </c>
      <c r="B10" s="71" t="s">
        <v>37</v>
      </c>
      <c r="C10" s="108">
        <v>5</v>
      </c>
      <c r="D10" s="72">
        <v>43518</v>
      </c>
      <c r="E10" s="73">
        <f t="shared" si="4"/>
        <v>43518</v>
      </c>
      <c r="F10" s="55">
        <v>734</v>
      </c>
      <c r="G10" s="55">
        <v>700</v>
      </c>
      <c r="H10" s="74">
        <f t="shared" si="5"/>
        <v>1.0485714285714285</v>
      </c>
      <c r="I10" s="55">
        <v>13853.5</v>
      </c>
      <c r="J10" s="75">
        <f t="shared" si="6"/>
        <v>18.873978201634877</v>
      </c>
      <c r="K10" s="76">
        <v>9304</v>
      </c>
      <c r="L10" s="77">
        <f t="shared" si="7"/>
        <v>12.67574931880109</v>
      </c>
      <c r="M10" s="55">
        <v>10150</v>
      </c>
      <c r="N10" s="78">
        <f t="shared" si="8"/>
        <v>0.7326668350958242</v>
      </c>
      <c r="O10" s="55">
        <f t="shared" si="9"/>
        <v>1014.45</v>
      </c>
      <c r="P10" s="11">
        <f t="shared" si="10"/>
        <v>9304</v>
      </c>
      <c r="Q10" s="41">
        <f t="shared" si="11"/>
        <v>10318.450000000001</v>
      </c>
      <c r="R10" s="55">
        <f t="shared" si="16"/>
        <v>507.22500000000002</v>
      </c>
      <c r="S10" s="11">
        <f t="shared" si="12"/>
        <v>4652</v>
      </c>
      <c r="T10" s="33">
        <f t="shared" si="13"/>
        <v>5159.2250000000004</v>
      </c>
      <c r="U10" s="36">
        <f t="shared" si="14"/>
        <v>507.22500000000002</v>
      </c>
      <c r="V10" s="37">
        <f t="shared" ref="V10:V21" si="18">K10*50%</f>
        <v>4652</v>
      </c>
      <c r="W10" s="33">
        <f t="shared" si="15"/>
        <v>5159.2250000000004</v>
      </c>
      <c r="X10" s="42">
        <v>1014.45</v>
      </c>
      <c r="Y10" s="43">
        <f t="shared" si="17"/>
        <v>10318.450000000001</v>
      </c>
      <c r="Z10" s="43"/>
    </row>
    <row r="11" spans="1:28" x14ac:dyDescent="0.3">
      <c r="A11" s="12">
        <v>5</v>
      </c>
      <c r="B11" s="65" t="s">
        <v>38</v>
      </c>
      <c r="C11" s="107">
        <v>5</v>
      </c>
      <c r="D11" s="66">
        <v>43519</v>
      </c>
      <c r="E11" s="67">
        <f t="shared" si="4"/>
        <v>43519</v>
      </c>
      <c r="F11" s="56">
        <v>806</v>
      </c>
      <c r="G11" s="56">
        <v>700</v>
      </c>
      <c r="H11" s="68">
        <f t="shared" si="5"/>
        <v>1.1514285714285715</v>
      </c>
      <c r="I11" s="56">
        <v>20546</v>
      </c>
      <c r="J11" s="79">
        <f t="shared" si="6"/>
        <v>25.491315136476427</v>
      </c>
      <c r="K11" s="80">
        <v>17568</v>
      </c>
      <c r="L11" s="81">
        <f t="shared" si="7"/>
        <v>21.796526054590572</v>
      </c>
      <c r="M11" s="56">
        <v>9525</v>
      </c>
      <c r="N11" s="70">
        <f t="shared" si="8"/>
        <v>0.46359388688795872</v>
      </c>
      <c r="O11" s="56">
        <f t="shared" si="9"/>
        <v>4143.68</v>
      </c>
      <c r="P11" s="17">
        <f t="shared" si="10"/>
        <v>17568</v>
      </c>
      <c r="Q11" s="51">
        <f t="shared" si="11"/>
        <v>21711.68</v>
      </c>
      <c r="R11" s="56">
        <f t="shared" si="16"/>
        <v>2071.84</v>
      </c>
      <c r="S11" s="17">
        <f t="shared" si="12"/>
        <v>8784</v>
      </c>
      <c r="T11" s="31">
        <f t="shared" si="13"/>
        <v>10855.84</v>
      </c>
      <c r="U11" s="34">
        <f t="shared" si="14"/>
        <v>2071.84</v>
      </c>
      <c r="V11" s="35">
        <f t="shared" si="18"/>
        <v>8784</v>
      </c>
      <c r="W11" s="31">
        <f t="shared" si="15"/>
        <v>10855.84</v>
      </c>
      <c r="X11" s="42">
        <v>4143.68</v>
      </c>
      <c r="Y11" s="43">
        <f t="shared" si="17"/>
        <v>21711.68</v>
      </c>
      <c r="Z11" s="43"/>
    </row>
    <row r="12" spans="1:28" x14ac:dyDescent="0.3">
      <c r="A12" s="7">
        <v>6</v>
      </c>
      <c r="B12" s="71" t="s">
        <v>39</v>
      </c>
      <c r="C12" s="108">
        <v>5</v>
      </c>
      <c r="D12" s="72">
        <v>43532</v>
      </c>
      <c r="E12" s="73">
        <f t="shared" si="4"/>
        <v>43532</v>
      </c>
      <c r="F12" s="55">
        <v>510</v>
      </c>
      <c r="G12" s="55">
        <v>700</v>
      </c>
      <c r="H12" s="74">
        <f t="shared" si="5"/>
        <v>0.72857142857142854</v>
      </c>
      <c r="I12" s="55">
        <v>16440</v>
      </c>
      <c r="J12" s="75">
        <f t="shared" si="6"/>
        <v>32.235294117647058</v>
      </c>
      <c r="K12" s="76">
        <v>17184</v>
      </c>
      <c r="L12" s="77">
        <f t="shared" si="7"/>
        <v>33.694117647058825</v>
      </c>
      <c r="M12" s="55">
        <v>18500</v>
      </c>
      <c r="N12" s="78">
        <f t="shared" si="8"/>
        <v>1.1253041362530414</v>
      </c>
      <c r="O12" s="55">
        <f t="shared" si="9"/>
        <v>-7036.43</v>
      </c>
      <c r="P12" s="11">
        <f t="shared" si="10"/>
        <v>17184</v>
      </c>
      <c r="Q12" s="41">
        <f t="shared" si="11"/>
        <v>10147.57</v>
      </c>
      <c r="R12" s="55">
        <f t="shared" si="16"/>
        <v>-3518.2150000000001</v>
      </c>
      <c r="S12" s="11">
        <f t="shared" si="12"/>
        <v>8592</v>
      </c>
      <c r="T12" s="33">
        <f t="shared" si="13"/>
        <v>5073.7849999999999</v>
      </c>
      <c r="U12" s="36">
        <f t="shared" si="14"/>
        <v>-3518.2150000000001</v>
      </c>
      <c r="V12" s="37">
        <f t="shared" si="18"/>
        <v>8592</v>
      </c>
      <c r="W12" s="33">
        <f t="shared" si="15"/>
        <v>5073.7849999999999</v>
      </c>
      <c r="X12" s="42">
        <v>-7036.43</v>
      </c>
      <c r="Y12" s="43">
        <f t="shared" si="17"/>
        <v>10147.57</v>
      </c>
      <c r="Z12" s="43"/>
    </row>
    <row r="13" spans="1:28" x14ac:dyDescent="0.3">
      <c r="A13" s="12">
        <v>7</v>
      </c>
      <c r="B13" s="65" t="s">
        <v>40</v>
      </c>
      <c r="C13" s="107">
        <v>5</v>
      </c>
      <c r="D13" s="66">
        <v>43533</v>
      </c>
      <c r="E13" s="67">
        <f t="shared" si="4"/>
        <v>43533</v>
      </c>
      <c r="F13" s="56">
        <v>800</v>
      </c>
      <c r="G13" s="56">
        <v>800</v>
      </c>
      <c r="H13" s="68">
        <f t="shared" si="5"/>
        <v>1</v>
      </c>
      <c r="I13" s="56">
        <v>14620</v>
      </c>
      <c r="J13" s="79">
        <f t="shared" si="6"/>
        <v>18.274999999999999</v>
      </c>
      <c r="K13" s="80">
        <v>12599</v>
      </c>
      <c r="L13" s="81">
        <f t="shared" si="7"/>
        <v>15.748749999999999</v>
      </c>
      <c r="M13" s="56">
        <v>8100</v>
      </c>
      <c r="N13" s="70">
        <f t="shared" si="8"/>
        <v>0.55403556771545825</v>
      </c>
      <c r="O13" s="56">
        <f t="shared" si="9"/>
        <v>1590.67</v>
      </c>
      <c r="P13" s="17">
        <f t="shared" si="10"/>
        <v>12599</v>
      </c>
      <c r="Q13" s="51">
        <f t="shared" si="11"/>
        <v>14189.67</v>
      </c>
      <c r="R13" s="56">
        <f t="shared" si="16"/>
        <v>795.33500000000004</v>
      </c>
      <c r="S13" s="17">
        <f t="shared" si="12"/>
        <v>6299.5</v>
      </c>
      <c r="T13" s="31">
        <f t="shared" si="13"/>
        <v>7094.835</v>
      </c>
      <c r="U13" s="34">
        <f t="shared" si="14"/>
        <v>795.33500000000004</v>
      </c>
      <c r="V13" s="35">
        <f t="shared" si="18"/>
        <v>6299.5</v>
      </c>
      <c r="W13" s="31">
        <f t="shared" si="15"/>
        <v>7094.835</v>
      </c>
      <c r="X13" s="42">
        <v>1590.67</v>
      </c>
      <c r="Y13" s="43">
        <f t="shared" si="17"/>
        <v>14189.67</v>
      </c>
      <c r="Z13" s="43"/>
    </row>
    <row r="14" spans="1:28" x14ac:dyDescent="0.3">
      <c r="A14" s="7">
        <v>8</v>
      </c>
      <c r="B14" s="71" t="s">
        <v>44</v>
      </c>
      <c r="C14" s="156">
        <v>8</v>
      </c>
      <c r="D14" s="72">
        <v>43547</v>
      </c>
      <c r="E14" s="73">
        <f t="shared" si="4"/>
        <v>43547</v>
      </c>
      <c r="F14" s="55">
        <v>753</v>
      </c>
      <c r="G14" s="55">
        <v>700</v>
      </c>
      <c r="H14" s="74">
        <f t="shared" si="5"/>
        <v>1.0757142857142856</v>
      </c>
      <c r="I14" s="55">
        <v>19105</v>
      </c>
      <c r="J14" s="75">
        <f t="shared" si="6"/>
        <v>25.371845949535192</v>
      </c>
      <c r="K14" s="76">
        <v>10559</v>
      </c>
      <c r="L14" s="77">
        <f t="shared" si="7"/>
        <v>14.02257636122178</v>
      </c>
      <c r="M14" s="55">
        <v>6050</v>
      </c>
      <c r="N14" s="78">
        <f t="shared" si="8"/>
        <v>0.3166710285265637</v>
      </c>
      <c r="O14" s="55">
        <f t="shared" si="9"/>
        <v>10383.67</v>
      </c>
      <c r="P14" s="11">
        <f t="shared" si="10"/>
        <v>10559</v>
      </c>
      <c r="Q14" s="41">
        <f t="shared" si="11"/>
        <v>20942.669999999998</v>
      </c>
      <c r="R14" s="55">
        <f t="shared" si="16"/>
        <v>5191.835</v>
      </c>
      <c r="S14" s="11">
        <f t="shared" si="12"/>
        <v>5279.5</v>
      </c>
      <c r="T14" s="33">
        <f t="shared" si="13"/>
        <v>10471.334999999999</v>
      </c>
      <c r="U14" s="36">
        <f t="shared" si="14"/>
        <v>5191.835</v>
      </c>
      <c r="V14" s="37">
        <f t="shared" si="18"/>
        <v>5279.5</v>
      </c>
      <c r="W14" s="33">
        <f t="shared" si="15"/>
        <v>10471.334999999999</v>
      </c>
      <c r="X14" s="42">
        <v>10383.67</v>
      </c>
      <c r="Y14" s="43">
        <f t="shared" si="17"/>
        <v>20942.669999999998</v>
      </c>
      <c r="Z14" s="43"/>
    </row>
    <row r="15" spans="1:28" x14ac:dyDescent="0.3">
      <c r="A15" s="12">
        <v>9</v>
      </c>
      <c r="B15" s="65" t="s">
        <v>45</v>
      </c>
      <c r="C15" s="107">
        <v>5</v>
      </c>
      <c r="D15" s="66">
        <v>43553</v>
      </c>
      <c r="E15" s="67">
        <f t="shared" si="4"/>
        <v>43553</v>
      </c>
      <c r="F15" s="56">
        <v>846</v>
      </c>
      <c r="G15" s="56">
        <v>800</v>
      </c>
      <c r="H15" s="68">
        <f t="shared" si="5"/>
        <v>1.0575000000000001</v>
      </c>
      <c r="I15" s="56">
        <v>21440</v>
      </c>
      <c r="J15" s="79">
        <f t="shared" si="6"/>
        <v>25.342789598108748</v>
      </c>
      <c r="K15" s="80">
        <v>16341</v>
      </c>
      <c r="L15" s="81">
        <f t="shared" si="7"/>
        <v>19.315602836879432</v>
      </c>
      <c r="M15" s="56">
        <v>10700</v>
      </c>
      <c r="N15" s="70">
        <f t="shared" si="8"/>
        <v>0.49906716417910446</v>
      </c>
      <c r="O15" s="56">
        <f t="shared" si="9"/>
        <v>5607.96</v>
      </c>
      <c r="P15" s="17">
        <f t="shared" si="10"/>
        <v>16341</v>
      </c>
      <c r="Q15" s="51">
        <f t="shared" si="11"/>
        <v>21948.959999999999</v>
      </c>
      <c r="R15" s="56">
        <f t="shared" si="16"/>
        <v>2803.98</v>
      </c>
      <c r="S15" s="17">
        <f t="shared" si="12"/>
        <v>8170.5</v>
      </c>
      <c r="T15" s="31">
        <f t="shared" si="13"/>
        <v>10974.48</v>
      </c>
      <c r="U15" s="34">
        <f t="shared" si="14"/>
        <v>2803.98</v>
      </c>
      <c r="V15" s="35">
        <f t="shared" si="18"/>
        <v>8170.5</v>
      </c>
      <c r="W15" s="31">
        <f t="shared" si="15"/>
        <v>10974.48</v>
      </c>
      <c r="X15" s="42">
        <v>5607.96</v>
      </c>
      <c r="Y15" s="43">
        <f t="shared" si="17"/>
        <v>21948.959999999999</v>
      </c>
      <c r="Z15" s="43"/>
    </row>
    <row r="16" spans="1:28" x14ac:dyDescent="0.3">
      <c r="A16" s="7">
        <v>10</v>
      </c>
      <c r="B16" s="71" t="s">
        <v>46</v>
      </c>
      <c r="C16" s="108">
        <v>6</v>
      </c>
      <c r="D16" s="72">
        <v>43554</v>
      </c>
      <c r="E16" s="73">
        <f t="shared" si="4"/>
        <v>43554</v>
      </c>
      <c r="F16" s="55"/>
      <c r="G16" s="55"/>
      <c r="H16" s="74" t="str">
        <f t="shared" si="5"/>
        <v/>
      </c>
      <c r="I16" s="55"/>
      <c r="J16" s="75" t="str">
        <f>IFERROR(I16/F16,"")</f>
        <v/>
      </c>
      <c r="K16" s="76">
        <v>2361</v>
      </c>
      <c r="L16" s="77" t="str">
        <f t="shared" si="7"/>
        <v/>
      </c>
      <c r="M16" s="55"/>
      <c r="N16" s="78" t="str">
        <f t="shared" si="8"/>
        <v/>
      </c>
      <c r="O16" s="55">
        <f t="shared" si="9"/>
        <v>-120</v>
      </c>
      <c r="P16" s="11">
        <f t="shared" si="10"/>
        <v>2361</v>
      </c>
      <c r="Q16" s="41">
        <f t="shared" si="11"/>
        <v>2241</v>
      </c>
      <c r="R16" s="55">
        <f t="shared" si="16"/>
        <v>-60</v>
      </c>
      <c r="S16" s="11">
        <f t="shared" si="12"/>
        <v>1180.5</v>
      </c>
      <c r="T16" s="33">
        <f t="shared" si="13"/>
        <v>1120.5</v>
      </c>
      <c r="U16" s="36">
        <f t="shared" si="14"/>
        <v>-60</v>
      </c>
      <c r="V16" s="37">
        <f t="shared" si="18"/>
        <v>1180.5</v>
      </c>
      <c r="W16" s="33">
        <f t="shared" si="15"/>
        <v>1120.5</v>
      </c>
      <c r="X16" s="42">
        <v>-120</v>
      </c>
      <c r="Y16" s="43">
        <f t="shared" si="17"/>
        <v>2241</v>
      </c>
      <c r="Z16" s="43"/>
    </row>
    <row r="17" spans="1:31" x14ac:dyDescent="0.3">
      <c r="A17" s="12">
        <v>11</v>
      </c>
      <c r="B17" s="65" t="s">
        <v>48</v>
      </c>
      <c r="C17" s="107">
        <v>2</v>
      </c>
      <c r="D17" s="66">
        <v>43560</v>
      </c>
      <c r="E17" s="67">
        <f t="shared" si="4"/>
        <v>43560</v>
      </c>
      <c r="F17" s="56">
        <v>736</v>
      </c>
      <c r="G17" s="56">
        <v>700</v>
      </c>
      <c r="H17" s="68">
        <f t="shared" si="5"/>
        <v>1.0514285714285714</v>
      </c>
      <c r="I17" s="56">
        <f>11870+AA17</f>
        <v>14230</v>
      </c>
      <c r="J17" s="79">
        <f t="shared" si="6"/>
        <v>19.334239130434781</v>
      </c>
      <c r="K17" s="80">
        <v>9681</v>
      </c>
      <c r="L17" s="81">
        <f t="shared" si="7"/>
        <v>13.153532608695652</v>
      </c>
      <c r="M17" s="56">
        <v>6152.7</v>
      </c>
      <c r="N17" s="70">
        <f t="shared" si="8"/>
        <v>0.43237526352775824</v>
      </c>
      <c r="O17" s="56">
        <f t="shared" si="9"/>
        <v>1320.98</v>
      </c>
      <c r="P17" s="17">
        <f t="shared" si="10"/>
        <v>9681</v>
      </c>
      <c r="Q17" s="51">
        <f t="shared" si="11"/>
        <v>11001.98</v>
      </c>
      <c r="R17" s="56">
        <f>(X17+AA17-AB17)/2</f>
        <v>660.49</v>
      </c>
      <c r="S17" s="17">
        <f t="shared" si="12"/>
        <v>4840.5</v>
      </c>
      <c r="T17" s="31">
        <f t="shared" si="13"/>
        <v>5500.99</v>
      </c>
      <c r="U17" s="34">
        <f>R17</f>
        <v>660.49</v>
      </c>
      <c r="V17" s="35">
        <f t="shared" si="18"/>
        <v>4840.5</v>
      </c>
      <c r="W17" s="31">
        <f t="shared" si="15"/>
        <v>5500.99</v>
      </c>
      <c r="X17" s="42">
        <v>1168.98</v>
      </c>
      <c r="Y17" s="43">
        <f t="shared" si="17"/>
        <v>11001.98</v>
      </c>
      <c r="Z17" s="43"/>
      <c r="AA17" s="42">
        <f>560+1800</f>
        <v>2360</v>
      </c>
      <c r="AB17" s="42">
        <v>2208</v>
      </c>
    </row>
    <row r="18" spans="1:31" x14ac:dyDescent="0.3">
      <c r="A18" s="7">
        <v>12</v>
      </c>
      <c r="B18" s="71" t="s">
        <v>47</v>
      </c>
      <c r="C18" s="108">
        <v>2</v>
      </c>
      <c r="D18" s="72">
        <v>43568</v>
      </c>
      <c r="E18" s="73">
        <f t="shared" si="4"/>
        <v>43568</v>
      </c>
      <c r="F18" s="55">
        <v>442</v>
      </c>
      <c r="G18" s="55">
        <v>700</v>
      </c>
      <c r="H18" s="74">
        <f t="shared" si="5"/>
        <v>0.63142857142857145</v>
      </c>
      <c r="I18" s="55">
        <f>7755+AA18</f>
        <v>9066</v>
      </c>
      <c r="J18" s="75">
        <f t="shared" si="6"/>
        <v>20.511312217194572</v>
      </c>
      <c r="K18" s="55">
        <v>7513.5</v>
      </c>
      <c r="L18" s="75">
        <f t="shared" si="7"/>
        <v>16.998868778280542</v>
      </c>
      <c r="M18" s="55">
        <f>1250+2000+750+400+175</f>
        <v>4575</v>
      </c>
      <c r="N18" s="78">
        <f t="shared" si="8"/>
        <v>0.5046326935804103</v>
      </c>
      <c r="O18" s="55">
        <f t="shared" si="9"/>
        <v>-571.79</v>
      </c>
      <c r="P18" s="11">
        <f t="shared" si="10"/>
        <v>7513.5</v>
      </c>
      <c r="Q18" s="41">
        <f t="shared" si="11"/>
        <v>6941.71</v>
      </c>
      <c r="R18" s="55">
        <f>(X18+AA18-AB18)/2</f>
        <v>-285.89499999999998</v>
      </c>
      <c r="S18" s="11">
        <f t="shared" si="12"/>
        <v>3756.75</v>
      </c>
      <c r="T18" s="41">
        <f t="shared" si="13"/>
        <v>3470.855</v>
      </c>
      <c r="U18" s="32">
        <f t="shared" si="14"/>
        <v>-285.89499999999998</v>
      </c>
      <c r="V18" s="11">
        <f t="shared" si="18"/>
        <v>3756.75</v>
      </c>
      <c r="W18" s="41">
        <f t="shared" si="15"/>
        <v>3470.855</v>
      </c>
      <c r="X18" s="42">
        <v>-556.79</v>
      </c>
      <c r="Y18" s="43">
        <f t="shared" ref="Y18:Y38" si="19">T18+W18</f>
        <v>6941.71</v>
      </c>
      <c r="Z18" s="43"/>
      <c r="AA18" s="42">
        <f>291+1020</f>
        <v>1311</v>
      </c>
      <c r="AB18" s="42">
        <v>1326</v>
      </c>
    </row>
    <row r="19" spans="1:31" x14ac:dyDescent="0.3">
      <c r="A19" s="12">
        <v>13</v>
      </c>
      <c r="B19" s="65" t="s">
        <v>55</v>
      </c>
      <c r="C19" s="107">
        <v>8</v>
      </c>
      <c r="D19" s="66">
        <v>43574</v>
      </c>
      <c r="E19" s="67">
        <f t="shared" si="4"/>
        <v>43574</v>
      </c>
      <c r="F19" s="56">
        <v>462</v>
      </c>
      <c r="G19" s="56">
        <v>700</v>
      </c>
      <c r="H19" s="68">
        <f t="shared" si="5"/>
        <v>0.66</v>
      </c>
      <c r="I19" s="56">
        <v>7541</v>
      </c>
      <c r="J19" s="79">
        <f t="shared" si="6"/>
        <v>16.322510822510822</v>
      </c>
      <c r="K19" s="80">
        <v>7542.5</v>
      </c>
      <c r="L19" s="81">
        <f t="shared" si="7"/>
        <v>16.325757575757574</v>
      </c>
      <c r="M19" s="56">
        <v>5000</v>
      </c>
      <c r="N19" s="70">
        <f t="shared" si="8"/>
        <v>0.6630420368651373</v>
      </c>
      <c r="O19" s="56">
        <f t="shared" si="9"/>
        <v>3430.92</v>
      </c>
      <c r="P19" s="17">
        <f t="shared" si="10"/>
        <v>7542.5</v>
      </c>
      <c r="Q19" s="51">
        <f t="shared" si="11"/>
        <v>10973.42</v>
      </c>
      <c r="R19" s="56">
        <f t="shared" si="16"/>
        <v>1715.46</v>
      </c>
      <c r="S19" s="17">
        <f t="shared" si="12"/>
        <v>3771.25</v>
      </c>
      <c r="T19" s="31">
        <f t="shared" si="13"/>
        <v>5486.71</v>
      </c>
      <c r="U19" s="34">
        <f t="shared" si="14"/>
        <v>1715.46</v>
      </c>
      <c r="V19" s="35">
        <f t="shared" si="18"/>
        <v>3771.25</v>
      </c>
      <c r="W19" s="31">
        <f t="shared" si="15"/>
        <v>5486.71</v>
      </c>
      <c r="X19" s="42">
        <f>SUM(Z19:AA19)-6480.58-AB19</f>
        <v>3430.92</v>
      </c>
      <c r="Y19" s="43">
        <f t="shared" si="19"/>
        <v>10973.42</v>
      </c>
      <c r="Z19" s="43">
        <f>3050+5515</f>
        <v>8565</v>
      </c>
      <c r="AA19" s="42">
        <f>1055.5+291</f>
        <v>1346.5</v>
      </c>
      <c r="AB19" s="42">
        <v>0</v>
      </c>
    </row>
    <row r="20" spans="1:31" x14ac:dyDescent="0.3">
      <c r="A20" s="7">
        <v>14</v>
      </c>
      <c r="B20" s="71" t="s">
        <v>58</v>
      </c>
      <c r="C20" s="108">
        <v>2</v>
      </c>
      <c r="D20" s="72">
        <v>43581</v>
      </c>
      <c r="E20" s="73">
        <f t="shared" si="4"/>
        <v>43581</v>
      </c>
      <c r="F20" s="55">
        <v>800</v>
      </c>
      <c r="G20" s="55">
        <v>800</v>
      </c>
      <c r="H20" s="74">
        <f t="shared" si="5"/>
        <v>1</v>
      </c>
      <c r="I20" s="55">
        <f>23036+AA20</f>
        <v>27047</v>
      </c>
      <c r="J20" s="75">
        <f t="shared" si="6"/>
        <v>33.808750000000003</v>
      </c>
      <c r="K20" s="55">
        <v>14724</v>
      </c>
      <c r="L20" s="75">
        <f t="shared" si="7"/>
        <v>18.405000000000001</v>
      </c>
      <c r="M20" s="55">
        <f>10440.5+1000+250+500</f>
        <v>12190.5</v>
      </c>
      <c r="N20" s="78">
        <f t="shared" si="8"/>
        <v>0.4507154213036566</v>
      </c>
      <c r="O20" s="55">
        <f t="shared" si="9"/>
        <v>4239.7200000000012</v>
      </c>
      <c r="P20" s="11">
        <f t="shared" si="10"/>
        <v>14724</v>
      </c>
      <c r="Q20" s="41">
        <f t="shared" si="11"/>
        <v>18963.72</v>
      </c>
      <c r="R20" s="55">
        <f>X20*50%</f>
        <v>2119.8600000000006</v>
      </c>
      <c r="S20" s="11">
        <f t="shared" si="12"/>
        <v>7362</v>
      </c>
      <c r="T20" s="41">
        <f t="shared" si="13"/>
        <v>9481.86</v>
      </c>
      <c r="U20" s="32">
        <f t="shared" si="14"/>
        <v>2119.8600000000006</v>
      </c>
      <c r="V20" s="11">
        <f t="shared" si="18"/>
        <v>7362</v>
      </c>
      <c r="W20" s="41">
        <f t="shared" si="15"/>
        <v>9481.86</v>
      </c>
      <c r="X20" s="42">
        <f>SUM(Z20:AA20)-16396.28-AB20</f>
        <v>4239.7200000000012</v>
      </c>
      <c r="Y20" s="43">
        <f t="shared" si="19"/>
        <v>18963.72</v>
      </c>
      <c r="Z20" s="43">
        <f>75+18950</f>
        <v>19025</v>
      </c>
      <c r="AA20" s="42">
        <f>2889+642+480</f>
        <v>4011</v>
      </c>
      <c r="AB20" s="42">
        <v>2400</v>
      </c>
      <c r="AC20">
        <f>1276.86*2</f>
        <v>2553.7199999999998</v>
      </c>
      <c r="AD20" s="46">
        <f>AC20+AA20</f>
        <v>6564.7199999999993</v>
      </c>
      <c r="AE20" s="46">
        <f>AD20/2</f>
        <v>3282.3599999999997</v>
      </c>
    </row>
    <row r="21" spans="1:31" x14ac:dyDescent="0.3">
      <c r="A21" s="12">
        <v>15</v>
      </c>
      <c r="B21" s="65" t="s">
        <v>64</v>
      </c>
      <c r="C21" s="107">
        <v>2</v>
      </c>
      <c r="D21" s="66">
        <v>43589</v>
      </c>
      <c r="E21" s="67">
        <f t="shared" si="4"/>
        <v>43589</v>
      </c>
      <c r="F21" s="56">
        <v>436</v>
      </c>
      <c r="G21" s="56">
        <v>700</v>
      </c>
      <c r="H21" s="68">
        <f t="shared" si="5"/>
        <v>0.62285714285714289</v>
      </c>
      <c r="I21" s="56">
        <f>7595+AA21</f>
        <v>8460</v>
      </c>
      <c r="J21" s="79">
        <f t="shared" si="6"/>
        <v>19.403669724770641</v>
      </c>
      <c r="K21" s="80">
        <v>5650</v>
      </c>
      <c r="L21" s="81">
        <f t="shared" si="7"/>
        <v>12.958715596330276</v>
      </c>
      <c r="M21" s="56">
        <v>4550</v>
      </c>
      <c r="N21" s="70">
        <f t="shared" si="8"/>
        <v>0.5378250591016549</v>
      </c>
      <c r="O21" s="56">
        <f t="shared" si="9"/>
        <v>-2461.48</v>
      </c>
      <c r="P21" s="17">
        <f t="shared" si="10"/>
        <v>5650</v>
      </c>
      <c r="Q21" s="51">
        <f t="shared" si="11"/>
        <v>3188.52</v>
      </c>
      <c r="R21" s="56">
        <f>(X21+AA21-AB21)/2</f>
        <v>-1230.74</v>
      </c>
      <c r="S21" s="17">
        <f t="shared" si="12"/>
        <v>2825</v>
      </c>
      <c r="T21" s="31">
        <f t="shared" si="13"/>
        <v>1594.26</v>
      </c>
      <c r="U21" s="34">
        <f t="shared" si="14"/>
        <v>-1230.74</v>
      </c>
      <c r="V21" s="35">
        <f t="shared" si="18"/>
        <v>2825</v>
      </c>
      <c r="W21" s="31">
        <f t="shared" si="15"/>
        <v>1594.26</v>
      </c>
      <c r="X21" s="42">
        <v>-2336.48</v>
      </c>
      <c r="Y21" s="43">
        <f t="shared" si="19"/>
        <v>3188.52</v>
      </c>
      <c r="Z21" s="43"/>
      <c r="AA21" s="42">
        <f>687+178</f>
        <v>865</v>
      </c>
      <c r="AB21" s="42">
        <v>990</v>
      </c>
    </row>
    <row r="22" spans="1:31" x14ac:dyDescent="0.3">
      <c r="A22" s="7">
        <v>16</v>
      </c>
      <c r="B22" s="71" t="s">
        <v>65</v>
      </c>
      <c r="C22" s="108">
        <v>1</v>
      </c>
      <c r="D22" s="72">
        <v>43594</v>
      </c>
      <c r="E22" s="73">
        <f t="shared" si="4"/>
        <v>43594</v>
      </c>
      <c r="F22" s="55">
        <v>401</v>
      </c>
      <c r="G22" s="55">
        <v>700</v>
      </c>
      <c r="H22" s="74">
        <f t="shared" si="5"/>
        <v>0.57285714285714284</v>
      </c>
      <c r="I22" s="55">
        <v>11236</v>
      </c>
      <c r="J22" s="75">
        <f t="shared" si="6"/>
        <v>28.019950124688279</v>
      </c>
      <c r="K22" s="55">
        <v>4843</v>
      </c>
      <c r="L22" s="75">
        <f t="shared" si="7"/>
        <v>12.077306733167083</v>
      </c>
      <c r="M22" s="55">
        <f>4000+4000+500</f>
        <v>8500</v>
      </c>
      <c r="N22" s="78">
        <f t="shared" si="8"/>
        <v>0.75649697401210392</v>
      </c>
      <c r="O22" s="55">
        <f t="shared" si="9"/>
        <v>-50.71</v>
      </c>
      <c r="P22" s="11">
        <f t="shared" si="10"/>
        <v>4843</v>
      </c>
      <c r="Q22" s="41">
        <f t="shared" si="11"/>
        <v>4792.29</v>
      </c>
      <c r="R22" s="55">
        <f>X22*50%</f>
        <v>-25.355</v>
      </c>
      <c r="S22" s="11">
        <f t="shared" si="12"/>
        <v>2421.5</v>
      </c>
      <c r="T22" s="41">
        <f t="shared" si="13"/>
        <v>2396.145</v>
      </c>
      <c r="U22" s="32">
        <f>R22</f>
        <v>-25.355</v>
      </c>
      <c r="V22" s="11">
        <f t="shared" ref="V22:V38" si="20">K22*50%</f>
        <v>2421.5</v>
      </c>
      <c r="W22" s="41">
        <f t="shared" ref="W22:W31" si="21">U22+V22</f>
        <v>2396.145</v>
      </c>
      <c r="X22" s="42">
        <v>-50.71</v>
      </c>
      <c r="Y22" s="43">
        <f t="shared" si="19"/>
        <v>4792.29</v>
      </c>
      <c r="Z22" s="43"/>
      <c r="AB22" s="42">
        <v>23036</v>
      </c>
    </row>
    <row r="23" spans="1:31" x14ac:dyDescent="0.3">
      <c r="A23" s="12">
        <v>17</v>
      </c>
      <c r="B23" s="65" t="s">
        <v>70</v>
      </c>
      <c r="C23" s="107">
        <v>1</v>
      </c>
      <c r="D23" s="66">
        <v>43603</v>
      </c>
      <c r="E23" s="67">
        <f t="shared" si="4"/>
        <v>43603</v>
      </c>
      <c r="F23" s="56">
        <v>267</v>
      </c>
      <c r="G23" s="56">
        <v>700</v>
      </c>
      <c r="H23" s="68">
        <f t="shared" si="5"/>
        <v>0.38142857142857145</v>
      </c>
      <c r="I23" s="56">
        <v>7096.75</v>
      </c>
      <c r="J23" s="79">
        <f t="shared" si="6"/>
        <v>26.579588014981272</v>
      </c>
      <c r="K23" s="80">
        <v>2405</v>
      </c>
      <c r="L23" s="81">
        <f t="shared" si="7"/>
        <v>9.0074906367041194</v>
      </c>
      <c r="M23" s="56">
        <v>5000</v>
      </c>
      <c r="N23" s="70">
        <f t="shared" si="8"/>
        <v>0.70454785641314688</v>
      </c>
      <c r="O23" s="56">
        <f t="shared" si="9"/>
        <v>-409.25</v>
      </c>
      <c r="P23" s="17">
        <f t="shared" si="10"/>
        <v>2405</v>
      </c>
      <c r="Q23" s="51">
        <f t="shared" si="11"/>
        <v>1995.75</v>
      </c>
      <c r="R23" s="56">
        <f>X23*50%</f>
        <v>-204.625</v>
      </c>
      <c r="S23" s="17">
        <f t="shared" si="12"/>
        <v>1202.5</v>
      </c>
      <c r="T23" s="31">
        <f t="shared" si="13"/>
        <v>997.875</v>
      </c>
      <c r="U23" s="34">
        <f>R23</f>
        <v>-204.625</v>
      </c>
      <c r="V23" s="35">
        <f t="shared" si="20"/>
        <v>1202.5</v>
      </c>
      <c r="W23" s="31">
        <f t="shared" si="21"/>
        <v>997.875</v>
      </c>
      <c r="X23" s="42">
        <f>-1129.25+720</f>
        <v>-409.25</v>
      </c>
      <c r="Y23" s="43">
        <f t="shared" si="19"/>
        <v>1995.75</v>
      </c>
      <c r="AB23" s="42">
        <v>-16396.28</v>
      </c>
    </row>
    <row r="24" spans="1:31" x14ac:dyDescent="0.3">
      <c r="A24" s="7">
        <v>18</v>
      </c>
      <c r="B24" s="71" t="s">
        <v>71</v>
      </c>
      <c r="C24" s="108">
        <v>4</v>
      </c>
      <c r="D24" s="72">
        <v>43607</v>
      </c>
      <c r="E24" s="73">
        <f t="shared" si="4"/>
        <v>43607</v>
      </c>
      <c r="F24" s="55">
        <v>637</v>
      </c>
      <c r="G24" s="55">
        <v>700</v>
      </c>
      <c r="H24" s="74">
        <f t="shared" si="5"/>
        <v>0.91</v>
      </c>
      <c r="I24" s="55">
        <v>16427</v>
      </c>
      <c r="J24" s="82">
        <f t="shared" si="6"/>
        <v>25.788069073783358</v>
      </c>
      <c r="K24" s="55">
        <v>9143</v>
      </c>
      <c r="L24" s="82">
        <f t="shared" si="7"/>
        <v>14.353218210361067</v>
      </c>
      <c r="M24" s="55">
        <f>3729.16+3000+100</f>
        <v>6829.16</v>
      </c>
      <c r="N24" s="78">
        <f t="shared" si="8"/>
        <v>0.41572776526450356</v>
      </c>
      <c r="O24" s="55">
        <f t="shared" si="9"/>
        <v>6103.47</v>
      </c>
      <c r="P24" s="11">
        <f t="shared" si="10"/>
        <v>9143</v>
      </c>
      <c r="Q24" s="41">
        <f t="shared" si="11"/>
        <v>15246.470000000001</v>
      </c>
      <c r="R24" s="55">
        <f>X24*50%</f>
        <v>3051.7350000000001</v>
      </c>
      <c r="S24" s="11">
        <f t="shared" si="12"/>
        <v>4571.5</v>
      </c>
      <c r="T24" s="41">
        <f t="shared" si="13"/>
        <v>7623.2350000000006</v>
      </c>
      <c r="U24" s="32">
        <f>R24</f>
        <v>3051.7350000000001</v>
      </c>
      <c r="V24" s="11">
        <f t="shared" si="20"/>
        <v>4571.5</v>
      </c>
      <c r="W24" s="41">
        <f t="shared" si="21"/>
        <v>7623.2350000000006</v>
      </c>
      <c r="X24" s="42">
        <f>6103.47</f>
        <v>6103.47</v>
      </c>
      <c r="Y24" s="43">
        <f t="shared" si="19"/>
        <v>15246.470000000001</v>
      </c>
    </row>
    <row r="25" spans="1:31" x14ac:dyDescent="0.3">
      <c r="A25" s="12">
        <v>19</v>
      </c>
      <c r="B25" s="65" t="s">
        <v>79</v>
      </c>
      <c r="C25" s="107">
        <v>5</v>
      </c>
      <c r="D25" s="66">
        <v>43609</v>
      </c>
      <c r="E25" s="67">
        <f t="shared" si="4"/>
        <v>43609</v>
      </c>
      <c r="F25" s="56">
        <v>829</v>
      </c>
      <c r="G25" s="56">
        <v>800</v>
      </c>
      <c r="H25" s="68">
        <f t="shared" si="5"/>
        <v>1.0362499999999999</v>
      </c>
      <c r="I25" s="56">
        <v>24387.5</v>
      </c>
      <c r="J25" s="83">
        <f t="shared" si="6"/>
        <v>29.417973462002411</v>
      </c>
      <c r="K25" s="56">
        <v>22313.5</v>
      </c>
      <c r="L25" s="83">
        <f t="shared" si="7"/>
        <v>26.916164053075995</v>
      </c>
      <c r="M25" s="56">
        <v>11725</v>
      </c>
      <c r="N25" s="70">
        <f t="shared" si="8"/>
        <v>0.48077908764736033</v>
      </c>
      <c r="O25" s="56">
        <f t="shared" si="9"/>
        <v>5411.33</v>
      </c>
      <c r="P25" s="17">
        <f t="shared" si="10"/>
        <v>22313.5</v>
      </c>
      <c r="Q25" s="51">
        <f t="shared" si="11"/>
        <v>27724.83</v>
      </c>
      <c r="R25" s="56">
        <f t="shared" ref="R25:R31" si="22">X25*50%</f>
        <v>2705.665</v>
      </c>
      <c r="S25" s="17">
        <f t="shared" ref="S25:S38" si="23">K25*50%</f>
        <v>11156.75</v>
      </c>
      <c r="T25" s="51">
        <f t="shared" ref="T25:T31" si="24">R25+S25</f>
        <v>13862.415000000001</v>
      </c>
      <c r="U25" s="30">
        <f t="shared" ref="U25:U32" si="25">R25</f>
        <v>2705.665</v>
      </c>
      <c r="V25" s="17">
        <f t="shared" si="20"/>
        <v>11156.75</v>
      </c>
      <c r="W25" s="51">
        <f t="shared" si="21"/>
        <v>13862.415000000001</v>
      </c>
      <c r="X25" s="42">
        <v>5411.33</v>
      </c>
      <c r="Y25" s="43">
        <f t="shared" si="19"/>
        <v>27724.83</v>
      </c>
      <c r="AB25" s="42">
        <v>-2400</v>
      </c>
    </row>
    <row r="26" spans="1:31" x14ac:dyDescent="0.3">
      <c r="A26" s="7">
        <v>20</v>
      </c>
      <c r="B26" s="71" t="s">
        <v>78</v>
      </c>
      <c r="C26" s="108">
        <v>5</v>
      </c>
      <c r="D26" s="72">
        <v>43610</v>
      </c>
      <c r="E26" s="73">
        <f t="shared" si="4"/>
        <v>43610</v>
      </c>
      <c r="F26" s="55">
        <v>844</v>
      </c>
      <c r="G26" s="55">
        <v>800</v>
      </c>
      <c r="H26" s="74">
        <f t="shared" si="5"/>
        <v>1.0549999999999999</v>
      </c>
      <c r="I26" s="55">
        <v>31245.5</v>
      </c>
      <c r="J26" s="82">
        <f t="shared" si="6"/>
        <v>37.020734597156398</v>
      </c>
      <c r="K26" s="55">
        <v>15188.5</v>
      </c>
      <c r="L26" s="82">
        <f t="shared" si="7"/>
        <v>17.995853080568722</v>
      </c>
      <c r="M26" s="55">
        <v>15000</v>
      </c>
      <c r="N26" s="78">
        <f t="shared" si="8"/>
        <v>0.48006912995471346</v>
      </c>
      <c r="O26" s="55">
        <f t="shared" si="9"/>
        <v>9483.94</v>
      </c>
      <c r="P26" s="11">
        <f t="shared" si="10"/>
        <v>15188.5</v>
      </c>
      <c r="Q26" s="41">
        <f t="shared" si="11"/>
        <v>24672.440000000002</v>
      </c>
      <c r="R26" s="55">
        <f t="shared" si="22"/>
        <v>4741.97</v>
      </c>
      <c r="S26" s="11">
        <f t="shared" si="23"/>
        <v>7594.25</v>
      </c>
      <c r="T26" s="41">
        <f t="shared" si="24"/>
        <v>12336.220000000001</v>
      </c>
      <c r="U26" s="32">
        <f t="shared" si="25"/>
        <v>4741.97</v>
      </c>
      <c r="V26" s="11">
        <f t="shared" si="20"/>
        <v>7594.25</v>
      </c>
      <c r="W26" s="41">
        <f t="shared" si="21"/>
        <v>12336.220000000001</v>
      </c>
      <c r="X26" s="42">
        <v>9483.94</v>
      </c>
      <c r="Y26" s="43">
        <f t="shared" si="19"/>
        <v>24672.440000000002</v>
      </c>
      <c r="AB26" s="42">
        <f>AB22+AB23+AB25</f>
        <v>4239.7200000000012</v>
      </c>
    </row>
    <row r="27" spans="1:31" x14ac:dyDescent="0.3">
      <c r="A27" s="12">
        <v>21</v>
      </c>
      <c r="B27" s="65" t="s">
        <v>76</v>
      </c>
      <c r="C27" s="107">
        <v>5</v>
      </c>
      <c r="D27" s="66">
        <v>43611</v>
      </c>
      <c r="E27" s="67">
        <f t="shared" si="4"/>
        <v>43611</v>
      </c>
      <c r="F27" s="56">
        <v>823</v>
      </c>
      <c r="G27" s="56">
        <v>800</v>
      </c>
      <c r="H27" s="68">
        <f t="shared" si="5"/>
        <v>1.0287500000000001</v>
      </c>
      <c r="I27" s="56">
        <v>29160.5</v>
      </c>
      <c r="J27" s="83">
        <f t="shared" si="6"/>
        <v>35.431956257594166</v>
      </c>
      <c r="K27" s="56">
        <v>13424.5</v>
      </c>
      <c r="L27" s="83">
        <f t="shared" si="7"/>
        <v>16.311664641555286</v>
      </c>
      <c r="M27" s="56">
        <v>12000</v>
      </c>
      <c r="N27" s="70">
        <f t="shared" si="8"/>
        <v>0.41151557757925961</v>
      </c>
      <c r="O27" s="56">
        <f t="shared" si="9"/>
        <v>10680.97</v>
      </c>
      <c r="P27" s="17">
        <f t="shared" si="10"/>
        <v>13424.5</v>
      </c>
      <c r="Q27" s="51">
        <f t="shared" si="11"/>
        <v>24105.47</v>
      </c>
      <c r="R27" s="56">
        <f t="shared" si="22"/>
        <v>5340.4849999999997</v>
      </c>
      <c r="S27" s="17">
        <f t="shared" si="23"/>
        <v>6712.25</v>
      </c>
      <c r="T27" s="51">
        <f t="shared" si="24"/>
        <v>12052.735000000001</v>
      </c>
      <c r="U27" s="30">
        <f t="shared" si="25"/>
        <v>5340.4849999999997</v>
      </c>
      <c r="V27" s="17">
        <f t="shared" si="20"/>
        <v>6712.25</v>
      </c>
      <c r="W27" s="51">
        <f t="shared" si="21"/>
        <v>12052.735000000001</v>
      </c>
      <c r="X27" s="42">
        <v>10680.97</v>
      </c>
      <c r="Y27" s="43">
        <f t="shared" si="19"/>
        <v>24105.47</v>
      </c>
      <c r="AB27" s="47">
        <f>AB26/2</f>
        <v>2119.8600000000006</v>
      </c>
    </row>
    <row r="28" spans="1:31" x14ac:dyDescent="0.3">
      <c r="A28" s="7">
        <v>22</v>
      </c>
      <c r="B28" s="71" t="s">
        <v>77</v>
      </c>
      <c r="C28" s="108">
        <v>5</v>
      </c>
      <c r="D28" s="72">
        <v>43612</v>
      </c>
      <c r="E28" s="73">
        <f t="shared" si="4"/>
        <v>43612</v>
      </c>
      <c r="F28" s="55">
        <v>919</v>
      </c>
      <c r="G28" s="55">
        <v>800</v>
      </c>
      <c r="H28" s="74">
        <f t="shared" si="5"/>
        <v>1.1487499999999999</v>
      </c>
      <c r="I28" s="55">
        <v>33122</v>
      </c>
      <c r="J28" s="82">
        <f t="shared" si="6"/>
        <v>36.041349292709469</v>
      </c>
      <c r="K28" s="55">
        <v>14128.5</v>
      </c>
      <c r="L28" s="82">
        <f t="shared" si="7"/>
        <v>15.373775843307943</v>
      </c>
      <c r="M28" s="55">
        <v>12500</v>
      </c>
      <c r="N28" s="78">
        <f t="shared" si="8"/>
        <v>0.37739266952478717</v>
      </c>
      <c r="O28" s="55">
        <f t="shared" si="9"/>
        <v>13403.32</v>
      </c>
      <c r="P28" s="11">
        <f t="shared" si="10"/>
        <v>14128.5</v>
      </c>
      <c r="Q28" s="41">
        <f t="shared" si="11"/>
        <v>27531.82</v>
      </c>
      <c r="R28" s="55">
        <f t="shared" si="22"/>
        <v>6701.66</v>
      </c>
      <c r="S28" s="11">
        <f t="shared" si="23"/>
        <v>7064.25</v>
      </c>
      <c r="T28" s="41">
        <f t="shared" si="24"/>
        <v>13765.91</v>
      </c>
      <c r="U28" s="32">
        <f t="shared" si="25"/>
        <v>6701.66</v>
      </c>
      <c r="V28" s="11">
        <f t="shared" si="20"/>
        <v>7064.25</v>
      </c>
      <c r="W28" s="41">
        <f t="shared" si="21"/>
        <v>13765.91</v>
      </c>
      <c r="X28" s="42">
        <v>13403.32</v>
      </c>
      <c r="Y28" s="43">
        <f t="shared" si="19"/>
        <v>27531.82</v>
      </c>
    </row>
    <row r="29" spans="1:31" x14ac:dyDescent="0.3">
      <c r="A29" s="12">
        <v>23</v>
      </c>
      <c r="B29" s="65" t="s">
        <v>86</v>
      </c>
      <c r="C29" s="107">
        <v>8</v>
      </c>
      <c r="D29" s="66">
        <v>43617</v>
      </c>
      <c r="E29" s="67">
        <f t="shared" si="4"/>
        <v>43617</v>
      </c>
      <c r="F29" s="56">
        <v>252</v>
      </c>
      <c r="G29" s="56">
        <v>800</v>
      </c>
      <c r="H29" s="68">
        <f t="shared" si="5"/>
        <v>0.315</v>
      </c>
      <c r="I29" s="56">
        <v>2162.5</v>
      </c>
      <c r="J29" s="83">
        <f t="shared" si="6"/>
        <v>8.5813492063492056</v>
      </c>
      <c r="K29" s="56">
        <v>3595</v>
      </c>
      <c r="L29" s="83">
        <f t="shared" si="7"/>
        <v>14.265873015873016</v>
      </c>
      <c r="M29" s="56">
        <f>1250+425</f>
        <v>1675</v>
      </c>
      <c r="N29" s="70">
        <f t="shared" si="8"/>
        <v>0.77456647398843925</v>
      </c>
      <c r="O29" s="56">
        <f t="shared" si="9"/>
        <v>-1164.6600000000001</v>
      </c>
      <c r="P29" s="17">
        <f t="shared" si="10"/>
        <v>3595</v>
      </c>
      <c r="Q29" s="51">
        <f t="shared" si="11"/>
        <v>2430.34</v>
      </c>
      <c r="R29" s="56">
        <f t="shared" si="22"/>
        <v>-582.33000000000004</v>
      </c>
      <c r="S29" s="17">
        <f t="shared" si="23"/>
        <v>1797.5</v>
      </c>
      <c r="T29" s="51">
        <f t="shared" si="24"/>
        <v>1215.17</v>
      </c>
      <c r="U29" s="30">
        <f t="shared" si="25"/>
        <v>-582.33000000000004</v>
      </c>
      <c r="V29" s="17">
        <f t="shared" si="20"/>
        <v>1797.5</v>
      </c>
      <c r="W29" s="51">
        <f t="shared" si="21"/>
        <v>1215.17</v>
      </c>
      <c r="X29" s="42">
        <v>-1164.6600000000001</v>
      </c>
      <c r="Y29" s="43">
        <f t="shared" si="19"/>
        <v>2430.34</v>
      </c>
    </row>
    <row r="30" spans="1:31" x14ac:dyDescent="0.3">
      <c r="A30" s="7">
        <v>24</v>
      </c>
      <c r="B30" s="71" t="s">
        <v>91</v>
      </c>
      <c r="C30" s="108">
        <v>5</v>
      </c>
      <c r="D30" s="72">
        <v>43631</v>
      </c>
      <c r="E30" s="73">
        <f t="shared" si="4"/>
        <v>43631</v>
      </c>
      <c r="F30" s="55">
        <v>286</v>
      </c>
      <c r="G30" s="55">
        <v>600</v>
      </c>
      <c r="H30" s="74">
        <f t="shared" si="5"/>
        <v>0.47666666666666668</v>
      </c>
      <c r="I30" s="55">
        <f>780</f>
        <v>780</v>
      </c>
      <c r="J30" s="82">
        <f t="shared" si="6"/>
        <v>2.7272727272727271</v>
      </c>
      <c r="K30" s="55">
        <v>2748</v>
      </c>
      <c r="L30" s="82">
        <f t="shared" si="7"/>
        <v>9.6083916083916083</v>
      </c>
      <c r="M30" s="55">
        <v>0</v>
      </c>
      <c r="N30" s="78">
        <f t="shared" si="8"/>
        <v>0</v>
      </c>
      <c r="O30" s="55">
        <f t="shared" si="9"/>
        <v>-383</v>
      </c>
      <c r="P30" s="11">
        <f t="shared" si="10"/>
        <v>2748</v>
      </c>
      <c r="Q30" s="41">
        <f t="shared" si="11"/>
        <v>2365</v>
      </c>
      <c r="R30" s="55">
        <f t="shared" si="22"/>
        <v>-191.5</v>
      </c>
      <c r="S30" s="11">
        <f t="shared" si="23"/>
        <v>1374</v>
      </c>
      <c r="T30" s="41">
        <f t="shared" si="24"/>
        <v>1182.5</v>
      </c>
      <c r="U30" s="32">
        <f t="shared" si="25"/>
        <v>-191.5</v>
      </c>
      <c r="V30" s="11">
        <f t="shared" si="20"/>
        <v>1374</v>
      </c>
      <c r="W30" s="41">
        <f t="shared" si="21"/>
        <v>1182.5</v>
      </c>
      <c r="X30" s="42">
        <v>-383</v>
      </c>
      <c r="Y30" s="43">
        <f t="shared" si="19"/>
        <v>2365</v>
      </c>
    </row>
    <row r="31" spans="1:31" x14ac:dyDescent="0.3">
      <c r="A31" s="12">
        <v>25</v>
      </c>
      <c r="B31" s="65" t="s">
        <v>96</v>
      </c>
      <c r="C31" s="107">
        <v>1</v>
      </c>
      <c r="D31" s="66">
        <v>43659</v>
      </c>
      <c r="E31" s="67">
        <f t="shared" si="4"/>
        <v>43659</v>
      </c>
      <c r="F31" s="56">
        <v>329</v>
      </c>
      <c r="G31" s="56">
        <v>700</v>
      </c>
      <c r="H31" s="68">
        <f t="shared" si="5"/>
        <v>0.47</v>
      </c>
      <c r="I31" s="56">
        <v>6575</v>
      </c>
      <c r="J31" s="83">
        <f t="shared" si="6"/>
        <v>19.984802431610941</v>
      </c>
      <c r="K31" s="56">
        <v>5856</v>
      </c>
      <c r="L31" s="83">
        <f t="shared" si="7"/>
        <v>17.799392097264437</v>
      </c>
      <c r="M31" s="56">
        <f>1250+1000+1000+1000+400</f>
        <v>4650</v>
      </c>
      <c r="N31" s="70">
        <f t="shared" si="8"/>
        <v>0.70722433460076051</v>
      </c>
      <c r="O31" s="56">
        <f t="shared" si="9"/>
        <v>-1431.28</v>
      </c>
      <c r="P31" s="17">
        <f t="shared" si="10"/>
        <v>5856</v>
      </c>
      <c r="Q31" s="51">
        <f t="shared" si="11"/>
        <v>4424.72</v>
      </c>
      <c r="R31" s="56">
        <f t="shared" si="22"/>
        <v>-715.64</v>
      </c>
      <c r="S31" s="17">
        <f t="shared" si="23"/>
        <v>2928</v>
      </c>
      <c r="T31" s="51">
        <f t="shared" si="24"/>
        <v>2212.36</v>
      </c>
      <c r="U31" s="30">
        <f t="shared" si="25"/>
        <v>-715.64</v>
      </c>
      <c r="V31" s="17">
        <f t="shared" si="20"/>
        <v>2928</v>
      </c>
      <c r="W31" s="51">
        <f t="shared" si="21"/>
        <v>2212.36</v>
      </c>
      <c r="X31" s="42">
        <v>-1431.28</v>
      </c>
      <c r="Y31" s="43">
        <f>T31+W31</f>
        <v>4424.72</v>
      </c>
    </row>
    <row r="32" spans="1:31" x14ac:dyDescent="0.3">
      <c r="A32" s="7">
        <v>26</v>
      </c>
      <c r="B32" s="71" t="s">
        <v>95</v>
      </c>
      <c r="C32" s="108">
        <v>3</v>
      </c>
      <c r="D32" s="72">
        <v>43671</v>
      </c>
      <c r="E32" s="73">
        <f t="shared" si="4"/>
        <v>43671</v>
      </c>
      <c r="F32" s="55">
        <v>46</v>
      </c>
      <c r="G32" s="55">
        <v>700</v>
      </c>
      <c r="H32" s="74">
        <f t="shared" si="5"/>
        <v>6.5714285714285711E-2</v>
      </c>
      <c r="I32" s="55">
        <f>1020+98.5</f>
        <v>1118.5</v>
      </c>
      <c r="J32" s="82">
        <f t="shared" si="6"/>
        <v>24.315217391304348</v>
      </c>
      <c r="K32" s="55">
        <v>317.89999999999998</v>
      </c>
      <c r="L32" s="82">
        <f t="shared" si="7"/>
        <v>6.910869565217391</v>
      </c>
      <c r="M32" s="55">
        <v>1500</v>
      </c>
      <c r="N32" s="78">
        <f t="shared" si="8"/>
        <v>1.3410818059901655</v>
      </c>
      <c r="O32" s="55">
        <f t="shared" si="9"/>
        <v>-2073.41</v>
      </c>
      <c r="P32" s="11">
        <f t="shared" si="10"/>
        <v>317.89999999999998</v>
      </c>
      <c r="Q32" s="41">
        <f>O32+P32</f>
        <v>-1755.5099999999998</v>
      </c>
      <c r="R32" s="55">
        <f>(X32+AA32-AB32)*50%</f>
        <v>-1036.7049999999999</v>
      </c>
      <c r="S32" s="11">
        <f t="shared" si="23"/>
        <v>158.94999999999999</v>
      </c>
      <c r="T32" s="41">
        <f>R32+S32</f>
        <v>-877.75499999999988</v>
      </c>
      <c r="U32" s="32">
        <f t="shared" si="25"/>
        <v>-1036.7049999999999</v>
      </c>
      <c r="V32" s="11">
        <f t="shared" si="20"/>
        <v>158.94999999999999</v>
      </c>
      <c r="W32" s="41">
        <f>U32+V32</f>
        <v>-877.75499999999988</v>
      </c>
      <c r="X32" s="42">
        <v>-2171.91</v>
      </c>
      <c r="Y32" s="43">
        <f t="shared" si="19"/>
        <v>-1755.5099999999998</v>
      </c>
      <c r="AA32" s="42">
        <v>98.5</v>
      </c>
      <c r="AD32" s="43">
        <f>I32</f>
        <v>1118.5</v>
      </c>
    </row>
    <row r="33" spans="1:30" x14ac:dyDescent="0.3">
      <c r="A33" s="12">
        <v>27</v>
      </c>
      <c r="B33" s="65" t="s">
        <v>97</v>
      </c>
      <c r="C33" s="107">
        <v>3</v>
      </c>
      <c r="D33" s="66">
        <v>43672</v>
      </c>
      <c r="E33" s="67">
        <f t="shared" si="4"/>
        <v>43672</v>
      </c>
      <c r="F33" s="56">
        <v>439</v>
      </c>
      <c r="G33" s="56">
        <v>700</v>
      </c>
      <c r="H33" s="68">
        <f t="shared" si="5"/>
        <v>0.62714285714285711</v>
      </c>
      <c r="I33" s="56">
        <f>8226+AA33</f>
        <v>9392</v>
      </c>
      <c r="J33" s="83">
        <f t="shared" si="6"/>
        <v>21.394077448747154</v>
      </c>
      <c r="K33" s="56">
        <v>4401</v>
      </c>
      <c r="L33" s="83">
        <f t="shared" si="7"/>
        <v>10.025056947608201</v>
      </c>
      <c r="M33" s="56">
        <v>7000</v>
      </c>
      <c r="N33" s="70">
        <f t="shared" si="8"/>
        <v>0.74531516183986368</v>
      </c>
      <c r="O33" s="56">
        <f t="shared" si="9"/>
        <v>-873.63000000000011</v>
      </c>
      <c r="P33" s="17">
        <f t="shared" si="10"/>
        <v>4401</v>
      </c>
      <c r="Q33" s="51">
        <f>O33+P33</f>
        <v>3527.37</v>
      </c>
      <c r="R33" s="56">
        <f>(X33+AA33-AB33)*50%</f>
        <v>-436.81500000000005</v>
      </c>
      <c r="S33" s="17">
        <f t="shared" si="23"/>
        <v>2200.5</v>
      </c>
      <c r="T33" s="51">
        <f>R33+S33</f>
        <v>1763.6849999999999</v>
      </c>
      <c r="U33" s="30">
        <f>R33</f>
        <v>-436.81500000000005</v>
      </c>
      <c r="V33" s="17">
        <f t="shared" si="20"/>
        <v>2200.5</v>
      </c>
      <c r="W33" s="51">
        <f>U33+V33</f>
        <v>1763.6849999999999</v>
      </c>
      <c r="X33" s="42">
        <f>-2039.63</f>
        <v>-2039.63</v>
      </c>
      <c r="Y33" s="43">
        <f t="shared" si="19"/>
        <v>3527.37</v>
      </c>
      <c r="AA33" s="42">
        <f>881+285</f>
        <v>1166</v>
      </c>
      <c r="AD33" s="46">
        <f>R33+U33</f>
        <v>-873.63000000000011</v>
      </c>
    </row>
    <row r="34" spans="1:30" x14ac:dyDescent="0.3">
      <c r="A34" s="7">
        <v>28</v>
      </c>
      <c r="B34" s="71" t="s">
        <v>129</v>
      </c>
      <c r="C34" s="156">
        <v>8</v>
      </c>
      <c r="D34" s="72">
        <v>43673</v>
      </c>
      <c r="E34" s="73">
        <f t="shared" si="4"/>
        <v>43673</v>
      </c>
      <c r="F34" s="55">
        <v>249</v>
      </c>
      <c r="G34" s="55">
        <v>700</v>
      </c>
      <c r="H34" s="74">
        <f t="shared" si="5"/>
        <v>0.35571428571428571</v>
      </c>
      <c r="I34" s="55">
        <v>5006.25</v>
      </c>
      <c r="J34" s="82">
        <f t="shared" si="6"/>
        <v>20.10542168674699</v>
      </c>
      <c r="K34" s="55">
        <v>2976</v>
      </c>
      <c r="L34" s="82">
        <f t="shared" si="7"/>
        <v>11.951807228915662</v>
      </c>
      <c r="M34" s="55">
        <v>2900</v>
      </c>
      <c r="N34" s="78">
        <f t="shared" si="8"/>
        <v>0.57927590511860172</v>
      </c>
      <c r="O34" s="55">
        <f t="shared" si="9"/>
        <v>-359.2</v>
      </c>
      <c r="P34" s="11">
        <f t="shared" si="10"/>
        <v>2976</v>
      </c>
      <c r="Q34" s="41">
        <f t="shared" ref="Q34:Q37" si="26">O34+P34</f>
        <v>2616.8000000000002</v>
      </c>
      <c r="R34" s="55">
        <f t="shared" ref="R34:R37" si="27">(X34+AA34-AB34)*50%</f>
        <v>-179.6</v>
      </c>
      <c r="S34" s="11">
        <f t="shared" ref="S34:S37" si="28">K34*50%</f>
        <v>1488</v>
      </c>
      <c r="T34" s="41">
        <f t="shared" ref="T34:T37" si="29">R34+S34</f>
        <v>1308.4000000000001</v>
      </c>
      <c r="U34" s="32">
        <f t="shared" ref="U34:U37" si="30">R34</f>
        <v>-179.6</v>
      </c>
      <c r="V34" s="11">
        <f t="shared" ref="V34:V37" si="31">K34*50%</f>
        <v>1488</v>
      </c>
      <c r="W34" s="41">
        <f t="shared" ref="W34:W37" si="32">U34+V34</f>
        <v>1308.4000000000001</v>
      </c>
      <c r="X34" s="42">
        <v>-359.2</v>
      </c>
      <c r="Y34" s="43"/>
      <c r="AD34" s="46"/>
    </row>
    <row r="35" spans="1:30" x14ac:dyDescent="0.3">
      <c r="A35" s="12">
        <v>29</v>
      </c>
      <c r="B35" s="65" t="s">
        <v>130</v>
      </c>
      <c r="C35" s="107">
        <v>8</v>
      </c>
      <c r="D35" s="66">
        <v>43680</v>
      </c>
      <c r="E35" s="67">
        <f>D35</f>
        <v>43680</v>
      </c>
      <c r="F35" s="56">
        <v>306</v>
      </c>
      <c r="G35" s="56">
        <v>700</v>
      </c>
      <c r="H35" s="68">
        <f t="shared" si="5"/>
        <v>0.43714285714285717</v>
      </c>
      <c r="I35" s="56">
        <v>5794.25</v>
      </c>
      <c r="J35" s="83">
        <f t="shared" si="6"/>
        <v>18.93545751633987</v>
      </c>
      <c r="K35" s="56">
        <v>4634</v>
      </c>
      <c r="L35" s="83">
        <f t="shared" si="7"/>
        <v>15.143790849673202</v>
      </c>
      <c r="M35" s="56">
        <v>4400</v>
      </c>
      <c r="N35" s="70">
        <f t="shared" si="8"/>
        <v>0.75937351684859988</v>
      </c>
      <c r="O35" s="56">
        <f t="shared" si="9"/>
        <v>-1326.82</v>
      </c>
      <c r="P35" s="17">
        <f t="shared" si="10"/>
        <v>4634</v>
      </c>
      <c r="Q35" s="51">
        <f t="shared" si="26"/>
        <v>3307.1800000000003</v>
      </c>
      <c r="R35" s="56">
        <f t="shared" si="27"/>
        <v>-663.41</v>
      </c>
      <c r="S35" s="17">
        <f t="shared" si="28"/>
        <v>2317</v>
      </c>
      <c r="T35" s="51">
        <f t="shared" si="29"/>
        <v>1653.5900000000001</v>
      </c>
      <c r="U35" s="30">
        <f t="shared" si="30"/>
        <v>-663.41</v>
      </c>
      <c r="V35" s="17">
        <f t="shared" si="31"/>
        <v>2317</v>
      </c>
      <c r="W35" s="51">
        <f t="shared" si="32"/>
        <v>1653.5900000000001</v>
      </c>
      <c r="X35" s="42">
        <v>-1326.82</v>
      </c>
      <c r="Y35" s="43"/>
      <c r="AD35" s="46"/>
    </row>
    <row r="36" spans="1:30" x14ac:dyDescent="0.3">
      <c r="A36" s="7">
        <v>30</v>
      </c>
      <c r="B36" s="71" t="s">
        <v>131</v>
      </c>
      <c r="C36" s="108">
        <v>5</v>
      </c>
      <c r="D36" s="72">
        <v>43686</v>
      </c>
      <c r="E36" s="73">
        <f>D36</f>
        <v>43686</v>
      </c>
      <c r="F36" s="55">
        <v>373</v>
      </c>
      <c r="G36" s="55">
        <v>700</v>
      </c>
      <c r="H36" s="74">
        <f t="shared" si="5"/>
        <v>0.53285714285714281</v>
      </c>
      <c r="I36" s="55">
        <v>7918.5</v>
      </c>
      <c r="J36" s="82">
        <f t="shared" si="6"/>
        <v>21.229222520107239</v>
      </c>
      <c r="K36" s="55">
        <v>8868</v>
      </c>
      <c r="L36" s="82">
        <f t="shared" si="7"/>
        <v>23.77479892761394</v>
      </c>
      <c r="M36" s="55">
        <v>5450</v>
      </c>
      <c r="N36" s="78">
        <f t="shared" si="8"/>
        <v>0.68826166571951763</v>
      </c>
      <c r="O36" s="55">
        <f t="shared" si="9"/>
        <v>-1515.91</v>
      </c>
      <c r="P36" s="11">
        <f t="shared" si="10"/>
        <v>8868</v>
      </c>
      <c r="Q36" s="41">
        <f t="shared" si="26"/>
        <v>7352.09</v>
      </c>
      <c r="R36" s="55">
        <f t="shared" si="27"/>
        <v>-757.95500000000004</v>
      </c>
      <c r="S36" s="11">
        <f t="shared" si="28"/>
        <v>4434</v>
      </c>
      <c r="T36" s="41">
        <f t="shared" si="29"/>
        <v>3676.0450000000001</v>
      </c>
      <c r="U36" s="32">
        <f t="shared" si="30"/>
        <v>-757.95500000000004</v>
      </c>
      <c r="V36" s="11">
        <f t="shared" si="31"/>
        <v>4434</v>
      </c>
      <c r="W36" s="41">
        <f t="shared" si="32"/>
        <v>3676.0450000000001</v>
      </c>
      <c r="X36" s="42">
        <v>-1515.91</v>
      </c>
      <c r="Y36" s="43"/>
      <c r="AD36" s="46"/>
    </row>
    <row r="37" spans="1:30" x14ac:dyDescent="0.3">
      <c r="A37" s="12">
        <v>31</v>
      </c>
      <c r="B37" s="65" t="s">
        <v>132</v>
      </c>
      <c r="C37" s="107">
        <v>1</v>
      </c>
      <c r="D37" s="66">
        <v>43693</v>
      </c>
      <c r="E37" s="67">
        <f>D37</f>
        <v>43693</v>
      </c>
      <c r="F37" s="56">
        <v>156</v>
      </c>
      <c r="G37" s="56">
        <v>700</v>
      </c>
      <c r="H37" s="68">
        <f t="shared" si="5"/>
        <v>0.22285714285714286</v>
      </c>
      <c r="I37" s="56">
        <v>3329.5</v>
      </c>
      <c r="J37" s="83">
        <f t="shared" si="6"/>
        <v>21.342948717948719</v>
      </c>
      <c r="K37" s="56">
        <v>1971</v>
      </c>
      <c r="L37" s="83">
        <f t="shared" si="7"/>
        <v>12.634615384615385</v>
      </c>
      <c r="M37" s="56">
        <v>4850</v>
      </c>
      <c r="N37" s="70">
        <f t="shared" si="8"/>
        <v>1.4566751764529209</v>
      </c>
      <c r="O37" s="56">
        <f t="shared" si="9"/>
        <v>-3924.69</v>
      </c>
      <c r="P37" s="17">
        <f t="shared" si="10"/>
        <v>1971</v>
      </c>
      <c r="Q37" s="51">
        <f t="shared" si="26"/>
        <v>-1953.69</v>
      </c>
      <c r="R37" s="56">
        <f t="shared" si="27"/>
        <v>-1962.345</v>
      </c>
      <c r="S37" s="17">
        <f t="shared" si="28"/>
        <v>985.5</v>
      </c>
      <c r="T37" s="51">
        <f t="shared" si="29"/>
        <v>-976.84500000000003</v>
      </c>
      <c r="U37" s="30">
        <f t="shared" si="30"/>
        <v>-1962.345</v>
      </c>
      <c r="V37" s="17">
        <f t="shared" si="31"/>
        <v>985.5</v>
      </c>
      <c r="W37" s="51">
        <f t="shared" si="32"/>
        <v>-976.84500000000003</v>
      </c>
      <c r="X37" s="42">
        <v>-3924.69</v>
      </c>
      <c r="Y37" s="43"/>
      <c r="AD37" s="46"/>
    </row>
    <row r="38" spans="1:30" x14ac:dyDescent="0.3">
      <c r="A38" s="7">
        <v>32</v>
      </c>
      <c r="B38" s="71" t="s">
        <v>98</v>
      </c>
      <c r="C38" s="108">
        <v>2</v>
      </c>
      <c r="D38" s="72">
        <v>43705</v>
      </c>
      <c r="E38" s="73">
        <f t="shared" si="4"/>
        <v>43705</v>
      </c>
      <c r="F38" s="55">
        <v>593</v>
      </c>
      <c r="G38" s="55">
        <v>800</v>
      </c>
      <c r="H38" s="74">
        <f t="shared" si="5"/>
        <v>0.74124999999999996</v>
      </c>
      <c r="I38" s="55">
        <f>19845+2537.75</f>
        <v>22382.75</v>
      </c>
      <c r="J38" s="82">
        <f t="shared" si="6"/>
        <v>37.744940978077572</v>
      </c>
      <c r="K38" s="55">
        <v>1593</v>
      </c>
      <c r="L38" s="82">
        <f t="shared" si="7"/>
        <v>2.6863406408094437</v>
      </c>
      <c r="M38" s="55">
        <v>11500</v>
      </c>
      <c r="N38" s="78">
        <f t="shared" si="8"/>
        <v>0.51378852017736876</v>
      </c>
      <c r="O38" s="55">
        <f>R38+U38</f>
        <v>567.19999999999982</v>
      </c>
      <c r="P38" s="11">
        <f>S38+V38</f>
        <v>1593</v>
      </c>
      <c r="Q38" s="41">
        <f>O38+P38</f>
        <v>2160.1999999999998</v>
      </c>
      <c r="R38" s="55">
        <f>(X38+AA38-AB38)*50%</f>
        <v>283.59999999999991</v>
      </c>
      <c r="S38" s="11">
        <f t="shared" si="23"/>
        <v>796.5</v>
      </c>
      <c r="T38" s="41">
        <f>R38+S38</f>
        <v>1080.0999999999999</v>
      </c>
      <c r="U38" s="32">
        <f>R38</f>
        <v>283.59999999999991</v>
      </c>
      <c r="V38" s="11">
        <f t="shared" si="20"/>
        <v>796.5</v>
      </c>
      <c r="W38" s="41">
        <f>U38+V38</f>
        <v>1080.0999999999999</v>
      </c>
      <c r="X38" s="42">
        <v>-191.55</v>
      </c>
      <c r="Y38" s="43">
        <f t="shared" si="19"/>
        <v>2160.1999999999998</v>
      </c>
      <c r="AA38" s="42">
        <f>1562.75+510+465</f>
        <v>2537.75</v>
      </c>
      <c r="AB38" s="42">
        <v>1779</v>
      </c>
    </row>
    <row r="39" spans="1:30" x14ac:dyDescent="0.3">
      <c r="A39" s="12">
        <v>33</v>
      </c>
      <c r="B39" s="65" t="s">
        <v>133</v>
      </c>
      <c r="C39" s="107">
        <v>3</v>
      </c>
      <c r="D39" s="66">
        <v>43707</v>
      </c>
      <c r="E39" s="67">
        <f t="shared" si="4"/>
        <v>43707</v>
      </c>
      <c r="F39" s="56">
        <v>261</v>
      </c>
      <c r="G39" s="56">
        <v>600</v>
      </c>
      <c r="H39" s="68">
        <f t="shared" si="5"/>
        <v>0.435</v>
      </c>
      <c r="I39" s="56">
        <v>4671</v>
      </c>
      <c r="J39" s="83">
        <f t="shared" si="6"/>
        <v>17.896551724137932</v>
      </c>
      <c r="K39" s="56">
        <v>4031</v>
      </c>
      <c r="L39" s="83">
        <f>IFERROR(K39/F39,"")</f>
        <v>15.444444444444445</v>
      </c>
      <c r="M39" s="56">
        <v>5050</v>
      </c>
      <c r="N39" s="70">
        <f t="shared" si="8"/>
        <v>1.0811389424106188</v>
      </c>
      <c r="O39" s="56">
        <f t="shared" ref="O39:O67" si="33">R39+U39</f>
        <v>-2665.01</v>
      </c>
      <c r="P39" s="17">
        <f t="shared" ref="P39:P67" si="34">S39+V39</f>
        <v>4031</v>
      </c>
      <c r="Q39" s="51">
        <f t="shared" ref="Q39:Q67" si="35">O39+P39</f>
        <v>1365.9899999999998</v>
      </c>
      <c r="R39" s="56">
        <f t="shared" ref="R39:R67" si="36">(X39+AA39-AB39)*50%</f>
        <v>-1332.5050000000001</v>
      </c>
      <c r="S39" s="17">
        <f t="shared" ref="S39:S67" si="37">K39*50%</f>
        <v>2015.5</v>
      </c>
      <c r="T39" s="51">
        <f t="shared" ref="T39:T67" si="38">R39+S39</f>
        <v>682.99499999999989</v>
      </c>
      <c r="U39" s="30">
        <f t="shared" ref="U39:U67" si="39">R39</f>
        <v>-1332.5050000000001</v>
      </c>
      <c r="V39" s="17">
        <f t="shared" ref="V39:V67" si="40">K39*50%</f>
        <v>2015.5</v>
      </c>
      <c r="W39" s="51">
        <f t="shared" ref="W39:W67" si="41">U39+V39</f>
        <v>682.99499999999989</v>
      </c>
      <c r="X39" s="42">
        <v>-2890.76</v>
      </c>
      <c r="AA39" s="42">
        <f>326.75+160</f>
        <v>486.75</v>
      </c>
      <c r="AB39" s="42">
        <v>261</v>
      </c>
    </row>
    <row r="40" spans="1:30" x14ac:dyDescent="0.3">
      <c r="A40" s="7">
        <v>34</v>
      </c>
      <c r="B40" s="71" t="s">
        <v>134</v>
      </c>
      <c r="C40" s="108">
        <v>2</v>
      </c>
      <c r="D40" s="72">
        <v>43713</v>
      </c>
      <c r="E40" s="73">
        <f t="shared" si="4"/>
        <v>43713</v>
      </c>
      <c r="F40" s="55">
        <v>44</v>
      </c>
      <c r="G40" s="55">
        <v>700</v>
      </c>
      <c r="H40" s="74">
        <f t="shared" si="5"/>
        <v>6.2857142857142861E-2</v>
      </c>
      <c r="I40" s="55">
        <f>489+AA40</f>
        <v>587.5</v>
      </c>
      <c r="J40" s="82">
        <f t="shared" si="6"/>
        <v>13.352272727272727</v>
      </c>
      <c r="K40" s="55">
        <v>580</v>
      </c>
      <c r="L40" s="82">
        <f t="shared" si="7"/>
        <v>13.181818181818182</v>
      </c>
      <c r="M40" s="55">
        <v>1200</v>
      </c>
      <c r="N40" s="78">
        <f t="shared" si="8"/>
        <v>2.0425531914893615</v>
      </c>
      <c r="O40" s="55">
        <f t="shared" si="33"/>
        <v>-1911.52</v>
      </c>
      <c r="P40" s="11">
        <f t="shared" si="34"/>
        <v>580</v>
      </c>
      <c r="Q40" s="41">
        <f t="shared" si="35"/>
        <v>-1331.52</v>
      </c>
      <c r="R40" s="55">
        <f t="shared" si="36"/>
        <v>-955.76</v>
      </c>
      <c r="S40" s="11">
        <f t="shared" si="37"/>
        <v>290</v>
      </c>
      <c r="T40" s="41">
        <f t="shared" si="38"/>
        <v>-665.76</v>
      </c>
      <c r="U40" s="32">
        <f t="shared" si="39"/>
        <v>-955.76</v>
      </c>
      <c r="V40" s="11">
        <f t="shared" si="40"/>
        <v>290</v>
      </c>
      <c r="W40" s="41">
        <f t="shared" si="41"/>
        <v>-665.76</v>
      </c>
      <c r="X40" s="42">
        <v>-1878.02</v>
      </c>
      <c r="AA40" s="42">
        <v>98.5</v>
      </c>
      <c r="AB40" s="42">
        <v>132</v>
      </c>
    </row>
    <row r="41" spans="1:30" x14ac:dyDescent="0.3">
      <c r="A41" s="12">
        <v>35</v>
      </c>
      <c r="B41" s="65" t="s">
        <v>135</v>
      </c>
      <c r="C41" s="107">
        <v>2</v>
      </c>
      <c r="D41" s="66">
        <v>43715</v>
      </c>
      <c r="E41" s="67">
        <f t="shared" si="4"/>
        <v>43715</v>
      </c>
      <c r="F41" s="56">
        <v>591</v>
      </c>
      <c r="G41" s="56">
        <v>850</v>
      </c>
      <c r="H41" s="68">
        <f t="shared" si="5"/>
        <v>0.69529411764705884</v>
      </c>
      <c r="I41" s="56">
        <f>13280+AA41</f>
        <v>14479.5</v>
      </c>
      <c r="J41" s="83">
        <f t="shared" si="6"/>
        <v>24.5</v>
      </c>
      <c r="K41" s="56">
        <v>13713</v>
      </c>
      <c r="L41" s="83">
        <f t="shared" si="7"/>
        <v>23.203045685279189</v>
      </c>
      <c r="M41" s="56">
        <v>10750</v>
      </c>
      <c r="N41" s="70">
        <f t="shared" si="8"/>
        <v>0.74242895127594188</v>
      </c>
      <c r="O41" s="56">
        <f t="shared" si="33"/>
        <v>-994.47</v>
      </c>
      <c r="P41" s="17">
        <f t="shared" si="34"/>
        <v>13713</v>
      </c>
      <c r="Q41" s="51">
        <f t="shared" si="35"/>
        <v>12718.53</v>
      </c>
      <c r="R41" s="56">
        <f t="shared" si="36"/>
        <v>-497.23500000000001</v>
      </c>
      <c r="S41" s="17">
        <f t="shared" si="37"/>
        <v>6856.5</v>
      </c>
      <c r="T41" s="51">
        <f t="shared" si="38"/>
        <v>6359.2650000000003</v>
      </c>
      <c r="U41" s="30">
        <f t="shared" si="39"/>
        <v>-497.23500000000001</v>
      </c>
      <c r="V41" s="17">
        <f t="shared" si="40"/>
        <v>6856.5</v>
      </c>
      <c r="W41" s="51">
        <f t="shared" si="41"/>
        <v>6359.2650000000003</v>
      </c>
      <c r="X41" s="42">
        <v>-420.97</v>
      </c>
      <c r="AA41" s="42">
        <v>1199.5</v>
      </c>
      <c r="AB41" s="42">
        <v>1773</v>
      </c>
    </row>
    <row r="42" spans="1:30" x14ac:dyDescent="0.3">
      <c r="A42" s="7">
        <v>36</v>
      </c>
      <c r="B42" s="71" t="s">
        <v>136</v>
      </c>
      <c r="C42" s="108">
        <v>5</v>
      </c>
      <c r="D42" s="72">
        <v>43721</v>
      </c>
      <c r="E42" s="73">
        <f t="shared" si="4"/>
        <v>43721</v>
      </c>
      <c r="F42" s="55">
        <v>284</v>
      </c>
      <c r="G42" s="55">
        <v>700</v>
      </c>
      <c r="H42" s="74">
        <f t="shared" si="5"/>
        <v>0.40571428571428569</v>
      </c>
      <c r="I42" s="55">
        <v>5387</v>
      </c>
      <c r="J42" s="82">
        <f t="shared" si="6"/>
        <v>18.968309859154928</v>
      </c>
      <c r="K42" s="55">
        <v>6149</v>
      </c>
      <c r="L42" s="82">
        <f t="shared" si="7"/>
        <v>21.651408450704224</v>
      </c>
      <c r="M42" s="55">
        <v>3400</v>
      </c>
      <c r="N42" s="78">
        <f t="shared" si="8"/>
        <v>0.63114906255801007</v>
      </c>
      <c r="O42" s="55">
        <f t="shared" si="33"/>
        <v>-1535.36</v>
      </c>
      <c r="P42" s="11">
        <f t="shared" si="34"/>
        <v>6149</v>
      </c>
      <c r="Q42" s="41">
        <f t="shared" si="35"/>
        <v>4613.6400000000003</v>
      </c>
      <c r="R42" s="55">
        <f t="shared" si="36"/>
        <v>-767.68</v>
      </c>
      <c r="S42" s="11">
        <f t="shared" si="37"/>
        <v>3074.5</v>
      </c>
      <c r="T42" s="41">
        <f t="shared" si="38"/>
        <v>2306.8200000000002</v>
      </c>
      <c r="U42" s="32">
        <f t="shared" si="39"/>
        <v>-767.68</v>
      </c>
      <c r="V42" s="11">
        <f t="shared" si="40"/>
        <v>3074.5</v>
      </c>
      <c r="W42" s="41">
        <f t="shared" si="41"/>
        <v>2306.8200000000002</v>
      </c>
      <c r="X42" s="42">
        <v>-1535.36</v>
      </c>
    </row>
    <row r="43" spans="1:30" x14ac:dyDescent="0.3">
      <c r="A43" s="12">
        <v>37</v>
      </c>
      <c r="B43" s="65" t="s">
        <v>137</v>
      </c>
      <c r="C43" s="107">
        <v>8</v>
      </c>
      <c r="D43" s="66">
        <v>43722</v>
      </c>
      <c r="E43" s="67">
        <f t="shared" si="4"/>
        <v>43722</v>
      </c>
      <c r="F43" s="56">
        <v>350</v>
      </c>
      <c r="G43" s="56">
        <v>750</v>
      </c>
      <c r="H43" s="68">
        <f t="shared" si="5"/>
        <v>0.46666666666666667</v>
      </c>
      <c r="I43" s="56">
        <v>7013.75</v>
      </c>
      <c r="J43" s="83">
        <f t="shared" si="6"/>
        <v>20.039285714285715</v>
      </c>
      <c r="K43" s="56">
        <v>5611</v>
      </c>
      <c r="L43" s="83">
        <f t="shared" si="7"/>
        <v>16.03142857142857</v>
      </c>
      <c r="M43" s="56">
        <v>3650</v>
      </c>
      <c r="N43" s="70">
        <f t="shared" si="8"/>
        <v>0.52040634468009273</v>
      </c>
      <c r="O43" s="56">
        <f t="shared" si="33"/>
        <v>680.98</v>
      </c>
      <c r="P43" s="17">
        <f t="shared" si="34"/>
        <v>5611</v>
      </c>
      <c r="Q43" s="51">
        <f t="shared" si="35"/>
        <v>6291.98</v>
      </c>
      <c r="R43" s="56">
        <f t="shared" si="36"/>
        <v>340.49</v>
      </c>
      <c r="S43" s="17">
        <f t="shared" si="37"/>
        <v>2805.5</v>
      </c>
      <c r="T43" s="51">
        <f t="shared" si="38"/>
        <v>3145.99</v>
      </c>
      <c r="U43" s="30">
        <f t="shared" si="39"/>
        <v>340.49</v>
      </c>
      <c r="V43" s="17">
        <f t="shared" si="40"/>
        <v>2805.5</v>
      </c>
      <c r="W43" s="51">
        <f t="shared" si="41"/>
        <v>3145.99</v>
      </c>
      <c r="X43" s="42">
        <v>680.98</v>
      </c>
    </row>
    <row r="44" spans="1:30" x14ac:dyDescent="0.3">
      <c r="A44" s="7">
        <v>38</v>
      </c>
      <c r="B44" s="71" t="s">
        <v>138</v>
      </c>
      <c r="C44" s="108">
        <v>3</v>
      </c>
      <c r="D44" s="72">
        <v>43728</v>
      </c>
      <c r="E44" s="73">
        <f t="shared" si="4"/>
        <v>43728</v>
      </c>
      <c r="F44" s="55">
        <v>132</v>
      </c>
      <c r="G44" s="55">
        <v>750</v>
      </c>
      <c r="H44" s="74">
        <f t="shared" si="5"/>
        <v>0.17599999999999999</v>
      </c>
      <c r="I44" s="55">
        <f>2512+AA44</f>
        <v>2718.25</v>
      </c>
      <c r="J44" s="82">
        <f t="shared" si="6"/>
        <v>20.592803030303031</v>
      </c>
      <c r="K44" s="55">
        <v>2181</v>
      </c>
      <c r="L44" s="82">
        <f t="shared" si="7"/>
        <v>16.522727272727273</v>
      </c>
      <c r="M44" s="55">
        <v>3000</v>
      </c>
      <c r="N44" s="78">
        <f t="shared" si="8"/>
        <v>1.1036512462061989</v>
      </c>
      <c r="O44" s="55">
        <f t="shared" si="33"/>
        <v>-2935.25</v>
      </c>
      <c r="P44" s="11">
        <f t="shared" si="34"/>
        <v>2181</v>
      </c>
      <c r="Q44" s="41">
        <f t="shared" si="35"/>
        <v>-754.25</v>
      </c>
      <c r="R44" s="55">
        <f t="shared" si="36"/>
        <v>-1467.625</v>
      </c>
      <c r="S44" s="11">
        <f t="shared" si="37"/>
        <v>1090.5</v>
      </c>
      <c r="T44" s="41">
        <f t="shared" si="38"/>
        <v>-377.125</v>
      </c>
      <c r="U44" s="32">
        <f t="shared" si="39"/>
        <v>-1467.625</v>
      </c>
      <c r="V44" s="11">
        <f t="shared" si="40"/>
        <v>1090.5</v>
      </c>
      <c r="W44" s="41">
        <f t="shared" si="41"/>
        <v>-377.125</v>
      </c>
      <c r="X44" s="42">
        <v>-3009.5</v>
      </c>
      <c r="AA44" s="42">
        <v>206.25</v>
      </c>
      <c r="AB44" s="42">
        <v>132</v>
      </c>
    </row>
    <row r="45" spans="1:30" x14ac:dyDescent="0.3">
      <c r="A45" s="12">
        <v>39</v>
      </c>
      <c r="B45" s="65" t="s">
        <v>139</v>
      </c>
      <c r="C45" s="107">
        <v>1</v>
      </c>
      <c r="D45" s="66">
        <v>43729</v>
      </c>
      <c r="E45" s="67">
        <f t="shared" si="4"/>
        <v>43729</v>
      </c>
      <c r="F45" s="56">
        <v>254</v>
      </c>
      <c r="G45" s="56">
        <v>700</v>
      </c>
      <c r="H45" s="68">
        <f t="shared" si="5"/>
        <v>0.36285714285714288</v>
      </c>
      <c r="I45" s="56">
        <v>5227.75</v>
      </c>
      <c r="J45" s="83">
        <f t="shared" si="6"/>
        <v>20.581692913385826</v>
      </c>
      <c r="K45" s="56">
        <v>3294</v>
      </c>
      <c r="L45" s="83">
        <f t="shared" si="7"/>
        <v>12.968503937007874</v>
      </c>
      <c r="M45" s="56">
        <v>3500</v>
      </c>
      <c r="N45" s="70">
        <f t="shared" si="8"/>
        <v>0.66950408875711354</v>
      </c>
      <c r="O45" s="56">
        <f t="shared" si="33"/>
        <v>-586.35</v>
      </c>
      <c r="P45" s="17">
        <f t="shared" si="34"/>
        <v>3294</v>
      </c>
      <c r="Q45" s="51">
        <f t="shared" si="35"/>
        <v>2707.65</v>
      </c>
      <c r="R45" s="56">
        <f t="shared" si="36"/>
        <v>-293.17500000000001</v>
      </c>
      <c r="S45" s="17">
        <f t="shared" si="37"/>
        <v>1647</v>
      </c>
      <c r="T45" s="51">
        <f t="shared" si="38"/>
        <v>1353.825</v>
      </c>
      <c r="U45" s="30">
        <f t="shared" si="39"/>
        <v>-293.17500000000001</v>
      </c>
      <c r="V45" s="17">
        <f t="shared" si="40"/>
        <v>1647</v>
      </c>
      <c r="W45" s="51">
        <f t="shared" si="41"/>
        <v>1353.825</v>
      </c>
      <c r="X45" s="42">
        <v>-586.35</v>
      </c>
    </row>
    <row r="46" spans="1:30" x14ac:dyDescent="0.3">
      <c r="A46" s="7">
        <v>40</v>
      </c>
      <c r="B46" s="71" t="s">
        <v>140</v>
      </c>
      <c r="C46" s="108">
        <v>2</v>
      </c>
      <c r="D46" s="72">
        <v>43730</v>
      </c>
      <c r="E46" s="73">
        <f t="shared" si="4"/>
        <v>43730</v>
      </c>
      <c r="F46" s="55">
        <v>99</v>
      </c>
      <c r="G46" s="55">
        <v>700</v>
      </c>
      <c r="H46" s="74">
        <f t="shared" si="5"/>
        <v>0.14142857142857143</v>
      </c>
      <c r="I46" s="55">
        <f>1359+AA46</f>
        <v>1536.25</v>
      </c>
      <c r="J46" s="82">
        <f t="shared" si="6"/>
        <v>15.517676767676768</v>
      </c>
      <c r="K46" s="55">
        <v>1660</v>
      </c>
      <c r="L46" s="82">
        <f t="shared" si="7"/>
        <v>16.767676767676768</v>
      </c>
      <c r="M46" s="55">
        <v>2600</v>
      </c>
      <c r="N46" s="78">
        <f t="shared" si="8"/>
        <v>1.6924328722538649</v>
      </c>
      <c r="O46" s="55">
        <f t="shared" si="33"/>
        <v>-2327.13</v>
      </c>
      <c r="P46" s="11">
        <f t="shared" si="34"/>
        <v>1660</v>
      </c>
      <c r="Q46" s="41">
        <f t="shared" si="35"/>
        <v>-667.13000000000011</v>
      </c>
      <c r="R46" s="55">
        <f t="shared" si="36"/>
        <v>-1163.5650000000001</v>
      </c>
      <c r="S46" s="11">
        <f t="shared" si="37"/>
        <v>830</v>
      </c>
      <c r="T46" s="41">
        <f t="shared" si="38"/>
        <v>-333.56500000000005</v>
      </c>
      <c r="U46" s="32">
        <f t="shared" si="39"/>
        <v>-1163.5650000000001</v>
      </c>
      <c r="V46" s="11">
        <f t="shared" si="40"/>
        <v>830</v>
      </c>
      <c r="W46" s="41">
        <f t="shared" si="41"/>
        <v>-333.56500000000005</v>
      </c>
      <c r="X46" s="42">
        <v>-2207.38</v>
      </c>
      <c r="AA46" s="42">
        <v>177.25</v>
      </c>
      <c r="AB46" s="42">
        <v>297</v>
      </c>
    </row>
    <row r="47" spans="1:30" x14ac:dyDescent="0.3">
      <c r="A47" s="12">
        <v>41</v>
      </c>
      <c r="B47" s="65" t="s">
        <v>141</v>
      </c>
      <c r="C47" s="107">
        <v>2</v>
      </c>
      <c r="D47" s="66">
        <v>43734</v>
      </c>
      <c r="E47" s="67">
        <f t="shared" si="4"/>
        <v>43734</v>
      </c>
      <c r="F47" s="56">
        <v>850</v>
      </c>
      <c r="G47" s="56">
        <v>850</v>
      </c>
      <c r="H47" s="68">
        <f t="shared" si="5"/>
        <v>1</v>
      </c>
      <c r="I47" s="56">
        <f>29750+AA47</f>
        <v>33362.5</v>
      </c>
      <c r="J47" s="83">
        <f t="shared" si="6"/>
        <v>39.25</v>
      </c>
      <c r="K47" s="56">
        <v>24643</v>
      </c>
      <c r="L47" s="83">
        <f t="shared" si="7"/>
        <v>28.991764705882353</v>
      </c>
      <c r="M47" s="56">
        <v>20531.5</v>
      </c>
      <c r="N47" s="70">
        <f t="shared" si="8"/>
        <v>0.61540651929561629</v>
      </c>
      <c r="O47" s="56">
        <f t="shared" si="33"/>
        <v>2574.6400000000003</v>
      </c>
      <c r="P47" s="17">
        <f t="shared" si="34"/>
        <v>24643</v>
      </c>
      <c r="Q47" s="51">
        <f t="shared" si="35"/>
        <v>27217.64</v>
      </c>
      <c r="R47" s="56">
        <f t="shared" si="36"/>
        <v>1287.3200000000002</v>
      </c>
      <c r="S47" s="17">
        <f t="shared" si="37"/>
        <v>12321.5</v>
      </c>
      <c r="T47" s="51">
        <f t="shared" si="38"/>
        <v>13608.82</v>
      </c>
      <c r="U47" s="30">
        <f t="shared" si="39"/>
        <v>1287.3200000000002</v>
      </c>
      <c r="V47" s="17">
        <f t="shared" si="40"/>
        <v>12321.5</v>
      </c>
      <c r="W47" s="51">
        <f t="shared" si="41"/>
        <v>13608.82</v>
      </c>
      <c r="X47" s="42">
        <v>1512.14</v>
      </c>
      <c r="AA47" s="42">
        <f>3612.5</f>
        <v>3612.5</v>
      </c>
      <c r="AB47" s="42">
        <v>2550</v>
      </c>
    </row>
    <row r="48" spans="1:30" x14ac:dyDescent="0.3">
      <c r="A48" s="7">
        <v>42</v>
      </c>
      <c r="B48" s="71" t="s">
        <v>142</v>
      </c>
      <c r="C48" s="108">
        <v>8</v>
      </c>
      <c r="D48" s="72">
        <v>43735</v>
      </c>
      <c r="E48" s="73">
        <f t="shared" si="4"/>
        <v>43735</v>
      </c>
      <c r="F48" s="55">
        <v>352</v>
      </c>
      <c r="G48" s="55">
        <v>700</v>
      </c>
      <c r="H48" s="74">
        <f t="shared" si="5"/>
        <v>0.50285714285714289</v>
      </c>
      <c r="I48" s="55">
        <v>7106</v>
      </c>
      <c r="J48" s="82">
        <f t="shared" si="6"/>
        <v>20.1875</v>
      </c>
      <c r="K48" s="55">
        <v>6681</v>
      </c>
      <c r="L48" s="82">
        <f t="shared" si="7"/>
        <v>18.980113636363637</v>
      </c>
      <c r="M48" s="55">
        <v>5375</v>
      </c>
      <c r="N48" s="78">
        <f t="shared" si="8"/>
        <v>0.7564030396847734</v>
      </c>
      <c r="O48" s="55">
        <f t="shared" si="33"/>
        <v>-1783.72</v>
      </c>
      <c r="P48" s="11">
        <f t="shared" si="34"/>
        <v>6681</v>
      </c>
      <c r="Q48" s="41">
        <f t="shared" si="35"/>
        <v>4897.28</v>
      </c>
      <c r="R48" s="55">
        <f t="shared" si="36"/>
        <v>-891.86</v>
      </c>
      <c r="S48" s="11">
        <f t="shared" si="37"/>
        <v>3340.5</v>
      </c>
      <c r="T48" s="41">
        <f t="shared" si="38"/>
        <v>2448.64</v>
      </c>
      <c r="U48" s="32">
        <f t="shared" si="39"/>
        <v>-891.86</v>
      </c>
      <c r="V48" s="11">
        <f t="shared" si="40"/>
        <v>3340.5</v>
      </c>
      <c r="W48" s="41">
        <f t="shared" si="41"/>
        <v>2448.64</v>
      </c>
      <c r="X48" s="42">
        <v>-1783.72</v>
      </c>
    </row>
    <row r="49" spans="1:28" x14ac:dyDescent="0.3">
      <c r="A49" s="12">
        <v>43</v>
      </c>
      <c r="B49" s="65" t="s">
        <v>143</v>
      </c>
      <c r="C49" s="107">
        <v>2</v>
      </c>
      <c r="D49" s="66">
        <v>43736</v>
      </c>
      <c r="E49" s="67">
        <f t="shared" si="4"/>
        <v>43736</v>
      </c>
      <c r="F49" s="56">
        <v>656</v>
      </c>
      <c r="G49" s="56">
        <v>700</v>
      </c>
      <c r="H49" s="68">
        <f t="shared" si="5"/>
        <v>0.93714285714285717</v>
      </c>
      <c r="I49" s="56">
        <f>11880+AA49</f>
        <v>13482.5</v>
      </c>
      <c r="J49" s="83">
        <f t="shared" si="6"/>
        <v>20.552591463414632</v>
      </c>
      <c r="K49" s="56">
        <v>12570.97</v>
      </c>
      <c r="L49" s="83">
        <f t="shared" si="7"/>
        <v>19.163064024390241</v>
      </c>
      <c r="M49" s="56">
        <v>5779.09</v>
      </c>
      <c r="N49" s="70">
        <f t="shared" si="8"/>
        <v>0.42863638049323199</v>
      </c>
      <c r="O49" s="56">
        <f t="shared" si="33"/>
        <v>502.40000000000009</v>
      </c>
      <c r="P49" s="17">
        <f t="shared" si="34"/>
        <v>12570.97</v>
      </c>
      <c r="Q49" s="51">
        <f t="shared" si="35"/>
        <v>13073.369999999999</v>
      </c>
      <c r="R49" s="56">
        <f t="shared" si="36"/>
        <v>251.20000000000005</v>
      </c>
      <c r="S49" s="17">
        <f t="shared" si="37"/>
        <v>6285.4849999999997</v>
      </c>
      <c r="T49" s="51">
        <f t="shared" si="38"/>
        <v>6536.6849999999995</v>
      </c>
      <c r="U49" s="30">
        <f t="shared" si="39"/>
        <v>251.20000000000005</v>
      </c>
      <c r="V49" s="17">
        <f t="shared" si="40"/>
        <v>6285.4849999999997</v>
      </c>
      <c r="W49" s="51">
        <f t="shared" si="41"/>
        <v>6536.6849999999995</v>
      </c>
      <c r="X49" s="42">
        <v>867.9</v>
      </c>
      <c r="AA49" s="42">
        <v>1602.5</v>
      </c>
      <c r="AB49" s="42">
        <v>1968</v>
      </c>
    </row>
    <row r="50" spans="1:28" x14ac:dyDescent="0.3">
      <c r="A50" s="7">
        <v>44</v>
      </c>
      <c r="B50" s="71" t="s">
        <v>144</v>
      </c>
      <c r="C50" s="108">
        <v>4</v>
      </c>
      <c r="D50" s="72">
        <v>43742</v>
      </c>
      <c r="E50" s="73">
        <f t="shared" si="4"/>
        <v>43742</v>
      </c>
      <c r="F50" s="55">
        <v>264</v>
      </c>
      <c r="G50" s="55">
        <v>700</v>
      </c>
      <c r="H50" s="74">
        <f t="shared" si="5"/>
        <v>0.37714285714285717</v>
      </c>
      <c r="I50" s="55">
        <v>6839.75</v>
      </c>
      <c r="J50" s="82">
        <f t="shared" si="6"/>
        <v>25.908143939393938</v>
      </c>
      <c r="K50" s="55">
        <v>2123</v>
      </c>
      <c r="L50" s="82">
        <f t="shared" si="7"/>
        <v>8.0416666666666661</v>
      </c>
      <c r="M50" s="55">
        <v>7000</v>
      </c>
      <c r="N50" s="78">
        <f t="shared" si="8"/>
        <v>1.0234292189041998</v>
      </c>
      <c r="O50" s="55">
        <f t="shared" si="33"/>
        <v>-2996.91</v>
      </c>
      <c r="P50" s="11">
        <f t="shared" si="34"/>
        <v>2123</v>
      </c>
      <c r="Q50" s="41">
        <f t="shared" si="35"/>
        <v>-873.90999999999985</v>
      </c>
      <c r="R50" s="55">
        <f t="shared" si="36"/>
        <v>-1498.4549999999999</v>
      </c>
      <c r="S50" s="11">
        <f t="shared" si="37"/>
        <v>1061.5</v>
      </c>
      <c r="T50" s="41">
        <f t="shared" si="38"/>
        <v>-436.95499999999993</v>
      </c>
      <c r="U50" s="32">
        <f t="shared" si="39"/>
        <v>-1498.4549999999999</v>
      </c>
      <c r="V50" s="11">
        <f t="shared" si="40"/>
        <v>1061.5</v>
      </c>
      <c r="W50" s="41">
        <f t="shared" si="41"/>
        <v>-436.95499999999993</v>
      </c>
      <c r="X50" s="42">
        <v>-2996.91</v>
      </c>
    </row>
    <row r="51" spans="1:28" x14ac:dyDescent="0.3">
      <c r="A51" s="12">
        <v>45</v>
      </c>
      <c r="B51" s="65" t="s">
        <v>145</v>
      </c>
      <c r="C51" s="107">
        <v>2</v>
      </c>
      <c r="D51" s="66">
        <v>43743</v>
      </c>
      <c r="E51" s="67">
        <f t="shared" si="4"/>
        <v>43743</v>
      </c>
      <c r="F51" s="56">
        <v>304</v>
      </c>
      <c r="G51" s="56">
        <v>700</v>
      </c>
      <c r="H51" s="68">
        <f t="shared" si="5"/>
        <v>0.43428571428571427</v>
      </c>
      <c r="I51" s="56">
        <f>5615+AA51</f>
        <v>6285.5</v>
      </c>
      <c r="J51" s="83">
        <f t="shared" si="6"/>
        <v>20.675986842105264</v>
      </c>
      <c r="K51" s="56">
        <v>4802</v>
      </c>
      <c r="L51" s="83">
        <f t="shared" si="7"/>
        <v>15.796052631578947</v>
      </c>
      <c r="M51" s="56">
        <v>4500</v>
      </c>
      <c r="N51" s="70">
        <f t="shared" si="8"/>
        <v>0.71593349773287729</v>
      </c>
      <c r="O51" s="56">
        <f t="shared" si="33"/>
        <v>-1863.09</v>
      </c>
      <c r="P51" s="17">
        <f t="shared" si="34"/>
        <v>4802</v>
      </c>
      <c r="Q51" s="51">
        <f t="shared" si="35"/>
        <v>2938.91</v>
      </c>
      <c r="R51" s="56">
        <f t="shared" si="36"/>
        <v>-931.54499999999996</v>
      </c>
      <c r="S51" s="17">
        <f t="shared" si="37"/>
        <v>2401</v>
      </c>
      <c r="T51" s="51">
        <f t="shared" si="38"/>
        <v>1469.4549999999999</v>
      </c>
      <c r="U51" s="30">
        <f t="shared" si="39"/>
        <v>-931.54499999999996</v>
      </c>
      <c r="V51" s="17">
        <f t="shared" si="40"/>
        <v>2401</v>
      </c>
      <c r="W51" s="51">
        <f t="shared" si="41"/>
        <v>1469.4549999999999</v>
      </c>
      <c r="X51" s="42">
        <v>-1621.59</v>
      </c>
      <c r="AA51" s="42">
        <v>670.5</v>
      </c>
      <c r="AB51" s="42">
        <v>912</v>
      </c>
    </row>
    <row r="52" spans="1:28" x14ac:dyDescent="0.3">
      <c r="A52" s="7">
        <v>46</v>
      </c>
      <c r="B52" s="71" t="s">
        <v>146</v>
      </c>
      <c r="C52" s="108">
        <v>2</v>
      </c>
      <c r="D52" s="72">
        <v>43748</v>
      </c>
      <c r="E52" s="73">
        <f t="shared" si="4"/>
        <v>43748</v>
      </c>
      <c r="F52" s="55">
        <v>256</v>
      </c>
      <c r="G52" s="55">
        <v>700</v>
      </c>
      <c r="H52" s="74">
        <f t="shared" si="5"/>
        <v>0.36571428571428571</v>
      </c>
      <c r="I52" s="55">
        <f>4770+AA52</f>
        <v>5406</v>
      </c>
      <c r="J52" s="82">
        <f t="shared" si="6"/>
        <v>21.1171875</v>
      </c>
      <c r="K52" s="55">
        <v>4827</v>
      </c>
      <c r="L52" s="82">
        <f t="shared" si="7"/>
        <v>18.85546875</v>
      </c>
      <c r="M52" s="55">
        <v>4850</v>
      </c>
      <c r="N52" s="78">
        <f t="shared" si="8"/>
        <v>0.89715131335553089</v>
      </c>
      <c r="O52" s="55">
        <f t="shared" si="33"/>
        <v>-1967.91</v>
      </c>
      <c r="P52" s="11">
        <f t="shared" si="34"/>
        <v>4827</v>
      </c>
      <c r="Q52" s="41">
        <f t="shared" si="35"/>
        <v>2859.09</v>
      </c>
      <c r="R52" s="55">
        <f t="shared" si="36"/>
        <v>-983.95500000000004</v>
      </c>
      <c r="S52" s="11">
        <f t="shared" si="37"/>
        <v>2413.5</v>
      </c>
      <c r="T52" s="41">
        <f t="shared" si="38"/>
        <v>1429.5450000000001</v>
      </c>
      <c r="U52" s="32">
        <f t="shared" si="39"/>
        <v>-983.95500000000004</v>
      </c>
      <c r="V52" s="11">
        <f t="shared" si="40"/>
        <v>2413.5</v>
      </c>
      <c r="W52" s="41">
        <f t="shared" si="41"/>
        <v>1429.5450000000001</v>
      </c>
      <c r="X52" s="42">
        <v>-1835.91</v>
      </c>
      <c r="AA52" s="42">
        <v>636</v>
      </c>
      <c r="AB52" s="42">
        <v>768</v>
      </c>
    </row>
    <row r="53" spans="1:28" x14ac:dyDescent="0.3">
      <c r="A53" s="12">
        <v>47</v>
      </c>
      <c r="B53" s="65" t="s">
        <v>147</v>
      </c>
      <c r="C53" s="107">
        <v>5</v>
      </c>
      <c r="D53" s="66">
        <v>43749</v>
      </c>
      <c r="E53" s="67">
        <f t="shared" si="4"/>
        <v>43749</v>
      </c>
      <c r="F53" s="56">
        <v>610</v>
      </c>
      <c r="G53" s="56">
        <v>700</v>
      </c>
      <c r="H53" s="68">
        <f t="shared" si="5"/>
        <v>0.87142857142857144</v>
      </c>
      <c r="I53" s="56">
        <v>18453.75</v>
      </c>
      <c r="J53" s="83">
        <f t="shared" si="6"/>
        <v>30.252049180327869</v>
      </c>
      <c r="K53" s="56">
        <v>16806.5</v>
      </c>
      <c r="L53" s="83">
        <f t="shared" si="7"/>
        <v>27.551639344262295</v>
      </c>
      <c r="M53" s="56">
        <v>16100</v>
      </c>
      <c r="N53" s="70">
        <f t="shared" si="8"/>
        <v>0.87245139876718825</v>
      </c>
      <c r="O53" s="56">
        <f t="shared" si="33"/>
        <v>-3459</v>
      </c>
      <c r="P53" s="17">
        <f t="shared" si="34"/>
        <v>16806.5</v>
      </c>
      <c r="Q53" s="51">
        <f t="shared" si="35"/>
        <v>13347.5</v>
      </c>
      <c r="R53" s="56">
        <f t="shared" si="36"/>
        <v>-1729.5</v>
      </c>
      <c r="S53" s="17">
        <f t="shared" si="37"/>
        <v>8403.25</v>
      </c>
      <c r="T53" s="51">
        <f t="shared" si="38"/>
        <v>6673.75</v>
      </c>
      <c r="U53" s="30">
        <f t="shared" si="39"/>
        <v>-1729.5</v>
      </c>
      <c r="V53" s="17">
        <f t="shared" si="40"/>
        <v>8403.25</v>
      </c>
      <c r="W53" s="51">
        <f t="shared" si="41"/>
        <v>6673.75</v>
      </c>
      <c r="X53" s="42">
        <v>-3459</v>
      </c>
    </row>
    <row r="54" spans="1:28" x14ac:dyDescent="0.3">
      <c r="A54" s="7">
        <v>48</v>
      </c>
      <c r="B54" s="71" t="s">
        <v>148</v>
      </c>
      <c r="C54" s="108">
        <v>8</v>
      </c>
      <c r="D54" s="72">
        <v>43750</v>
      </c>
      <c r="E54" s="73">
        <f t="shared" si="4"/>
        <v>43750</v>
      </c>
      <c r="F54" s="55">
        <v>176</v>
      </c>
      <c r="G54" s="55">
        <v>700</v>
      </c>
      <c r="H54" s="74">
        <f t="shared" si="5"/>
        <v>0.25142857142857145</v>
      </c>
      <c r="I54" s="55">
        <v>3251.5</v>
      </c>
      <c r="J54" s="82">
        <f t="shared" si="6"/>
        <v>18.474431818181817</v>
      </c>
      <c r="K54" s="55">
        <v>3978</v>
      </c>
      <c r="L54" s="82">
        <f t="shared" si="7"/>
        <v>22.602272727272727</v>
      </c>
      <c r="M54" s="55">
        <v>1925</v>
      </c>
      <c r="N54" s="78">
        <f t="shared" si="8"/>
        <v>0.59203444564047358</v>
      </c>
      <c r="O54" s="55">
        <f t="shared" si="33"/>
        <v>-2038.26</v>
      </c>
      <c r="P54" s="11">
        <f t="shared" si="34"/>
        <v>3978</v>
      </c>
      <c r="Q54" s="41">
        <f t="shared" si="35"/>
        <v>1939.74</v>
      </c>
      <c r="R54" s="55">
        <f t="shared" si="36"/>
        <v>-1019.13</v>
      </c>
      <c r="S54" s="11">
        <f t="shared" si="37"/>
        <v>1989</v>
      </c>
      <c r="T54" s="41">
        <f t="shared" si="38"/>
        <v>969.87</v>
      </c>
      <c r="U54" s="32">
        <f t="shared" si="39"/>
        <v>-1019.13</v>
      </c>
      <c r="V54" s="11">
        <f t="shared" si="40"/>
        <v>1989</v>
      </c>
      <c r="W54" s="41">
        <f t="shared" si="41"/>
        <v>969.87</v>
      </c>
      <c r="X54" s="42">
        <v>-2038.26</v>
      </c>
    </row>
    <row r="55" spans="1:28" x14ac:dyDescent="0.3">
      <c r="A55" s="12">
        <v>49</v>
      </c>
      <c r="B55" s="65" t="s">
        <v>149</v>
      </c>
      <c r="C55" s="107">
        <v>7</v>
      </c>
      <c r="D55" s="66">
        <v>43754</v>
      </c>
      <c r="E55" s="67">
        <f t="shared" si="4"/>
        <v>43754</v>
      </c>
      <c r="F55" s="56">
        <v>427</v>
      </c>
      <c r="G55" s="56">
        <v>700</v>
      </c>
      <c r="H55" s="68">
        <f t="shared" si="5"/>
        <v>0.61</v>
      </c>
      <c r="I55" s="56">
        <v>8988.5</v>
      </c>
      <c r="J55" s="83">
        <f t="shared" si="6"/>
        <v>21.050351288056206</v>
      </c>
      <c r="K55" s="56">
        <v>2115.5</v>
      </c>
      <c r="L55" s="83">
        <f t="shared" si="7"/>
        <v>4.9543325526932085</v>
      </c>
      <c r="M55" s="56">
        <v>5500</v>
      </c>
      <c r="N55" s="70">
        <f t="shared" si="8"/>
        <v>0.61189297435612167</v>
      </c>
      <c r="O55" s="56">
        <f t="shared" si="33"/>
        <v>450.29</v>
      </c>
      <c r="P55" s="17">
        <f t="shared" si="34"/>
        <v>2115.5</v>
      </c>
      <c r="Q55" s="51">
        <f t="shared" si="35"/>
        <v>2565.79</v>
      </c>
      <c r="R55" s="56">
        <f t="shared" si="36"/>
        <v>225.14500000000001</v>
      </c>
      <c r="S55" s="17">
        <f t="shared" si="37"/>
        <v>1057.75</v>
      </c>
      <c r="T55" s="51">
        <f t="shared" si="38"/>
        <v>1282.895</v>
      </c>
      <c r="U55" s="30">
        <f t="shared" si="39"/>
        <v>225.14500000000001</v>
      </c>
      <c r="V55" s="17">
        <f t="shared" si="40"/>
        <v>1057.75</v>
      </c>
      <c r="W55" s="51">
        <f t="shared" si="41"/>
        <v>1282.895</v>
      </c>
      <c r="X55" s="42">
        <v>450.29</v>
      </c>
    </row>
    <row r="56" spans="1:28" x14ac:dyDescent="0.3">
      <c r="A56" s="7">
        <v>50</v>
      </c>
      <c r="B56" s="71" t="s">
        <v>150</v>
      </c>
      <c r="C56" s="108">
        <v>2</v>
      </c>
      <c r="D56" s="72">
        <v>43756</v>
      </c>
      <c r="E56" s="73">
        <f t="shared" si="4"/>
        <v>43756</v>
      </c>
      <c r="F56" s="55">
        <v>318</v>
      </c>
      <c r="G56" s="55">
        <v>700</v>
      </c>
      <c r="H56" s="74">
        <f t="shared" si="5"/>
        <v>0.45428571428571429</v>
      </c>
      <c r="I56" s="55">
        <f>5945+AA56</f>
        <v>6725.25</v>
      </c>
      <c r="J56" s="82">
        <f t="shared" si="6"/>
        <v>21.148584905660378</v>
      </c>
      <c r="K56" s="55">
        <v>4165</v>
      </c>
      <c r="L56" s="82">
        <f t="shared" si="7"/>
        <v>13.09748427672956</v>
      </c>
      <c r="M56" s="55">
        <v>4000</v>
      </c>
      <c r="N56" s="78">
        <f t="shared" si="8"/>
        <v>0.59477342849708192</v>
      </c>
      <c r="O56" s="55">
        <f t="shared" si="33"/>
        <v>-1194.42</v>
      </c>
      <c r="P56" s="11">
        <f t="shared" si="34"/>
        <v>4165</v>
      </c>
      <c r="Q56" s="41">
        <f t="shared" si="35"/>
        <v>2970.58</v>
      </c>
      <c r="R56" s="55">
        <f t="shared" si="36"/>
        <v>-597.21</v>
      </c>
      <c r="S56" s="11">
        <f t="shared" si="37"/>
        <v>2082.5</v>
      </c>
      <c r="T56" s="41">
        <f t="shared" si="38"/>
        <v>1485.29</v>
      </c>
      <c r="U56" s="32">
        <f t="shared" si="39"/>
        <v>-597.21</v>
      </c>
      <c r="V56" s="11">
        <f t="shared" si="40"/>
        <v>2082.5</v>
      </c>
      <c r="W56" s="41">
        <f t="shared" si="41"/>
        <v>1485.29</v>
      </c>
      <c r="X56" s="42">
        <v>-1020.67</v>
      </c>
      <c r="AA56" s="42">
        <v>780.25</v>
      </c>
      <c r="AB56" s="42">
        <v>954</v>
      </c>
    </row>
    <row r="57" spans="1:28" x14ac:dyDescent="0.3">
      <c r="A57" s="12">
        <v>51</v>
      </c>
      <c r="B57" s="65" t="s">
        <v>151</v>
      </c>
      <c r="C57" s="107">
        <v>2</v>
      </c>
      <c r="D57" s="66">
        <v>43757</v>
      </c>
      <c r="E57" s="67">
        <f t="shared" si="4"/>
        <v>43757</v>
      </c>
      <c r="F57" s="56">
        <v>806</v>
      </c>
      <c r="G57" s="56">
        <v>800</v>
      </c>
      <c r="H57" s="68">
        <f t="shared" si="5"/>
        <v>1.0075000000000001</v>
      </c>
      <c r="I57" s="56">
        <f>23215+AA57</f>
        <v>26088.75</v>
      </c>
      <c r="J57" s="83">
        <f t="shared" si="6"/>
        <v>32.36817617866005</v>
      </c>
      <c r="K57" s="56">
        <v>24354</v>
      </c>
      <c r="L57" s="83">
        <f t="shared" si="7"/>
        <v>30.215880893300248</v>
      </c>
      <c r="M57" s="56">
        <v>15100</v>
      </c>
      <c r="N57" s="70">
        <f t="shared" si="8"/>
        <v>0.57879354127737048</v>
      </c>
      <c r="O57" s="56">
        <f t="shared" si="33"/>
        <v>1876.33</v>
      </c>
      <c r="P57" s="17">
        <f t="shared" si="34"/>
        <v>24354</v>
      </c>
      <c r="Q57" s="51">
        <f t="shared" si="35"/>
        <v>26230.33</v>
      </c>
      <c r="R57" s="56">
        <f t="shared" si="36"/>
        <v>938.16499999999996</v>
      </c>
      <c r="S57" s="17">
        <f t="shared" si="37"/>
        <v>12177</v>
      </c>
      <c r="T57" s="51">
        <f t="shared" si="38"/>
        <v>13115.165000000001</v>
      </c>
      <c r="U57" s="30">
        <f t="shared" si="39"/>
        <v>938.16499999999996</v>
      </c>
      <c r="V57" s="17">
        <f t="shared" si="40"/>
        <v>12177</v>
      </c>
      <c r="W57" s="51">
        <f t="shared" si="41"/>
        <v>13115.165000000001</v>
      </c>
      <c r="X57" s="42">
        <v>1420.58</v>
      </c>
      <c r="AA57" s="42">
        <v>2873.75</v>
      </c>
      <c r="AB57" s="42">
        <v>2418</v>
      </c>
    </row>
    <row r="58" spans="1:28" x14ac:dyDescent="0.3">
      <c r="A58" s="7">
        <v>52</v>
      </c>
      <c r="B58" s="71" t="s">
        <v>152</v>
      </c>
      <c r="C58" s="108">
        <v>1</v>
      </c>
      <c r="D58" s="72">
        <v>43760</v>
      </c>
      <c r="E58" s="73">
        <f t="shared" si="4"/>
        <v>43760</v>
      </c>
      <c r="F58" s="55">
        <v>191</v>
      </c>
      <c r="G58" s="55">
        <v>700</v>
      </c>
      <c r="H58" s="74">
        <f t="shared" si="5"/>
        <v>0.27285714285714285</v>
      </c>
      <c r="I58" s="55">
        <v>3977.75</v>
      </c>
      <c r="J58" s="82">
        <f t="shared" si="6"/>
        <v>20.825916230366492</v>
      </c>
      <c r="K58" s="55">
        <v>1914</v>
      </c>
      <c r="L58" s="82">
        <f t="shared" si="7"/>
        <v>10.020942408376964</v>
      </c>
      <c r="M58" s="55">
        <v>6050</v>
      </c>
      <c r="N58" s="78">
        <f t="shared" si="8"/>
        <v>1.5209603419018289</v>
      </c>
      <c r="O58" s="55">
        <f t="shared" si="33"/>
        <v>-5059.2700000000004</v>
      </c>
      <c r="P58" s="11">
        <f t="shared" si="34"/>
        <v>1914</v>
      </c>
      <c r="Q58" s="41">
        <f t="shared" si="35"/>
        <v>-3145.2700000000004</v>
      </c>
      <c r="R58" s="55">
        <f t="shared" si="36"/>
        <v>-2529.6350000000002</v>
      </c>
      <c r="S58" s="11">
        <f t="shared" si="37"/>
        <v>957</v>
      </c>
      <c r="T58" s="41">
        <f t="shared" si="38"/>
        <v>-1572.6350000000002</v>
      </c>
      <c r="U58" s="32">
        <f t="shared" si="39"/>
        <v>-2529.6350000000002</v>
      </c>
      <c r="V58" s="11">
        <f t="shared" si="40"/>
        <v>957</v>
      </c>
      <c r="W58" s="41">
        <f t="shared" si="41"/>
        <v>-1572.6350000000002</v>
      </c>
      <c r="X58" s="42">
        <v>-5059.2700000000004</v>
      </c>
    </row>
    <row r="59" spans="1:28" x14ac:dyDescent="0.3">
      <c r="A59" s="12">
        <v>53</v>
      </c>
      <c r="B59" s="65" t="s">
        <v>153</v>
      </c>
      <c r="C59" s="107">
        <v>4</v>
      </c>
      <c r="D59" s="66">
        <v>43761</v>
      </c>
      <c r="E59" s="67">
        <f t="shared" si="4"/>
        <v>43761</v>
      </c>
      <c r="F59" s="56">
        <v>502</v>
      </c>
      <c r="G59" s="56">
        <v>700</v>
      </c>
      <c r="H59" s="68">
        <f t="shared" si="5"/>
        <v>0.71714285714285719</v>
      </c>
      <c r="I59" s="56">
        <v>13140</v>
      </c>
      <c r="J59" s="83">
        <f t="shared" si="6"/>
        <v>26.175298804780876</v>
      </c>
      <c r="K59" s="56">
        <v>4910.7</v>
      </c>
      <c r="L59" s="83">
        <f t="shared" si="7"/>
        <v>9.7822709163346602</v>
      </c>
      <c r="M59" s="56">
        <v>6870.55</v>
      </c>
      <c r="N59" s="70">
        <f t="shared" si="8"/>
        <v>0.52287290715372914</v>
      </c>
      <c r="O59" s="56">
        <f t="shared" si="33"/>
        <v>1255.08</v>
      </c>
      <c r="P59" s="17">
        <f t="shared" si="34"/>
        <v>4910.7</v>
      </c>
      <c r="Q59" s="51">
        <f t="shared" si="35"/>
        <v>6165.78</v>
      </c>
      <c r="R59" s="56">
        <f t="shared" si="36"/>
        <v>627.54</v>
      </c>
      <c r="S59" s="17">
        <f t="shared" si="37"/>
        <v>2455.35</v>
      </c>
      <c r="T59" s="51">
        <f t="shared" si="38"/>
        <v>3082.89</v>
      </c>
      <c r="U59" s="30">
        <f t="shared" si="39"/>
        <v>627.54</v>
      </c>
      <c r="V59" s="17">
        <f t="shared" si="40"/>
        <v>2455.35</v>
      </c>
      <c r="W59" s="51">
        <f t="shared" si="41"/>
        <v>3082.89</v>
      </c>
      <c r="X59" s="42">
        <v>1255.08</v>
      </c>
    </row>
    <row r="60" spans="1:28" x14ac:dyDescent="0.3">
      <c r="A60" s="7">
        <v>54</v>
      </c>
      <c r="B60" s="71" t="s">
        <v>154</v>
      </c>
      <c r="C60" s="108">
        <v>5</v>
      </c>
      <c r="D60" s="72">
        <v>43763</v>
      </c>
      <c r="E60" s="73">
        <f t="shared" si="4"/>
        <v>43763</v>
      </c>
      <c r="F60" s="55">
        <v>358</v>
      </c>
      <c r="G60" s="55">
        <v>700</v>
      </c>
      <c r="H60" s="74">
        <f t="shared" si="5"/>
        <v>0.51142857142857145</v>
      </c>
      <c r="I60" s="55">
        <v>7554.75</v>
      </c>
      <c r="J60" s="82">
        <f t="shared" si="6"/>
        <v>21.102653631284916</v>
      </c>
      <c r="K60" s="55">
        <v>6296</v>
      </c>
      <c r="L60" s="82">
        <f t="shared" si="7"/>
        <v>17.58659217877095</v>
      </c>
      <c r="M60" s="55">
        <v>5875</v>
      </c>
      <c r="N60" s="78">
        <f t="shared" si="8"/>
        <v>0.77765644131175748</v>
      </c>
      <c r="O60" s="55">
        <f t="shared" si="33"/>
        <v>-2171.36</v>
      </c>
      <c r="P60" s="11">
        <f t="shared" si="34"/>
        <v>6296</v>
      </c>
      <c r="Q60" s="41">
        <f t="shared" si="35"/>
        <v>4124.6399999999994</v>
      </c>
      <c r="R60" s="55">
        <f t="shared" si="36"/>
        <v>-1085.68</v>
      </c>
      <c r="S60" s="11">
        <f t="shared" si="37"/>
        <v>3148</v>
      </c>
      <c r="T60" s="41">
        <f t="shared" si="38"/>
        <v>2062.3199999999997</v>
      </c>
      <c r="U60" s="32">
        <f t="shared" si="39"/>
        <v>-1085.68</v>
      </c>
      <c r="V60" s="11">
        <f t="shared" si="40"/>
        <v>3148</v>
      </c>
      <c r="W60" s="41">
        <f t="shared" si="41"/>
        <v>2062.3199999999997</v>
      </c>
      <c r="X60" s="42">
        <v>-2171.36</v>
      </c>
    </row>
    <row r="61" spans="1:28" x14ac:dyDescent="0.3">
      <c r="A61" s="12">
        <v>55</v>
      </c>
      <c r="B61" s="65" t="s">
        <v>155</v>
      </c>
      <c r="C61" s="107">
        <v>3</v>
      </c>
      <c r="D61" s="66">
        <v>43764</v>
      </c>
      <c r="E61" s="67">
        <f t="shared" si="4"/>
        <v>43764</v>
      </c>
      <c r="F61" s="56">
        <v>522</v>
      </c>
      <c r="G61" s="56">
        <v>750</v>
      </c>
      <c r="H61" s="68">
        <f t="shared" si="5"/>
        <v>0.69599999999999995</v>
      </c>
      <c r="I61" s="56">
        <v>11936.25</v>
      </c>
      <c r="J61" s="83">
        <f t="shared" si="6"/>
        <v>22.866379310344829</v>
      </c>
      <c r="K61" s="56">
        <v>8734</v>
      </c>
      <c r="L61" s="83">
        <f t="shared" si="7"/>
        <v>16.731800766283524</v>
      </c>
      <c r="M61" s="56">
        <v>5134.0600000000004</v>
      </c>
      <c r="N61" s="70">
        <f t="shared" si="8"/>
        <v>0.43012336370300558</v>
      </c>
      <c r="O61" s="56">
        <f t="shared" si="33"/>
        <v>741.94</v>
      </c>
      <c r="P61" s="17">
        <f t="shared" si="34"/>
        <v>8734</v>
      </c>
      <c r="Q61" s="51">
        <f t="shared" si="35"/>
        <v>9475.94</v>
      </c>
      <c r="R61" s="56">
        <f>(X61+AA61-AB61)*50%</f>
        <v>370.97</v>
      </c>
      <c r="S61" s="17">
        <f t="shared" si="37"/>
        <v>4367</v>
      </c>
      <c r="T61" s="51">
        <f t="shared" si="38"/>
        <v>4737.97</v>
      </c>
      <c r="U61" s="30">
        <f>R61</f>
        <v>370.97</v>
      </c>
      <c r="V61" s="17">
        <f t="shared" si="40"/>
        <v>4367</v>
      </c>
      <c r="W61" s="51">
        <f t="shared" si="41"/>
        <v>4737.97</v>
      </c>
      <c r="X61" s="42">
        <v>1657.92</v>
      </c>
      <c r="AA61" s="42">
        <v>580.27</v>
      </c>
      <c r="AB61" s="42">
        <v>1496.25</v>
      </c>
    </row>
    <row r="62" spans="1:28" x14ac:dyDescent="0.3">
      <c r="A62" s="7">
        <v>56</v>
      </c>
      <c r="B62" s="71" t="s">
        <v>156</v>
      </c>
      <c r="C62" s="108">
        <v>2</v>
      </c>
      <c r="D62" s="72">
        <v>43764</v>
      </c>
      <c r="E62" s="73">
        <f t="shared" si="4"/>
        <v>43764</v>
      </c>
      <c r="F62" s="55">
        <v>428</v>
      </c>
      <c r="G62" s="55">
        <v>700</v>
      </c>
      <c r="H62" s="74">
        <f t="shared" si="5"/>
        <v>0.61142857142857143</v>
      </c>
      <c r="I62" s="55">
        <f>8380+AA62</f>
        <v>9522.75</v>
      </c>
      <c r="J62" s="82">
        <f t="shared" si="6"/>
        <v>22.249415887850468</v>
      </c>
      <c r="K62" s="55">
        <v>5025</v>
      </c>
      <c r="L62" s="82">
        <f t="shared" si="7"/>
        <v>11.740654205607477</v>
      </c>
      <c r="M62" s="55">
        <v>5000</v>
      </c>
      <c r="N62" s="78">
        <f t="shared" si="8"/>
        <v>0.52505841274841825</v>
      </c>
      <c r="O62" s="55">
        <f t="shared" si="33"/>
        <v>223.53999999999996</v>
      </c>
      <c r="P62" s="11">
        <f t="shared" si="34"/>
        <v>5025</v>
      </c>
      <c r="Q62" s="41">
        <f t="shared" si="35"/>
        <v>5248.54</v>
      </c>
      <c r="R62" s="55">
        <f t="shared" si="36"/>
        <v>111.76999999999998</v>
      </c>
      <c r="S62" s="11">
        <f t="shared" si="37"/>
        <v>2512.5</v>
      </c>
      <c r="T62" s="41">
        <f t="shared" si="38"/>
        <v>2624.27</v>
      </c>
      <c r="U62" s="32">
        <f t="shared" si="39"/>
        <v>111.76999999999998</v>
      </c>
      <c r="V62" s="11">
        <f t="shared" si="40"/>
        <v>2512.5</v>
      </c>
      <c r="W62" s="41">
        <f t="shared" si="41"/>
        <v>2624.27</v>
      </c>
      <c r="X62" s="42">
        <v>364.79</v>
      </c>
      <c r="AA62" s="42">
        <v>1142.75</v>
      </c>
      <c r="AB62" s="42">
        <v>1284</v>
      </c>
    </row>
    <row r="63" spans="1:28" x14ac:dyDescent="0.3">
      <c r="A63" s="12">
        <v>57</v>
      </c>
      <c r="B63" s="65" t="s">
        <v>157</v>
      </c>
      <c r="C63" s="107">
        <v>4</v>
      </c>
      <c r="D63" s="66">
        <v>43765</v>
      </c>
      <c r="E63" s="67">
        <f t="shared" si="4"/>
        <v>43765</v>
      </c>
      <c r="F63" s="56">
        <v>740</v>
      </c>
      <c r="G63" s="56">
        <v>700</v>
      </c>
      <c r="H63" s="68">
        <f t="shared" si="5"/>
        <v>1.0571428571428572</v>
      </c>
      <c r="I63" s="56">
        <v>19746</v>
      </c>
      <c r="J63" s="83">
        <f t="shared" si="6"/>
        <v>26.683783783783785</v>
      </c>
      <c r="K63" s="56">
        <v>9358</v>
      </c>
      <c r="L63" s="83">
        <f t="shared" si="7"/>
        <v>12.645945945945947</v>
      </c>
      <c r="M63" s="56">
        <f>8000+3000+1000</f>
        <v>12000</v>
      </c>
      <c r="N63" s="70">
        <f t="shared" si="8"/>
        <v>0.60771801883925858</v>
      </c>
      <c r="O63" s="56">
        <f t="shared" si="33"/>
        <v>1567.07</v>
      </c>
      <c r="P63" s="17">
        <f t="shared" si="34"/>
        <v>9358</v>
      </c>
      <c r="Q63" s="51">
        <f t="shared" si="35"/>
        <v>10925.07</v>
      </c>
      <c r="R63" s="56">
        <f t="shared" si="36"/>
        <v>783.53499999999997</v>
      </c>
      <c r="S63" s="17">
        <f t="shared" si="37"/>
        <v>4679</v>
      </c>
      <c r="T63" s="51">
        <f t="shared" si="38"/>
        <v>5462.5349999999999</v>
      </c>
      <c r="U63" s="30">
        <f t="shared" si="39"/>
        <v>783.53499999999997</v>
      </c>
      <c r="V63" s="17">
        <f t="shared" si="40"/>
        <v>4679</v>
      </c>
      <c r="W63" s="51">
        <f t="shared" si="41"/>
        <v>5462.5349999999999</v>
      </c>
      <c r="X63" s="42">
        <v>1567.07</v>
      </c>
    </row>
    <row r="64" spans="1:28" x14ac:dyDescent="0.3">
      <c r="A64" s="7">
        <v>58</v>
      </c>
      <c r="B64" s="71" t="s">
        <v>158</v>
      </c>
      <c r="C64" s="108">
        <v>2</v>
      </c>
      <c r="D64" s="72">
        <v>43768</v>
      </c>
      <c r="E64" s="73">
        <f t="shared" si="4"/>
        <v>43768</v>
      </c>
      <c r="F64" s="55">
        <v>169</v>
      </c>
      <c r="G64" s="55">
        <v>700</v>
      </c>
      <c r="H64" s="74">
        <f t="shared" si="5"/>
        <v>0.24142857142857144</v>
      </c>
      <c r="I64" s="55">
        <f>2955+AA64</f>
        <v>3435.25</v>
      </c>
      <c r="J64" s="82">
        <f t="shared" si="6"/>
        <v>20.326923076923077</v>
      </c>
      <c r="K64" s="55">
        <v>2404.25</v>
      </c>
      <c r="L64" s="82">
        <f t="shared" si="7"/>
        <v>14.226331360946746</v>
      </c>
      <c r="M64" s="55">
        <v>3700</v>
      </c>
      <c r="N64" s="78">
        <f t="shared" si="8"/>
        <v>1.0770686267375009</v>
      </c>
      <c r="O64" s="55">
        <f t="shared" si="33"/>
        <v>-2236.84</v>
      </c>
      <c r="P64" s="11">
        <f t="shared" si="34"/>
        <v>2404.25</v>
      </c>
      <c r="Q64" s="41">
        <f t="shared" si="35"/>
        <v>167.40999999999985</v>
      </c>
      <c r="R64" s="55">
        <f t="shared" si="36"/>
        <v>-1118.42</v>
      </c>
      <c r="S64" s="11">
        <f t="shared" si="37"/>
        <v>1202.125</v>
      </c>
      <c r="T64" s="41">
        <f t="shared" si="38"/>
        <v>83.704999999999927</v>
      </c>
      <c r="U64" s="32">
        <f t="shared" si="39"/>
        <v>-1118.42</v>
      </c>
      <c r="V64" s="11">
        <f t="shared" si="40"/>
        <v>1202.125</v>
      </c>
      <c r="W64" s="41">
        <f t="shared" si="41"/>
        <v>83.704999999999927</v>
      </c>
      <c r="X64" s="42">
        <v>-2210.09</v>
      </c>
      <c r="AA64" s="42">
        <f>338.25+142</f>
        <v>480.25</v>
      </c>
      <c r="AB64" s="42">
        <v>507</v>
      </c>
    </row>
    <row r="65" spans="1:28" x14ac:dyDescent="0.3">
      <c r="A65" s="12">
        <v>59</v>
      </c>
      <c r="B65" s="65" t="s">
        <v>172</v>
      </c>
      <c r="C65" s="107">
        <v>2</v>
      </c>
      <c r="D65" s="66">
        <v>43776</v>
      </c>
      <c r="E65" s="67">
        <f t="shared" si="4"/>
        <v>43776</v>
      </c>
      <c r="F65" s="56">
        <v>464</v>
      </c>
      <c r="G65" s="56">
        <v>700</v>
      </c>
      <c r="H65" s="68">
        <f t="shared" si="5"/>
        <v>0.66285714285714281</v>
      </c>
      <c r="I65" s="56">
        <f>10255+AA65</f>
        <v>11486</v>
      </c>
      <c r="J65" s="83">
        <f t="shared" si="6"/>
        <v>24.754310344827587</v>
      </c>
      <c r="K65" s="56">
        <v>13037.72</v>
      </c>
      <c r="L65" s="83">
        <f t="shared" si="7"/>
        <v>28.09853448275862</v>
      </c>
      <c r="M65" s="56">
        <v>7700</v>
      </c>
      <c r="N65" s="70">
        <f t="shared" si="8"/>
        <v>0.67038133379766673</v>
      </c>
      <c r="O65" s="56">
        <f t="shared" si="33"/>
        <v>-794.82</v>
      </c>
      <c r="P65" s="17">
        <f t="shared" si="34"/>
        <v>13037.72</v>
      </c>
      <c r="Q65" s="51">
        <f t="shared" si="35"/>
        <v>12242.9</v>
      </c>
      <c r="R65" s="56">
        <f t="shared" si="36"/>
        <v>-397.41</v>
      </c>
      <c r="S65" s="17">
        <f t="shared" si="37"/>
        <v>6518.86</v>
      </c>
      <c r="T65" s="51">
        <f t="shared" si="38"/>
        <v>6121.45</v>
      </c>
      <c r="U65" s="30">
        <f t="shared" si="39"/>
        <v>-397.41</v>
      </c>
      <c r="V65" s="17">
        <f t="shared" si="40"/>
        <v>6518.86</v>
      </c>
      <c r="W65" s="51">
        <f t="shared" si="41"/>
        <v>6121.45</v>
      </c>
      <c r="X65" s="42">
        <v>-633.82000000000005</v>
      </c>
      <c r="AA65" s="42">
        <v>1231</v>
      </c>
      <c r="AB65" s="42">
        <v>1392</v>
      </c>
    </row>
    <row r="66" spans="1:28" x14ac:dyDescent="0.3">
      <c r="A66" s="7">
        <v>60</v>
      </c>
      <c r="B66" s="71" t="s">
        <v>173</v>
      </c>
      <c r="C66" s="108">
        <v>5</v>
      </c>
      <c r="D66" s="72">
        <v>43777</v>
      </c>
      <c r="E66" s="73">
        <f t="shared" si="4"/>
        <v>43777</v>
      </c>
      <c r="F66" s="55">
        <v>850</v>
      </c>
      <c r="G66" s="55">
        <v>850</v>
      </c>
      <c r="H66" s="74">
        <f t="shared" si="5"/>
        <v>1</v>
      </c>
      <c r="I66" s="55">
        <v>28845.75</v>
      </c>
      <c r="J66" s="82">
        <f t="shared" si="6"/>
        <v>33.936176470588236</v>
      </c>
      <c r="K66" s="55">
        <v>25428</v>
      </c>
      <c r="L66" s="82">
        <f t="shared" si="7"/>
        <v>29.915294117647058</v>
      </c>
      <c r="M66" s="55">
        <f>15000+450+4500</f>
        <v>19950</v>
      </c>
      <c r="N66" s="78">
        <f t="shared" si="8"/>
        <v>0.69160968253555555</v>
      </c>
      <c r="O66" s="55">
        <f t="shared" si="33"/>
        <v>-690.88</v>
      </c>
      <c r="P66" s="11">
        <f t="shared" si="34"/>
        <v>25428</v>
      </c>
      <c r="Q66" s="41">
        <f t="shared" si="35"/>
        <v>24737.119999999999</v>
      </c>
      <c r="R66" s="55">
        <f t="shared" si="36"/>
        <v>-345.44</v>
      </c>
      <c r="S66" s="11">
        <f t="shared" si="37"/>
        <v>12714</v>
      </c>
      <c r="T66" s="41">
        <f t="shared" si="38"/>
        <v>12368.56</v>
      </c>
      <c r="U66" s="32">
        <f t="shared" si="39"/>
        <v>-345.44</v>
      </c>
      <c r="V66" s="11">
        <f t="shared" si="40"/>
        <v>12714</v>
      </c>
      <c r="W66" s="41">
        <f t="shared" si="41"/>
        <v>12368.56</v>
      </c>
      <c r="X66" s="42">
        <v>-690.88</v>
      </c>
    </row>
    <row r="67" spans="1:28" x14ac:dyDescent="0.3">
      <c r="A67" s="12">
        <v>61</v>
      </c>
      <c r="B67" s="65" t="s">
        <v>174</v>
      </c>
      <c r="C67" s="107">
        <v>2</v>
      </c>
      <c r="D67" s="66">
        <v>43778</v>
      </c>
      <c r="E67" s="67">
        <f t="shared" si="4"/>
        <v>43778</v>
      </c>
      <c r="F67" s="56">
        <v>740</v>
      </c>
      <c r="G67" s="56">
        <v>800</v>
      </c>
      <c r="H67" s="68">
        <f t="shared" si="5"/>
        <v>0.92500000000000004</v>
      </c>
      <c r="I67" s="56">
        <f>19746+AA66</f>
        <v>19746</v>
      </c>
      <c r="J67" s="83">
        <f t="shared" si="6"/>
        <v>26.683783783783785</v>
      </c>
      <c r="K67" s="56">
        <v>7640.5</v>
      </c>
      <c r="L67" s="83">
        <f t="shared" si="7"/>
        <v>10.324999999999999</v>
      </c>
      <c r="M67" s="56">
        <v>15100</v>
      </c>
      <c r="N67" s="70">
        <f t="shared" si="8"/>
        <v>0.76471184037273376</v>
      </c>
      <c r="O67" s="56">
        <f t="shared" si="33"/>
        <v>-4343.47</v>
      </c>
      <c r="P67" s="17">
        <f t="shared" si="34"/>
        <v>7640.5</v>
      </c>
      <c r="Q67" s="51">
        <f t="shared" si="35"/>
        <v>3297.0299999999997</v>
      </c>
      <c r="R67" s="56">
        <f t="shared" si="36"/>
        <v>-2171.7350000000001</v>
      </c>
      <c r="S67" s="17">
        <f t="shared" si="37"/>
        <v>3820.25</v>
      </c>
      <c r="T67" s="51">
        <f t="shared" si="38"/>
        <v>1648.5149999999999</v>
      </c>
      <c r="U67" s="30">
        <f t="shared" si="39"/>
        <v>-2171.7350000000001</v>
      </c>
      <c r="V67" s="17">
        <f t="shared" si="40"/>
        <v>3820.25</v>
      </c>
      <c r="W67" s="51">
        <f t="shared" si="41"/>
        <v>1648.5149999999999</v>
      </c>
      <c r="X67" s="42">
        <v>-4257.22</v>
      </c>
      <c r="AA67" s="42">
        <v>960.75</v>
      </c>
      <c r="AB67" s="42">
        <v>1047</v>
      </c>
    </row>
    <row r="68" spans="1:28" x14ac:dyDescent="0.3">
      <c r="A68" s="7"/>
      <c r="B68" s="71"/>
      <c r="C68" s="108"/>
      <c r="D68" s="72"/>
      <c r="E68" s="73"/>
      <c r="F68" s="55"/>
      <c r="G68" s="55"/>
      <c r="H68" s="74"/>
      <c r="I68" s="55"/>
      <c r="J68" s="82"/>
      <c r="K68" s="55"/>
      <c r="L68" s="82"/>
      <c r="M68" s="55"/>
      <c r="N68" s="78"/>
      <c r="O68" s="55"/>
      <c r="P68" s="11"/>
      <c r="Q68" s="41"/>
      <c r="R68" s="55"/>
      <c r="S68" s="11"/>
      <c r="T68" s="41"/>
      <c r="U68" s="32"/>
      <c r="V68" s="11"/>
      <c r="W68" s="41"/>
    </row>
    <row r="69" spans="1:28" x14ac:dyDescent="0.3">
      <c r="A69" s="7"/>
      <c r="B69" s="71"/>
      <c r="C69" s="108"/>
      <c r="D69" s="72"/>
      <c r="E69" s="73"/>
      <c r="F69" s="55"/>
      <c r="G69" s="55"/>
      <c r="H69" s="74"/>
      <c r="I69" s="55"/>
      <c r="J69" s="82"/>
      <c r="K69" s="55"/>
      <c r="L69" s="82"/>
      <c r="M69" s="55"/>
      <c r="N69" s="78"/>
      <c r="O69" s="55"/>
      <c r="P69" s="11"/>
      <c r="Q69" s="41"/>
      <c r="R69" s="55"/>
      <c r="S69" s="11"/>
      <c r="T69" s="41"/>
      <c r="U69" s="32"/>
      <c r="V69" s="11"/>
      <c r="W69" s="41"/>
    </row>
    <row r="70" spans="1:28" x14ac:dyDescent="0.3">
      <c r="A70" s="7"/>
      <c r="B70" s="71"/>
      <c r="C70" s="108"/>
      <c r="D70" s="72"/>
      <c r="E70" s="73"/>
      <c r="F70" s="55"/>
      <c r="G70" s="55"/>
      <c r="H70" s="74"/>
      <c r="I70" s="55"/>
      <c r="J70" s="82"/>
      <c r="K70" s="55"/>
      <c r="L70" s="82"/>
      <c r="M70" s="55"/>
      <c r="N70" s="78"/>
      <c r="O70" s="55"/>
      <c r="P70" s="11"/>
      <c r="Q70" s="41"/>
      <c r="R70" s="55"/>
      <c r="S70" s="11"/>
      <c r="T70" s="41"/>
      <c r="U70" s="32"/>
      <c r="V70" s="11"/>
      <c r="W70" s="41"/>
    </row>
    <row r="71" spans="1:28" x14ac:dyDescent="0.3">
      <c r="A71" s="7"/>
      <c r="B71" s="71"/>
      <c r="C71" s="108"/>
      <c r="D71" s="72"/>
      <c r="E71" s="73"/>
      <c r="F71" s="55"/>
      <c r="G71" s="55"/>
      <c r="H71" s="74"/>
      <c r="I71" s="55"/>
      <c r="J71" s="82"/>
      <c r="K71" s="55"/>
      <c r="L71" s="82"/>
      <c r="M71" s="55"/>
      <c r="N71" s="78"/>
      <c r="O71" s="55"/>
      <c r="P71" s="11"/>
      <c r="Q71" s="41"/>
      <c r="R71" s="55"/>
      <c r="S71" s="11"/>
      <c r="T71" s="41"/>
      <c r="U71" s="32"/>
      <c r="V71" s="11"/>
      <c r="W71" s="41"/>
    </row>
    <row r="72" spans="1:28" x14ac:dyDescent="0.3">
      <c r="A72" s="7"/>
      <c r="B72" s="71"/>
      <c r="C72" s="108"/>
      <c r="D72" s="72"/>
      <c r="E72" s="73"/>
      <c r="F72" s="55"/>
      <c r="G72" s="55"/>
      <c r="H72" s="74"/>
      <c r="I72" s="55"/>
      <c r="J72" s="82"/>
      <c r="K72" s="55"/>
      <c r="L72" s="82"/>
      <c r="M72" s="55"/>
      <c r="N72" s="78"/>
      <c r="O72" s="55"/>
      <c r="P72" s="11"/>
      <c r="Q72" s="41"/>
      <c r="R72" s="55"/>
      <c r="S72" s="11"/>
      <c r="T72" s="41"/>
      <c r="U72" s="32"/>
      <c r="V72" s="11"/>
      <c r="W72" s="41"/>
    </row>
    <row r="73" spans="1:28" x14ac:dyDescent="0.3">
      <c r="A73" s="12"/>
      <c r="B73" s="65"/>
      <c r="C73" s="107"/>
      <c r="D73" s="66"/>
      <c r="E73" s="67"/>
      <c r="F73" s="56"/>
      <c r="G73" s="56"/>
      <c r="H73" s="68"/>
      <c r="I73" s="56"/>
      <c r="J73" s="83"/>
      <c r="K73" s="56"/>
      <c r="L73" s="83"/>
      <c r="M73" s="56"/>
      <c r="N73" s="70"/>
      <c r="O73" s="56"/>
      <c r="P73" s="17"/>
      <c r="Q73" s="51"/>
      <c r="R73" s="56"/>
      <c r="S73" s="17"/>
      <c r="T73" s="51"/>
      <c r="U73" s="30"/>
      <c r="V73" s="17"/>
      <c r="W73" s="51"/>
    </row>
    <row r="74" spans="1:28" x14ac:dyDescent="0.3">
      <c r="A74" s="7"/>
      <c r="B74" s="71"/>
      <c r="C74" s="108"/>
      <c r="D74" s="72"/>
      <c r="E74" s="73"/>
      <c r="F74" s="55"/>
      <c r="G74" s="55"/>
      <c r="H74" s="74"/>
      <c r="I74" s="55"/>
      <c r="J74" s="82"/>
      <c r="K74" s="55"/>
      <c r="L74" s="82"/>
      <c r="M74" s="55"/>
      <c r="N74" s="78"/>
      <c r="O74" s="55"/>
      <c r="P74" s="11"/>
      <c r="Q74" s="41"/>
      <c r="R74" s="55"/>
      <c r="S74" s="11"/>
      <c r="T74" s="41"/>
      <c r="U74" s="32"/>
      <c r="V74" s="11"/>
      <c r="W74" s="41"/>
    </row>
    <row r="75" spans="1:28" x14ac:dyDescent="0.3">
      <c r="A75" s="12"/>
      <c r="B75" s="65"/>
      <c r="C75" s="107"/>
      <c r="D75" s="66"/>
      <c r="E75" s="67"/>
      <c r="F75" s="56"/>
      <c r="G75" s="56"/>
      <c r="H75" s="68"/>
      <c r="I75" s="56"/>
      <c r="J75" s="83"/>
      <c r="K75" s="56"/>
      <c r="L75" s="83"/>
      <c r="M75" s="56"/>
      <c r="N75" s="70"/>
      <c r="O75" s="56"/>
      <c r="P75" s="17"/>
      <c r="Q75" s="51"/>
      <c r="R75" s="56"/>
      <c r="S75" s="17"/>
      <c r="T75" s="51"/>
      <c r="U75" s="30"/>
      <c r="V75" s="17"/>
      <c r="W75" s="51"/>
    </row>
    <row r="76" spans="1:28" x14ac:dyDescent="0.3">
      <c r="A76" s="7"/>
      <c r="B76" s="71" t="s">
        <v>159</v>
      </c>
      <c r="C76" s="108"/>
      <c r="D76" s="72"/>
      <c r="E76" s="73"/>
      <c r="F76" s="55"/>
      <c r="G76" s="55"/>
      <c r="H76" s="74"/>
      <c r="I76" s="55"/>
      <c r="J76" s="82"/>
      <c r="K76" s="55"/>
      <c r="L76" s="82"/>
      <c r="M76" s="55"/>
      <c r="N76" s="78"/>
      <c r="O76" s="55"/>
      <c r="P76" s="11"/>
      <c r="Q76" s="41"/>
      <c r="R76" s="55"/>
      <c r="S76" s="11"/>
      <c r="T76" s="41"/>
      <c r="U76" s="32"/>
      <c r="V76" s="11"/>
      <c r="W76" s="41"/>
    </row>
    <row r="77" spans="1:28" x14ac:dyDescent="0.3">
      <c r="A77" s="12"/>
      <c r="B77" s="65" t="s">
        <v>160</v>
      </c>
      <c r="C77" s="107"/>
      <c r="D77" s="66"/>
      <c r="E77" s="67"/>
      <c r="F77" s="56"/>
      <c r="G77" s="56"/>
      <c r="H77" s="68"/>
      <c r="I77" s="56"/>
      <c r="J77" s="83"/>
      <c r="K77" s="56"/>
      <c r="L77" s="83"/>
      <c r="M77" s="56"/>
      <c r="N77" s="70"/>
      <c r="O77" s="56"/>
      <c r="P77" s="17"/>
      <c r="Q77" s="51"/>
      <c r="R77" s="56"/>
      <c r="S77" s="17"/>
      <c r="T77" s="51"/>
      <c r="U77" s="30"/>
      <c r="V77" s="17"/>
      <c r="W77" s="51"/>
    </row>
    <row r="78" spans="1:28" x14ac:dyDescent="0.3">
      <c r="A78" s="7"/>
      <c r="B78" s="71" t="s">
        <v>161</v>
      </c>
      <c r="C78" s="108"/>
      <c r="D78" s="72"/>
      <c r="E78" s="73"/>
      <c r="F78" s="55"/>
      <c r="G78" s="55"/>
      <c r="H78" s="74"/>
      <c r="I78" s="55"/>
      <c r="J78" s="82"/>
      <c r="K78" s="55"/>
      <c r="L78" s="82"/>
      <c r="M78" s="55"/>
      <c r="N78" s="78"/>
      <c r="O78" s="55"/>
      <c r="P78" s="11"/>
      <c r="Q78" s="41"/>
      <c r="R78" s="55"/>
      <c r="S78" s="11"/>
      <c r="T78" s="41"/>
      <c r="U78" s="32"/>
      <c r="V78" s="11"/>
      <c r="W78" s="41"/>
    </row>
    <row r="79" spans="1:28" x14ac:dyDescent="0.3">
      <c r="A79" s="12"/>
      <c r="B79" s="65" t="s">
        <v>175</v>
      </c>
      <c r="C79" s="107"/>
      <c r="D79" s="66"/>
      <c r="E79" s="67"/>
      <c r="F79" s="56"/>
      <c r="G79" s="56"/>
      <c r="H79" s="68"/>
      <c r="I79" s="56"/>
      <c r="J79" s="83"/>
      <c r="K79" s="56"/>
      <c r="L79" s="83"/>
      <c r="M79" s="56"/>
      <c r="N79" s="70"/>
      <c r="O79" s="56"/>
      <c r="P79" s="17"/>
      <c r="Q79" s="51"/>
      <c r="R79" s="56"/>
      <c r="S79" s="17"/>
      <c r="T79" s="51"/>
      <c r="U79" s="30"/>
      <c r="V79" s="17"/>
      <c r="W79" s="51"/>
    </row>
    <row r="80" spans="1:28" x14ac:dyDescent="0.3">
      <c r="A80" s="7"/>
      <c r="B80" s="71" t="s">
        <v>176</v>
      </c>
      <c r="C80" s="108"/>
      <c r="D80" s="72"/>
      <c r="E80" s="73"/>
      <c r="F80" s="55"/>
      <c r="G80" s="55"/>
      <c r="H80" s="74"/>
      <c r="I80" s="55"/>
      <c r="J80" s="82"/>
      <c r="K80" s="55"/>
      <c r="L80" s="82"/>
      <c r="M80" s="55"/>
      <c r="N80" s="78"/>
      <c r="O80" s="55"/>
      <c r="P80" s="11"/>
      <c r="Q80" s="41"/>
      <c r="R80" s="55"/>
      <c r="S80" s="11"/>
      <c r="T80" s="41"/>
      <c r="U80" s="32"/>
      <c r="V80" s="11"/>
      <c r="W80" s="41"/>
    </row>
    <row r="81" spans="1:23" x14ac:dyDescent="0.3">
      <c r="A81" s="12"/>
      <c r="B81" s="65" t="s">
        <v>183</v>
      </c>
      <c r="C81" s="107"/>
      <c r="D81" s="66"/>
      <c r="E81" s="67"/>
      <c r="F81" s="56"/>
      <c r="G81" s="56"/>
      <c r="H81" s="68"/>
      <c r="I81" s="56"/>
      <c r="J81" s="83"/>
      <c r="K81" s="56"/>
      <c r="L81" s="83"/>
      <c r="M81" s="56"/>
      <c r="N81" s="70"/>
      <c r="O81" s="56"/>
      <c r="P81" s="17"/>
      <c r="Q81" s="51"/>
      <c r="R81" s="56"/>
      <c r="S81" s="17"/>
      <c r="T81" s="51"/>
      <c r="U81" s="30"/>
      <c r="V81" s="17"/>
      <c r="W81" s="51"/>
    </row>
    <row r="82" spans="1:23" x14ac:dyDescent="0.3">
      <c r="A82" s="7"/>
      <c r="B82" s="71" t="s">
        <v>177</v>
      </c>
      <c r="C82" s="108"/>
      <c r="D82" s="72"/>
      <c r="E82" s="73"/>
      <c r="F82" s="55"/>
      <c r="G82" s="55"/>
      <c r="H82" s="74"/>
      <c r="I82" s="55"/>
      <c r="J82" s="82"/>
      <c r="K82" s="55"/>
      <c r="L82" s="82"/>
      <c r="M82" s="55"/>
      <c r="N82" s="78"/>
      <c r="O82" s="55"/>
      <c r="P82" s="11"/>
      <c r="Q82" s="41"/>
      <c r="R82" s="55"/>
      <c r="S82" s="11"/>
      <c r="T82" s="41"/>
      <c r="U82" s="32"/>
      <c r="V82" s="11"/>
      <c r="W82" s="41"/>
    </row>
    <row r="83" spans="1:23" x14ac:dyDescent="0.3">
      <c r="A83" s="12"/>
      <c r="B83" s="65" t="s">
        <v>197</v>
      </c>
      <c r="C83" s="107"/>
      <c r="D83" s="66"/>
      <c r="E83" s="67"/>
      <c r="F83" s="56"/>
      <c r="G83" s="56"/>
      <c r="H83" s="68"/>
      <c r="I83" s="56"/>
      <c r="J83" s="83"/>
      <c r="K83" s="56"/>
      <c r="L83" s="83"/>
      <c r="M83" s="56"/>
      <c r="N83" s="70"/>
      <c r="O83" s="56"/>
      <c r="P83" s="17"/>
      <c r="Q83" s="51"/>
      <c r="R83" s="56"/>
      <c r="S83" s="17"/>
      <c r="T83" s="51"/>
      <c r="U83" s="30"/>
      <c r="V83" s="17"/>
      <c r="W83" s="51"/>
    </row>
    <row r="84" spans="1:23" x14ac:dyDescent="0.3">
      <c r="A84" s="7"/>
      <c r="B84" s="71"/>
      <c r="C84" s="108"/>
      <c r="D84" s="72"/>
      <c r="E84" s="73"/>
      <c r="F84" s="55"/>
      <c r="G84" s="55"/>
      <c r="H84" s="74"/>
      <c r="I84" s="55"/>
      <c r="J84" s="82"/>
      <c r="K84" s="55"/>
      <c r="L84" s="82"/>
      <c r="M84" s="55"/>
      <c r="N84" s="78"/>
      <c r="O84" s="55"/>
      <c r="P84" s="11"/>
      <c r="Q84" s="41"/>
      <c r="R84" s="55"/>
      <c r="S84" s="11"/>
      <c r="T84" s="41"/>
      <c r="U84" s="32"/>
      <c r="V84" s="11"/>
      <c r="W84" s="41"/>
    </row>
  </sheetData>
  <mergeCells count="6">
    <mergeCell ref="R2:T2"/>
    <mergeCell ref="U2:W2"/>
    <mergeCell ref="B2:N2"/>
    <mergeCell ref="O2:Q2"/>
    <mergeCell ref="O1:Q1"/>
    <mergeCell ref="R1:W1"/>
  </mergeCells>
  <printOptions horizontalCentered="1"/>
  <pageMargins left="0" right="0" top="0.75" bottom="0.75" header="0.3" footer="0.3"/>
  <pageSetup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5291-5DFC-42DA-B4A5-FBA203511753}">
  <dimension ref="A1:V17"/>
  <sheetViews>
    <sheetView workbookViewId="0">
      <selection activeCell="U7" sqref="U7"/>
    </sheetView>
  </sheetViews>
  <sheetFormatPr defaultRowHeight="14.4" x14ac:dyDescent="0.3"/>
  <cols>
    <col min="1" max="1" width="3" bestFit="1" customWidth="1"/>
    <col min="2" max="2" width="26.5546875" customWidth="1"/>
    <col min="3" max="3" width="7.88671875" customWidth="1"/>
    <col min="4" max="4" width="6.5546875" customWidth="1"/>
    <col min="5" max="5" width="7.88671875" hidden="1" customWidth="1"/>
    <col min="6" max="6" width="10.109375" bestFit="1" customWidth="1"/>
    <col min="7" max="7" width="9" customWidth="1"/>
    <col min="8" max="8" width="9.5546875" customWidth="1"/>
    <col min="9" max="9" width="12.109375" bestFit="1" customWidth="1"/>
    <col min="10" max="10" width="11.88671875" customWidth="1"/>
    <col min="11" max="11" width="12.109375" bestFit="1" customWidth="1"/>
    <col min="12" max="12" width="10.44140625" customWidth="1"/>
    <col min="13" max="13" width="10.21875" customWidth="1"/>
    <col min="14" max="14" width="8.33203125" bestFit="1" customWidth="1"/>
    <col min="15" max="15" width="11.88671875" customWidth="1"/>
    <col min="16" max="16" width="12.109375" bestFit="1" customWidth="1"/>
    <col min="17" max="17" width="13.88671875" bestFit="1" customWidth="1"/>
    <col min="18" max="18" width="8.88671875" customWidth="1"/>
    <col min="19" max="19" width="11.88671875" customWidth="1"/>
    <col min="20" max="20" width="10.21875" customWidth="1"/>
    <col min="21" max="21" width="13.88671875" bestFit="1" customWidth="1"/>
    <col min="22" max="22" width="11.109375" bestFit="1" customWidth="1"/>
    <col min="23" max="23" width="3" bestFit="1" customWidth="1"/>
    <col min="24" max="24" width="11" customWidth="1"/>
  </cols>
  <sheetData>
    <row r="1" spans="1:22" ht="15" thickBot="1" x14ac:dyDescent="0.35">
      <c r="Q1" s="136"/>
      <c r="U1" s="136"/>
    </row>
    <row r="2" spans="1:22" ht="15" customHeight="1" thickBot="1" x14ac:dyDescent="0.35">
      <c r="B2" s="126" t="s">
        <v>66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8"/>
      <c r="O2" s="139" t="s">
        <v>194</v>
      </c>
      <c r="P2" s="137"/>
      <c r="Q2" s="137"/>
      <c r="R2" s="138"/>
      <c r="S2" s="121" t="s">
        <v>195</v>
      </c>
      <c r="T2" s="121"/>
      <c r="U2" s="122"/>
    </row>
    <row r="3" spans="1:22" ht="84" thickBot="1" x14ac:dyDescent="0.35">
      <c r="B3" s="57" t="s">
        <v>0</v>
      </c>
      <c r="C3" s="103"/>
      <c r="D3" s="48" t="s">
        <v>191</v>
      </c>
      <c r="E3" s="48" t="s">
        <v>192</v>
      </c>
      <c r="F3" s="49" t="s">
        <v>8</v>
      </c>
      <c r="G3" s="49" t="s">
        <v>84</v>
      </c>
      <c r="H3" s="49" t="s">
        <v>85</v>
      </c>
      <c r="I3" s="48" t="s">
        <v>3</v>
      </c>
      <c r="J3" s="48" t="s">
        <v>4</v>
      </c>
      <c r="K3" s="48" t="s">
        <v>5</v>
      </c>
      <c r="L3" s="48" t="s">
        <v>6</v>
      </c>
      <c r="M3" s="48" t="s">
        <v>7</v>
      </c>
      <c r="N3" s="58" t="s">
        <v>26</v>
      </c>
      <c r="O3" s="52" t="s">
        <v>21</v>
      </c>
      <c r="P3" s="25" t="s">
        <v>179</v>
      </c>
      <c r="Q3" s="26" t="s">
        <v>28</v>
      </c>
      <c r="R3" s="45" t="s">
        <v>196</v>
      </c>
      <c r="S3" s="52" t="s">
        <v>21</v>
      </c>
      <c r="T3" s="25" t="s">
        <v>32</v>
      </c>
      <c r="U3" s="26" t="s">
        <v>28</v>
      </c>
    </row>
    <row r="4" spans="1:22" ht="15" thickBot="1" x14ac:dyDescent="0.35">
      <c r="B4" s="1" t="s">
        <v>9</v>
      </c>
      <c r="C4" s="105"/>
      <c r="D4" s="2">
        <f>SUM(D7:D16)</f>
        <v>60</v>
      </c>
      <c r="E4" s="2">
        <f>SUM(E7:E16)</f>
        <v>61</v>
      </c>
      <c r="F4" s="22">
        <f>SUM(F7:F81)</f>
        <v>28952</v>
      </c>
      <c r="G4" s="22">
        <f>SUM(G7:G81)</f>
        <v>43700</v>
      </c>
      <c r="H4" s="4"/>
      <c r="I4" s="3">
        <f>SUM(I7:I81)</f>
        <v>754923</v>
      </c>
      <c r="J4" s="4"/>
      <c r="K4" s="3">
        <f>SUM(K7:K81)</f>
        <v>523492.54000000004</v>
      </c>
      <c r="L4" s="4"/>
      <c r="M4" s="3">
        <f>SUM(M7:M81)</f>
        <v>456312.56</v>
      </c>
      <c r="N4" s="59">
        <f>SUM(N7:N81)</f>
        <v>4.5034473947034108</v>
      </c>
      <c r="O4" s="27">
        <f>SUM(O7:O81)</f>
        <v>31502.43</v>
      </c>
      <c r="P4" s="3">
        <f>SUM(P7:P81)</f>
        <v>523492.54000000004</v>
      </c>
      <c r="Q4" s="23">
        <f>SUM(Q7:Q81)</f>
        <v>554994.97</v>
      </c>
      <c r="R4" s="135">
        <f>SUM(R7:R81)</f>
        <v>0.99999999999999989</v>
      </c>
      <c r="S4" s="141"/>
      <c r="T4" s="140"/>
      <c r="U4" s="59"/>
    </row>
    <row r="5" spans="1:22" ht="15" thickBot="1" x14ac:dyDescent="0.35">
      <c r="B5" s="1" t="s">
        <v>10</v>
      </c>
      <c r="C5" s="105"/>
      <c r="D5" s="2"/>
      <c r="E5" s="2"/>
      <c r="F5" s="22">
        <f>F4/D4</f>
        <v>482.53333333333336</v>
      </c>
      <c r="G5" s="22">
        <f>G4/D4</f>
        <v>728.33333333333337</v>
      </c>
      <c r="H5" s="20">
        <f>F4/G4</f>
        <v>0.66251716247139592</v>
      </c>
      <c r="I5" s="3">
        <f>I4/D4</f>
        <v>12582.05</v>
      </c>
      <c r="J5" s="5">
        <f>I4/F4</f>
        <v>26.074986184028738</v>
      </c>
      <c r="K5" s="3">
        <f>K4/E4</f>
        <v>8581.844918032788</v>
      </c>
      <c r="L5" s="5">
        <f>K4/F4</f>
        <v>18.081394722298977</v>
      </c>
      <c r="M5" s="3">
        <f>M4/D4</f>
        <v>7605.2093333333332</v>
      </c>
      <c r="N5" s="60">
        <f>M4/I4</f>
        <v>0.60444914249532733</v>
      </c>
      <c r="O5" s="27">
        <f>O4/E4</f>
        <v>516.43327868852464</v>
      </c>
      <c r="P5" s="3">
        <f>P4/E4</f>
        <v>8581.844918032788</v>
      </c>
      <c r="Q5" s="23">
        <f>Q4/E4</f>
        <v>9098.2781967213105</v>
      </c>
      <c r="R5" s="59"/>
      <c r="S5" s="141"/>
      <c r="T5" s="140"/>
      <c r="U5" s="59"/>
    </row>
    <row r="6" spans="1:22" x14ac:dyDescent="0.3">
      <c r="B6" s="14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4"/>
      <c r="O6" s="142"/>
      <c r="P6" s="143"/>
      <c r="Q6" s="143"/>
      <c r="R6" s="144"/>
      <c r="S6" s="142"/>
      <c r="T6" s="143"/>
      <c r="U6" s="144"/>
    </row>
    <row r="7" spans="1:22" x14ac:dyDescent="0.3">
      <c r="A7">
        <v>5</v>
      </c>
      <c r="B7" s="157" t="s">
        <v>187</v>
      </c>
      <c r="C7" s="158"/>
      <c r="D7" s="158">
        <f>COUNTIF('Magic Stick'!C:C,A:A)</f>
        <v>17</v>
      </c>
      <c r="E7" s="158">
        <f>COUNTIF('Magic Stick'!C:C,A:A)</f>
        <v>17</v>
      </c>
      <c r="F7" s="159">
        <f>SUMIF('Magic Stick'!$C:$C,A:A,'Magic Stick'!$F:$F)</f>
        <v>11482</v>
      </c>
      <c r="G7" s="159">
        <f>SUMIF('Magic Stick'!$C:$C,A:A,'Magic Stick'!$G:$G)</f>
        <v>12750</v>
      </c>
      <c r="H7" s="160">
        <f>F7/G7</f>
        <v>0.90054901960784317</v>
      </c>
      <c r="I7" s="161">
        <f>SUMIF('Magic Stick'!$C:$C,A:A,'Magic Stick'!$I:$I)</f>
        <v>328000.25</v>
      </c>
      <c r="J7" s="162">
        <f>I7/F7</f>
        <v>28.566473610869185</v>
      </c>
      <c r="K7" s="161">
        <f>SUMIF('Magic Stick'!$C:$C,A:A,'Magic Stick'!$K:$K)</f>
        <v>243601</v>
      </c>
      <c r="L7" s="162">
        <f>K7/F7</f>
        <v>21.215903152760845</v>
      </c>
      <c r="M7" s="161">
        <f>SUMIF('Magic Stick'!$C:$C,A:A,'Magic Stick'!$M:$M)</f>
        <v>189825</v>
      </c>
      <c r="N7" s="163">
        <f>M7/I7</f>
        <v>0.57873431498908923</v>
      </c>
      <c r="O7" s="164">
        <f>SUMIF('Magic Stick'!$C:$C,A:A,'Magic Stick'!$O:$O)</f>
        <v>46327.560000000005</v>
      </c>
      <c r="P7" s="161">
        <f>K7</f>
        <v>243601</v>
      </c>
      <c r="Q7" s="161">
        <f>O7+P7</f>
        <v>289928.56</v>
      </c>
      <c r="R7" s="163">
        <f>Q7/$Q$4</f>
        <v>0.52239853633268063</v>
      </c>
      <c r="S7" s="164">
        <f>O7/E7</f>
        <v>2725.1505882352944</v>
      </c>
      <c r="T7" s="161">
        <f>P7/E7</f>
        <v>14329.470588235294</v>
      </c>
      <c r="U7" s="165">
        <f>S7+T7</f>
        <v>17054.621176470588</v>
      </c>
    </row>
    <row r="8" spans="1:22" x14ac:dyDescent="0.3">
      <c r="A8">
        <v>2</v>
      </c>
      <c r="B8" s="142" t="s">
        <v>189</v>
      </c>
      <c r="C8" s="143"/>
      <c r="D8" s="143">
        <f>COUNTIF('Magic Stick'!C:C,A:A)</f>
        <v>18</v>
      </c>
      <c r="E8" s="143">
        <f>COUNTIF('Magic Stick'!C:C,A:A)</f>
        <v>18</v>
      </c>
      <c r="F8" s="150">
        <f>SUMIF('Magic Stick'!$C:$C,A:A,'Magic Stick'!$F:$F)</f>
        <v>8732</v>
      </c>
      <c r="G8" s="150">
        <f>SUMIF('Magic Stick'!$C:$C,A:A,'Magic Stick'!$G:$G)</f>
        <v>13300</v>
      </c>
      <c r="H8" s="151">
        <f>F8/G8</f>
        <v>0.65654135338345865</v>
      </c>
      <c r="I8" s="152">
        <f>SUMIF('Magic Stick'!$C:$C,A:A,'Magic Stick'!$I:$I)</f>
        <v>233329.5</v>
      </c>
      <c r="J8" s="153">
        <f>I8/F8</f>
        <v>26.721197892808064</v>
      </c>
      <c r="K8" s="152">
        <f>SUMIF('Magic Stick'!$C:$C,A:A,'Magic Stick'!$K:$K)</f>
        <v>158583.94</v>
      </c>
      <c r="L8" s="153">
        <f>K8/F8</f>
        <v>18.161239120476409</v>
      </c>
      <c r="M8" s="152">
        <f>SUMIF('Magic Stick'!$C:$C,A:A,'Magic Stick'!$M:$M)</f>
        <v>139778.78999999998</v>
      </c>
      <c r="N8" s="148">
        <f>M8/I8</f>
        <v>0.59906179887240996</v>
      </c>
      <c r="O8" s="154">
        <f>SUMIF('Magic Stick'!$C:$C,A:A,'Magic Stick'!$O:$O)</f>
        <v>-9362.1299999999974</v>
      </c>
      <c r="P8" s="152">
        <f>K8</f>
        <v>158583.94</v>
      </c>
      <c r="Q8" s="152">
        <f>O8+P8</f>
        <v>149221.81</v>
      </c>
      <c r="R8" s="148">
        <f>Q8/$Q$4</f>
        <v>0.26887056291699363</v>
      </c>
      <c r="S8" s="154">
        <f t="shared" ref="S8:S14" si="0">O8/E8</f>
        <v>-520.11833333333323</v>
      </c>
      <c r="T8" s="152">
        <f t="shared" ref="T8:T14" si="1">P8/E8</f>
        <v>8810.2188888888886</v>
      </c>
      <c r="U8" s="155">
        <f>S8+T8</f>
        <v>8290.1005555555548</v>
      </c>
    </row>
    <row r="9" spans="1:22" x14ac:dyDescent="0.3">
      <c r="A9">
        <v>4</v>
      </c>
      <c r="B9" s="157" t="s">
        <v>186</v>
      </c>
      <c r="C9" s="158"/>
      <c r="D9" s="158">
        <f>COUNTIF('Magic Stick'!C:C,A:A)</f>
        <v>4</v>
      </c>
      <c r="E9" s="158">
        <f>COUNTIF('Magic Stick'!C:C,A:A)</f>
        <v>4</v>
      </c>
      <c r="F9" s="159">
        <f>SUMIF('Magic Stick'!$C:$C,A:A,'Magic Stick'!$F:$F)</f>
        <v>2143</v>
      </c>
      <c r="G9" s="159">
        <f>SUMIF('Magic Stick'!$C:$C,A:A,'Magic Stick'!$G:$G)</f>
        <v>2800</v>
      </c>
      <c r="H9" s="160">
        <f>F9/G9</f>
        <v>0.76535714285714285</v>
      </c>
      <c r="I9" s="161">
        <f>SUMIF('Magic Stick'!$C:$C,A:A,'Magic Stick'!$I:$I)</f>
        <v>56152.75</v>
      </c>
      <c r="J9" s="162">
        <f>I9/F9</f>
        <v>26.20286980867942</v>
      </c>
      <c r="K9" s="161">
        <f>SUMIF('Magic Stick'!$C:$C,A:A,'Magic Stick'!$K:$K)</f>
        <v>25534.7</v>
      </c>
      <c r="L9" s="162">
        <f>K9/F9</f>
        <v>11.915398973401773</v>
      </c>
      <c r="M9" s="161">
        <f>SUMIF('Magic Stick'!$C:$C,A:A,'Magic Stick'!$M:$M)</f>
        <v>32699.71</v>
      </c>
      <c r="N9" s="163">
        <f>M9/I9</f>
        <v>0.58233497023743275</v>
      </c>
      <c r="O9" s="164">
        <f>SUMIF('Magic Stick'!$C:$C,A:A,'Magic Stick'!$O:$O)</f>
        <v>5928.71</v>
      </c>
      <c r="P9" s="161">
        <f>K9</f>
        <v>25534.7</v>
      </c>
      <c r="Q9" s="161">
        <f>O9+P9</f>
        <v>31463.41</v>
      </c>
      <c r="R9" s="163">
        <f>Q9/$Q$4</f>
        <v>5.6691342626042182E-2</v>
      </c>
      <c r="S9" s="164">
        <f t="shared" si="0"/>
        <v>1482.1775</v>
      </c>
      <c r="T9" s="161">
        <f t="shared" si="1"/>
        <v>6383.6750000000002</v>
      </c>
      <c r="U9" s="165">
        <f>S9+T9</f>
        <v>7865.8525</v>
      </c>
    </row>
    <row r="10" spans="1:22" x14ac:dyDescent="0.3">
      <c r="A10">
        <v>8</v>
      </c>
      <c r="B10" s="142" t="s">
        <v>198</v>
      </c>
      <c r="C10" s="143"/>
      <c r="D10" s="143">
        <f>COUNTIF('Magic Stick'!C:C,A:A)</f>
        <v>8</v>
      </c>
      <c r="E10" s="143">
        <f>COUNTIF('Magic Stick'!C:C,A:A)</f>
        <v>8</v>
      </c>
      <c r="F10" s="150">
        <f>SUMIF('Magic Stick'!$C:$C,A:A,'Magic Stick'!$F:$F)</f>
        <v>2900</v>
      </c>
      <c r="G10" s="150">
        <f>SUMIF('Magic Stick'!$C:$C,A:A,'Magic Stick'!$G:$G)</f>
        <v>5750</v>
      </c>
      <c r="H10" s="151">
        <f>F10/G10</f>
        <v>0.5043478260869565</v>
      </c>
      <c r="I10" s="152">
        <f>SUMIF('Magic Stick'!$C:$C,A:A,'Magic Stick'!$I:$I)</f>
        <v>56980.25</v>
      </c>
      <c r="J10" s="153">
        <f>I10/F10</f>
        <v>19.648362068965518</v>
      </c>
      <c r="K10" s="152">
        <f>SUMIF('Magic Stick'!$C:$C,A:A,'Magic Stick'!$K:$K)</f>
        <v>45576.5</v>
      </c>
      <c r="L10" s="153">
        <f>K10/F10</f>
        <v>15.716034482758621</v>
      </c>
      <c r="M10" s="152">
        <f>SUMIF('Magic Stick'!$C:$C,A:A,'Magic Stick'!$M:$M)</f>
        <v>30975</v>
      </c>
      <c r="N10" s="148">
        <f>M10/I10</f>
        <v>0.54360940852312867</v>
      </c>
      <c r="O10" s="154">
        <f>SUMIF('Magic Stick'!$C:$C,A:A,'Magic Stick'!$O:$O)</f>
        <v>7822.91</v>
      </c>
      <c r="P10" s="152">
        <f>K10</f>
        <v>45576.5</v>
      </c>
      <c r="Q10" s="152">
        <f>O10+P10</f>
        <v>53399.41</v>
      </c>
      <c r="R10" s="148">
        <f>Q10/$Q$4</f>
        <v>9.6216025165056909E-2</v>
      </c>
      <c r="S10" s="154">
        <f t="shared" si="0"/>
        <v>977.86374999999998</v>
      </c>
      <c r="T10" s="152">
        <f t="shared" si="1"/>
        <v>5697.0625</v>
      </c>
      <c r="U10" s="155">
        <f>S10+T10</f>
        <v>6674.9262500000004</v>
      </c>
    </row>
    <row r="11" spans="1:22" x14ac:dyDescent="0.3">
      <c r="A11">
        <v>7</v>
      </c>
      <c r="B11" s="157" t="s">
        <v>188</v>
      </c>
      <c r="C11" s="158"/>
      <c r="D11" s="158">
        <f>COUNTIF('Magic Stick'!C:C,A:A)</f>
        <v>1</v>
      </c>
      <c r="E11" s="158">
        <f>COUNTIF('Magic Stick'!C:C,A:A)</f>
        <v>1</v>
      </c>
      <c r="F11" s="159">
        <f>SUMIF('Magic Stick'!$C:$C,A:A,'Magic Stick'!$F:$F)</f>
        <v>427</v>
      </c>
      <c r="G11" s="159">
        <f>SUMIF('Magic Stick'!$C:$C,A:A,'Magic Stick'!$G:$G)</f>
        <v>700</v>
      </c>
      <c r="H11" s="160">
        <f>F11/G11</f>
        <v>0.61</v>
      </c>
      <c r="I11" s="161">
        <f>SUMIF('Magic Stick'!$C:$C,A:A,'Magic Stick'!$I:$I)</f>
        <v>8988.5</v>
      </c>
      <c r="J11" s="162">
        <f>I11/F11</f>
        <v>21.050351288056206</v>
      </c>
      <c r="K11" s="161">
        <f>SUMIF('Magic Stick'!$C:$C,A:A,'Magic Stick'!$K:$K)</f>
        <v>2115.5</v>
      </c>
      <c r="L11" s="162">
        <f>K11/F11</f>
        <v>4.9543325526932085</v>
      </c>
      <c r="M11" s="161">
        <f>SUMIF('Magic Stick'!$C:$C,A:A,'Magic Stick'!$M:$M)</f>
        <v>5500</v>
      </c>
      <c r="N11" s="163">
        <f>M11/I11</f>
        <v>0.61189297435612167</v>
      </c>
      <c r="O11" s="164">
        <f>SUMIF('Magic Stick'!$C:$C,A:A,'Magic Stick'!$O:$O)</f>
        <v>450.29</v>
      </c>
      <c r="P11" s="161">
        <f>K11</f>
        <v>2115.5</v>
      </c>
      <c r="Q11" s="161">
        <f>O11+P11</f>
        <v>2565.79</v>
      </c>
      <c r="R11" s="163">
        <f>Q11/$Q$4</f>
        <v>4.6230869443735683E-3</v>
      </c>
      <c r="S11" s="164">
        <f t="shared" si="0"/>
        <v>450.29</v>
      </c>
      <c r="T11" s="161">
        <f t="shared" si="1"/>
        <v>2115.5</v>
      </c>
      <c r="U11" s="165">
        <f>S11+T11</f>
        <v>2565.79</v>
      </c>
      <c r="V11" s="46"/>
    </row>
    <row r="12" spans="1:22" x14ac:dyDescent="0.3">
      <c r="A12">
        <v>3</v>
      </c>
      <c r="B12" s="142" t="s">
        <v>185</v>
      </c>
      <c r="C12" s="143"/>
      <c r="D12" s="143">
        <f>COUNTIF('Magic Stick'!C:C,A:A)</f>
        <v>5</v>
      </c>
      <c r="E12" s="143">
        <f>COUNTIF('Magic Stick'!C:C,A:A)</f>
        <v>5</v>
      </c>
      <c r="F12" s="150">
        <f>SUMIF('Magic Stick'!$C:$C,A:A,'Magic Stick'!$F:$F)</f>
        <v>1400</v>
      </c>
      <c r="G12" s="150">
        <f>SUMIF('Magic Stick'!$C:$C,A:A,'Magic Stick'!$G:$G)</f>
        <v>3500</v>
      </c>
      <c r="H12" s="151">
        <f>F12/G12</f>
        <v>0.4</v>
      </c>
      <c r="I12" s="152">
        <f>SUMIF('Magic Stick'!$C:$C,A:A,'Magic Stick'!$I:$I)</f>
        <v>29836</v>
      </c>
      <c r="J12" s="153">
        <f>I12/F12</f>
        <v>21.311428571428571</v>
      </c>
      <c r="K12" s="152">
        <f>SUMIF('Magic Stick'!$C:$C,A:A,'Magic Stick'!$K:$K)</f>
        <v>19664.900000000001</v>
      </c>
      <c r="L12" s="153">
        <f>K12/F12</f>
        <v>14.046357142857143</v>
      </c>
      <c r="M12" s="152">
        <f>SUMIF('Magic Stick'!$C:$C,A:A,'Magic Stick'!$M:$M)</f>
        <v>21684.06</v>
      </c>
      <c r="N12" s="148">
        <f>M12/I12</f>
        <v>0.72677503686821299</v>
      </c>
      <c r="O12" s="154">
        <f>SUMIF('Magic Stick'!$C:$C,A:A,'Magic Stick'!$O:$O)</f>
        <v>-7805.3599999999988</v>
      </c>
      <c r="P12" s="152">
        <f>K12</f>
        <v>19664.900000000001</v>
      </c>
      <c r="Q12" s="152">
        <f>O12+P12</f>
        <v>11859.540000000003</v>
      </c>
      <c r="R12" s="148">
        <f>Q12/$Q$4</f>
        <v>2.1368734206726241E-2</v>
      </c>
      <c r="S12" s="154">
        <f t="shared" si="0"/>
        <v>-1561.0719999999997</v>
      </c>
      <c r="T12" s="152">
        <f t="shared" si="1"/>
        <v>3932.9800000000005</v>
      </c>
      <c r="U12" s="155">
        <f>S12+T12</f>
        <v>2371.9080000000008</v>
      </c>
    </row>
    <row r="13" spans="1:22" x14ac:dyDescent="0.3">
      <c r="A13">
        <v>6</v>
      </c>
      <c r="B13" s="157" t="s">
        <v>184</v>
      </c>
      <c r="C13" s="158"/>
      <c r="D13" s="158"/>
      <c r="E13" s="158">
        <f>COUNTIF('Magic Stick'!C:C,A:A)</f>
        <v>1</v>
      </c>
      <c r="F13" s="159"/>
      <c r="G13" s="159"/>
      <c r="H13" s="160"/>
      <c r="I13" s="161"/>
      <c r="J13" s="162"/>
      <c r="K13" s="161">
        <f>SUMIF('Magic Stick'!$C:$C,A:A,'Magic Stick'!$K:$K)</f>
        <v>2361</v>
      </c>
      <c r="L13" s="162"/>
      <c r="M13" s="161"/>
      <c r="N13" s="163"/>
      <c r="O13" s="164">
        <f>SUMIF('Magic Stick'!$C:$C,A:A,'Magic Stick'!$O:$O)</f>
        <v>-120</v>
      </c>
      <c r="P13" s="161">
        <f>K13</f>
        <v>2361</v>
      </c>
      <c r="Q13" s="161">
        <f>O13+P13</f>
        <v>2241</v>
      </c>
      <c r="R13" s="163">
        <f>Q13/$Q$4</f>
        <v>4.0378744333484685E-3</v>
      </c>
      <c r="S13" s="164">
        <f t="shared" si="0"/>
        <v>-120</v>
      </c>
      <c r="T13" s="161">
        <f t="shared" si="1"/>
        <v>2361</v>
      </c>
      <c r="U13" s="165">
        <f>S13+T13</f>
        <v>2241</v>
      </c>
    </row>
    <row r="14" spans="1:22" x14ac:dyDescent="0.3">
      <c r="A14">
        <v>1</v>
      </c>
      <c r="B14" s="142" t="s">
        <v>190</v>
      </c>
      <c r="C14" s="143"/>
      <c r="D14" s="143">
        <f>COUNTIF('Magic Stick'!C:C,A:A)</f>
        <v>7</v>
      </c>
      <c r="E14" s="143">
        <f>COUNTIF('Magic Stick'!C:C,A:A)</f>
        <v>7</v>
      </c>
      <c r="F14" s="150">
        <f>SUMIF('Magic Stick'!$C:$C,A:A,'Magic Stick'!$F:$F)</f>
        <v>1868</v>
      </c>
      <c r="G14" s="150">
        <f>SUMIF('Magic Stick'!$C:$C,A:A,'Magic Stick'!$G:$G)</f>
        <v>4900</v>
      </c>
      <c r="H14" s="151">
        <f>F14/G14</f>
        <v>0.38122448979591839</v>
      </c>
      <c r="I14" s="152">
        <f>SUMIF('Magic Stick'!$C:$C,A:A,'Magic Stick'!$I:$I)</f>
        <v>41635.75</v>
      </c>
      <c r="J14" s="153">
        <f>I14/F14</f>
        <v>22.288945396145611</v>
      </c>
      <c r="K14" s="152">
        <f>SUMIF('Magic Stick'!$C:$C,A:A,'Magic Stick'!$K:$K)</f>
        <v>26055</v>
      </c>
      <c r="L14" s="153">
        <f>K14/F14</f>
        <v>13.948072805139187</v>
      </c>
      <c r="M14" s="152">
        <f>SUMIF('Magic Stick'!$C:$C,A:A,'Magic Stick'!$M:$M)</f>
        <v>35850</v>
      </c>
      <c r="N14" s="148">
        <f>M14/I14</f>
        <v>0.8610388908570159</v>
      </c>
      <c r="O14" s="154">
        <f>SUMIF('Magic Stick'!$C:$C,A:A,'Magic Stick'!$O:$O)</f>
        <v>-11739.550000000001</v>
      </c>
      <c r="P14" s="152">
        <f>K14</f>
        <v>26055</v>
      </c>
      <c r="Q14" s="152">
        <f>O14+P14</f>
        <v>14315.449999999999</v>
      </c>
      <c r="R14" s="148">
        <f>Q14/$Q$4</f>
        <v>2.5793837374778368E-2</v>
      </c>
      <c r="S14" s="154">
        <f t="shared" si="0"/>
        <v>-1677.0785714285716</v>
      </c>
      <c r="T14" s="152">
        <f t="shared" si="1"/>
        <v>3722.1428571428573</v>
      </c>
      <c r="U14" s="155">
        <f>S14+T14</f>
        <v>2045.0642857142857</v>
      </c>
    </row>
    <row r="15" spans="1:22" x14ac:dyDescent="0.3">
      <c r="B15" s="142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4"/>
      <c r="O15" s="142"/>
      <c r="P15" s="143"/>
      <c r="Q15" s="149"/>
      <c r="R15" s="144"/>
      <c r="S15" s="142"/>
      <c r="T15" s="143"/>
      <c r="U15" s="144"/>
    </row>
    <row r="16" spans="1:22" x14ac:dyDescent="0.3">
      <c r="B16" s="142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4"/>
      <c r="O16" s="142"/>
      <c r="P16" s="143"/>
      <c r="Q16" s="143"/>
      <c r="R16" s="144"/>
      <c r="S16" s="142"/>
      <c r="T16" s="143"/>
      <c r="U16" s="144"/>
    </row>
    <row r="17" spans="2:21" ht="15" thickBot="1" x14ac:dyDescent="0.35">
      <c r="B17" s="145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45"/>
      <c r="P17" s="146"/>
      <c r="Q17" s="146"/>
      <c r="R17" s="147"/>
      <c r="S17" s="145"/>
      <c r="T17" s="146"/>
      <c r="U17" s="147"/>
    </row>
  </sheetData>
  <sortState xmlns:xlrd2="http://schemas.microsoft.com/office/spreadsheetml/2017/richdata2" ref="A7:U14">
    <sortCondition descending="1" ref="U7:U14"/>
  </sortState>
  <mergeCells count="3">
    <mergeCell ref="B2:N2"/>
    <mergeCell ref="S2:U2"/>
    <mergeCell ref="O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Theatre</vt:lpstr>
      <vt:lpstr>Magic Stick</vt:lpstr>
      <vt:lpstr>Magic Stick-by Promoter</vt:lpstr>
      <vt:lpstr>'Magic Stick'!Print_Area</vt:lpstr>
      <vt:lpstr>Theatre!Print_Area</vt:lpstr>
      <vt:lpstr>Theatre!Print_Titles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Ott</dc:creator>
  <cp:lastModifiedBy>Tom Ott</cp:lastModifiedBy>
  <cp:lastPrinted>2019-11-06T17:21:46Z</cp:lastPrinted>
  <dcterms:created xsi:type="dcterms:W3CDTF">2019-03-04T20:21:35Z</dcterms:created>
  <dcterms:modified xsi:type="dcterms:W3CDTF">2019-11-12T20:00:13Z</dcterms:modified>
</cp:coreProperties>
</file>