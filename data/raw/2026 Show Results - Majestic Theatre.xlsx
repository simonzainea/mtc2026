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atre" sheetId="1" r:id="rId4"/>
  </sheets>
  <definedNames/>
  <calcPr/>
  <extLst>
    <ext uri="GoogleSheetsCustomDataVersion2">
      <go:sheetsCustomData xmlns:go="http://customooxmlschemas.google.com/" r:id="rId5" roundtripDataChecksum="3AMKBa/eOaiK7MCgM6dUHZbcg/7uiLLhrJSTKTDw3cM="/>
    </ext>
  </extLst>
</workbook>
</file>

<file path=xl/sharedStrings.xml><?xml version="1.0" encoding="utf-8"?>
<sst xmlns="http://schemas.openxmlformats.org/spreadsheetml/2006/main" count="58" uniqueCount="55">
  <si>
    <t>VENUE TOTAL</t>
  </si>
  <si>
    <t>PARTNER SPLIT</t>
  </si>
  <si>
    <t>***MAJESTIC THEATRE RESULTS***</t>
  </si>
  <si>
    <t>MTC Inc</t>
  </si>
  <si>
    <t>MAJESTIC THEATRE</t>
  </si>
  <si>
    <t xml:space="preserve">AEG </t>
  </si>
  <si>
    <t>Name</t>
  </si>
  <si>
    <t>Date</t>
  </si>
  <si>
    <t>Day of the week</t>
  </si>
  <si>
    <t>Tickets Sold</t>
  </si>
  <si>
    <t>Venue Capacity</t>
  </si>
  <si>
    <t>Capacity Rate</t>
  </si>
  <si>
    <t>Gross Ticket Revenue</t>
  </si>
  <si>
    <t>Avg. Ticket Price (including TW rebate)</t>
  </si>
  <si>
    <t>Bar Revenue</t>
  </si>
  <si>
    <t>Avg sale of alcohol per guest</t>
  </si>
  <si>
    <t>Band(s) guarantee</t>
  </si>
  <si>
    <t>% of Gross Ticket Revenue</t>
  </si>
  <si>
    <t xml:space="preserve">Gate Settlement Gain/(Loss)  </t>
  </si>
  <si>
    <t>Bar Sales 100%</t>
  </si>
  <si>
    <t>Show Gross Proceeds (before COGS, Labor, &amp; Facility Costs)</t>
  </si>
  <si>
    <t>Bar Sales 70%</t>
  </si>
  <si>
    <t>Bar  COGS, Labor &amp; Facility Costs 28%</t>
  </si>
  <si>
    <t>Show Gross Proceeds</t>
  </si>
  <si>
    <t>Bar Sales 30%</t>
  </si>
  <si>
    <t>INPUT - Total Gate Settlement</t>
  </si>
  <si>
    <t>TOTALS</t>
  </si>
  <si>
    <t>AVERAGES</t>
  </si>
  <si>
    <t>State Champs</t>
  </si>
  <si>
    <t>Twin Sick</t>
  </si>
  <si>
    <t>Honsetav</t>
  </si>
  <si>
    <t>Gogol Bordello</t>
  </si>
  <si>
    <t>Jesse Welles</t>
  </si>
  <si>
    <t>Thievery Corp</t>
  </si>
  <si>
    <t>Evan Honer</t>
  </si>
  <si>
    <t>Naika</t>
  </si>
  <si>
    <t>Microwave</t>
  </si>
  <si>
    <t>Snail Mail</t>
  </si>
  <si>
    <t>Snow tha Product</t>
  </si>
  <si>
    <t>Earlybirds Club</t>
  </si>
  <si>
    <t>49 Winchester</t>
  </si>
  <si>
    <t>Che</t>
  </si>
  <si>
    <t>Joyce Manor</t>
  </si>
  <si>
    <t>Ty Segal</t>
  </si>
  <si>
    <t>They Might be Giants</t>
  </si>
  <si>
    <t>Biffy</t>
  </si>
  <si>
    <t>Naomi Watanabe</t>
  </si>
  <si>
    <t>Babyfxce E</t>
  </si>
  <si>
    <t>Demon Hunter</t>
  </si>
  <si>
    <t>Clara La San</t>
  </si>
  <si>
    <t>Courtney Barnett</t>
  </si>
  <si>
    <t>Thornhill</t>
  </si>
  <si>
    <t>Club 1 BD</t>
  </si>
  <si>
    <t>Crash Dummies</t>
  </si>
  <si>
    <t>Sa/Su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</si>
</sst>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&quot;$&quot;* #,##0.00_);_(&quot;$&quot;* \(#,##0.00\);_(&quot;$&quot;* &quot;-&quot;??_);_(@_)"/>
    <numFmt numFmtId="168" formatCode="m/d/yy"/>
    <numFmt numFmtId="169" formatCode="ddd"/>
    <numFmt numFmtId="170" formatCode="_(* #,##0_);_(* \(#,##0\);_(* &quot;-&quot;_);_(@_)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theme="1"/>
      <name val="Calibri"/>
    </font>
    <font>
      <b/>
      <sz val="11.0"/>
      <color theme="1"/>
      <name val="Times New Roman"/>
    </font>
    <font>
      <b/>
      <sz val="11.0"/>
      <color rgb="FFFF0000"/>
      <name val="Times New Roman"/>
    </font>
    <font>
      <b/>
      <sz val="11.0"/>
      <color rgb="FFFF0000"/>
      <name val="Calibri"/>
    </font>
    <font>
      <sz val="10.0"/>
      <color theme="1"/>
      <name val="Times New Roman"/>
    </font>
    <font>
      <sz val="10.0"/>
      <color rgb="FFFF0000"/>
      <name val="Times New Roman"/>
    </font>
    <font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9" xfId="0" applyFont="1" applyNumberForma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0" fillId="0" fontId="4" numFmtId="0" xfId="0" applyFont="1"/>
    <xf borderId="1" fillId="4" fontId="4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/>
    </xf>
    <xf borderId="4" fillId="7" fontId="5" numFmtId="0" xfId="0" applyAlignment="1" applyBorder="1" applyFill="1" applyFont="1">
      <alignment horizontal="center" shrinkToFit="0" wrapText="1"/>
    </xf>
    <xf borderId="5" fillId="7" fontId="5" numFmtId="0" xfId="0" applyAlignment="1" applyBorder="1" applyFont="1">
      <alignment horizontal="center" shrinkToFit="0" wrapText="1"/>
    </xf>
    <xf borderId="5" fillId="7" fontId="5" numFmtId="164" xfId="0" applyAlignment="1" applyBorder="1" applyFont="1" applyNumberFormat="1">
      <alignment horizontal="center" shrinkToFit="0" wrapText="1"/>
    </xf>
    <xf borderId="6" fillId="7" fontId="5" numFmtId="0" xfId="0" applyAlignment="1" applyBorder="1" applyFont="1">
      <alignment horizontal="center" shrinkToFit="0" wrapText="1"/>
    </xf>
    <xf borderId="7" fillId="7" fontId="5" numFmtId="0" xfId="0" applyAlignment="1" applyBorder="1" applyFont="1">
      <alignment horizontal="center" shrinkToFit="0" wrapText="1"/>
    </xf>
    <xf borderId="8" fillId="7" fontId="5" numFmtId="0" xfId="0" applyAlignment="1" applyBorder="1" applyFont="1">
      <alignment horizontal="center" shrinkToFit="0" wrapText="1"/>
    </xf>
    <xf borderId="9" fillId="7" fontId="5" numFmtId="0" xfId="0" applyAlignment="1" applyBorder="1" applyFont="1">
      <alignment horizontal="center" shrinkToFit="0" wrapText="1"/>
    </xf>
    <xf borderId="10" fillId="7" fontId="6" numFmtId="0" xfId="0" applyAlignment="1" applyBorder="1" applyFont="1">
      <alignment horizontal="center" shrinkToFit="0" wrapText="1"/>
    </xf>
    <xf borderId="11" fillId="0" fontId="4" numFmtId="165" xfId="0" applyAlignment="1" applyBorder="1" applyFont="1" applyNumberFormat="1">
      <alignment horizontal="center" shrinkToFit="0" wrapText="1"/>
    </xf>
    <xf borderId="12" fillId="4" fontId="5" numFmtId="0" xfId="0" applyBorder="1" applyFont="1"/>
    <xf borderId="13" fillId="4" fontId="4" numFmtId="0" xfId="0" applyBorder="1" applyFont="1"/>
    <xf borderId="13" fillId="4" fontId="5" numFmtId="164" xfId="0" applyBorder="1" applyFont="1" applyNumberFormat="1"/>
    <xf borderId="13" fillId="2" fontId="5" numFmtId="164" xfId="0" applyBorder="1" applyFont="1" applyNumberFormat="1"/>
    <xf borderId="13" fillId="4" fontId="5" numFmtId="166" xfId="0" applyBorder="1" applyFont="1" applyNumberFormat="1"/>
    <xf borderId="14" fillId="2" fontId="5" numFmtId="166" xfId="0" applyBorder="1" applyFont="1" applyNumberFormat="1"/>
    <xf borderId="12" fillId="4" fontId="5" numFmtId="166" xfId="0" applyBorder="1" applyFont="1" applyNumberFormat="1"/>
    <xf borderId="14" fillId="4" fontId="5" numFmtId="166" xfId="0" applyBorder="1" applyFont="1" applyNumberFormat="1"/>
    <xf borderId="13" fillId="4" fontId="6" numFmtId="166" xfId="0" applyBorder="1" applyFont="1" applyNumberFormat="1"/>
    <xf borderId="13" fillId="4" fontId="5" numFmtId="10" xfId="0" applyBorder="1" applyFont="1" applyNumberFormat="1"/>
    <xf borderId="13" fillId="4" fontId="5" numFmtId="167" xfId="0" applyBorder="1" applyFont="1" applyNumberFormat="1"/>
    <xf borderId="14" fillId="4" fontId="5" numFmtId="10" xfId="0" applyBorder="1" applyFont="1" applyNumberFormat="1"/>
    <xf borderId="15" fillId="0" fontId="4" numFmtId="0" xfId="0" applyBorder="1" applyFont="1"/>
    <xf borderId="16" fillId="0" fontId="4" numFmtId="0" xfId="0" applyBorder="1" applyFont="1"/>
    <xf borderId="16" fillId="0" fontId="4" numFmtId="165" xfId="0" applyBorder="1" applyFont="1" applyNumberFormat="1"/>
    <xf borderId="16" fillId="0" fontId="4" numFmtId="164" xfId="0" applyBorder="1" applyFont="1" applyNumberFormat="1"/>
    <xf borderId="17" fillId="0" fontId="4" numFmtId="165" xfId="0" applyBorder="1" applyFont="1" applyNumberFormat="1"/>
    <xf borderId="15" fillId="0" fontId="4" numFmtId="165" xfId="0" applyBorder="1" applyFont="1" applyNumberFormat="1"/>
    <xf borderId="16" fillId="0" fontId="7" numFmtId="165" xfId="0" applyBorder="1" applyFont="1" applyNumberFormat="1"/>
    <xf borderId="18" fillId="7" fontId="8" numFmtId="0" xfId="0" applyBorder="1" applyFont="1"/>
    <xf borderId="19" fillId="7" fontId="8" numFmtId="0" xfId="0" applyAlignment="1" applyBorder="1" applyFont="1">
      <alignment readingOrder="0"/>
    </xf>
    <xf borderId="18" fillId="7" fontId="8" numFmtId="168" xfId="0" applyAlignment="1" applyBorder="1" applyFont="1" applyNumberFormat="1">
      <alignment horizontal="center" readingOrder="0"/>
    </xf>
    <xf borderId="18" fillId="7" fontId="8" numFmtId="169" xfId="0" applyAlignment="1" applyBorder="1" applyFont="1" applyNumberFormat="1">
      <alignment horizontal="center"/>
    </xf>
    <xf borderId="18" fillId="7" fontId="8" numFmtId="164" xfId="0" applyAlignment="1" applyBorder="1" applyFont="1" applyNumberFormat="1">
      <alignment readingOrder="0"/>
    </xf>
    <xf borderId="18" fillId="7" fontId="8" numFmtId="164" xfId="0" applyBorder="1" applyFont="1" applyNumberFormat="1"/>
    <xf borderId="18" fillId="7" fontId="8" numFmtId="9" xfId="0" applyBorder="1" applyFont="1" applyNumberFormat="1"/>
    <xf borderId="18" fillId="7" fontId="8" numFmtId="166" xfId="0" applyAlignment="1" applyBorder="1" applyFont="1" applyNumberFormat="1">
      <alignment readingOrder="0"/>
    </xf>
    <xf borderId="18" fillId="7" fontId="8" numFmtId="167" xfId="0" applyBorder="1" applyFont="1" applyNumberFormat="1"/>
    <xf borderId="18" fillId="7" fontId="8" numFmtId="166" xfId="0" applyBorder="1" applyFont="1" applyNumberFormat="1"/>
    <xf borderId="20" fillId="7" fontId="8" numFmtId="9" xfId="0" applyBorder="1" applyFont="1" applyNumberFormat="1"/>
    <xf borderId="19" fillId="7" fontId="8" numFmtId="166" xfId="0" applyBorder="1" applyFont="1" applyNumberFormat="1"/>
    <xf borderId="20" fillId="7" fontId="8" numFmtId="166" xfId="0" applyBorder="1" applyFont="1" applyNumberFormat="1"/>
    <xf borderId="19" fillId="7" fontId="8" numFmtId="170" xfId="0" applyBorder="1" applyFont="1" applyNumberFormat="1"/>
    <xf borderId="18" fillId="7" fontId="8" numFmtId="170" xfId="0" applyBorder="1" applyFont="1" applyNumberFormat="1"/>
    <xf borderId="18" fillId="7" fontId="9" numFmtId="170" xfId="0" applyBorder="1" applyFont="1" applyNumberFormat="1"/>
    <xf borderId="20" fillId="7" fontId="8" numFmtId="170" xfId="0" applyBorder="1" applyFont="1" applyNumberFormat="1"/>
    <xf borderId="0" fillId="0" fontId="4" numFmtId="165" xfId="0" applyAlignment="1" applyFont="1" applyNumberFormat="1">
      <alignment readingOrder="0"/>
    </xf>
    <xf borderId="0" fillId="0" fontId="8" numFmtId="0" xfId="0" applyFont="1"/>
    <xf borderId="21" fillId="0" fontId="8" numFmtId="0" xfId="0" applyAlignment="1" applyBorder="1" applyFont="1">
      <alignment readingOrder="0"/>
    </xf>
    <xf borderId="0" fillId="0" fontId="8" numFmtId="168" xfId="0" applyAlignment="1" applyFont="1" applyNumberFormat="1">
      <alignment horizontal="center" readingOrder="0"/>
    </xf>
    <xf borderId="0" fillId="0" fontId="8" numFmtId="169" xfId="0" applyAlignment="1" applyFont="1" applyNumberFormat="1">
      <alignment horizontal="center"/>
    </xf>
    <xf borderId="0" fillId="0" fontId="8" numFmtId="164" xfId="0" applyAlignment="1" applyFont="1" applyNumberFormat="1">
      <alignment readingOrder="0"/>
    </xf>
    <xf borderId="0" fillId="0" fontId="8" numFmtId="164" xfId="0" applyFont="1" applyNumberFormat="1"/>
    <xf borderId="0" fillId="0" fontId="8" numFmtId="9" xfId="0" applyFont="1" applyNumberFormat="1"/>
    <xf borderId="0" fillId="0" fontId="8" numFmtId="165" xfId="0" applyFont="1" applyNumberFormat="1"/>
    <xf borderId="22" fillId="0" fontId="8" numFmtId="9" xfId="0" applyBorder="1" applyFont="1" applyNumberFormat="1"/>
    <xf borderId="21" fillId="0" fontId="8" numFmtId="164" xfId="0" applyBorder="1" applyFont="1" applyNumberFormat="1"/>
    <xf borderId="22" fillId="0" fontId="8" numFmtId="164" xfId="0" applyBorder="1" applyFont="1" applyNumberFormat="1"/>
    <xf borderId="21" fillId="0" fontId="8" numFmtId="170" xfId="0" applyBorder="1" applyFont="1" applyNumberFormat="1"/>
    <xf borderId="0" fillId="0" fontId="8" numFmtId="170" xfId="0" applyFont="1" applyNumberFormat="1"/>
    <xf borderId="0" fillId="0" fontId="9" numFmtId="170" xfId="0" applyFont="1" applyNumberFormat="1"/>
    <xf borderId="22" fillId="0" fontId="8" numFmtId="170" xfId="0" applyBorder="1" applyFont="1" applyNumberFormat="1"/>
    <xf borderId="18" fillId="7" fontId="8" numFmtId="165" xfId="0" applyBorder="1" applyFont="1" applyNumberFormat="1"/>
    <xf borderId="19" fillId="7" fontId="8" numFmtId="164" xfId="0" applyBorder="1" applyFont="1" applyNumberFormat="1"/>
    <xf borderId="20" fillId="7" fontId="8" numFmtId="164" xfId="0" applyBorder="1" applyFont="1" applyNumberFormat="1"/>
    <xf borderId="18" fillId="8" fontId="4" numFmtId="165" xfId="0" applyAlignment="1" applyBorder="1" applyFill="1" applyFont="1" applyNumberFormat="1">
      <alignment readingOrder="0"/>
    </xf>
    <xf borderId="0" fillId="8" fontId="4" numFmtId="165" xfId="0" applyAlignment="1" applyFont="1" applyNumberFormat="1">
      <alignment readingOrder="0"/>
    </xf>
    <xf borderId="19" fillId="7" fontId="8" numFmtId="0" xfId="0" applyBorder="1" applyFont="1"/>
    <xf borderId="18" fillId="7" fontId="8" numFmtId="168" xfId="0" applyAlignment="1" applyBorder="1" applyFont="1" applyNumberFormat="1">
      <alignment horizontal="center"/>
    </xf>
    <xf borderId="18" fillId="8" fontId="4" numFmtId="165" xfId="0" applyBorder="1" applyFont="1" applyNumberFormat="1"/>
    <xf borderId="21" fillId="0" fontId="8" numFmtId="0" xfId="0" applyBorder="1" applyFont="1"/>
    <xf borderId="0" fillId="0" fontId="8" numFmtId="168" xfId="0" applyAlignment="1" applyFont="1" applyNumberFormat="1">
      <alignment horizontal="center"/>
    </xf>
    <xf borderId="0" fillId="8" fontId="4" numFmtId="165" xfId="0" applyFont="1" applyNumberFormat="1"/>
    <xf borderId="0" fillId="0" fontId="1" numFmtId="165" xfId="0" applyFont="1" applyNumberFormat="1"/>
    <xf borderId="0" fillId="0" fontId="4" numFmtId="165" xfId="0" applyFont="1" applyNumberFormat="1"/>
    <xf borderId="23" fillId="0" fontId="8" numFmtId="0" xfId="0" applyBorder="1" applyFont="1"/>
    <xf borderId="24" fillId="0" fontId="8" numFmtId="168" xfId="0" applyAlignment="1" applyBorder="1" applyFont="1" applyNumberFormat="1">
      <alignment horizontal="center"/>
    </xf>
    <xf borderId="24" fillId="0" fontId="8" numFmtId="169" xfId="0" applyAlignment="1" applyBorder="1" applyFont="1" applyNumberFormat="1">
      <alignment horizontal="center"/>
    </xf>
    <xf borderId="24" fillId="0" fontId="8" numFmtId="164" xfId="0" applyBorder="1" applyFont="1" applyNumberFormat="1"/>
    <xf borderId="24" fillId="0" fontId="8" numFmtId="9" xfId="0" applyBorder="1" applyFont="1" applyNumberFormat="1"/>
    <xf borderId="24" fillId="0" fontId="8" numFmtId="165" xfId="0" applyBorder="1" applyFont="1" applyNumberFormat="1"/>
    <xf borderId="25" fillId="0" fontId="8" numFmtId="9" xfId="0" applyBorder="1" applyFont="1" applyNumberFormat="1"/>
    <xf borderId="23" fillId="0" fontId="8" numFmtId="164" xfId="0" applyBorder="1" applyFont="1" applyNumberFormat="1"/>
    <xf borderId="25" fillId="0" fontId="8" numFmtId="164" xfId="0" applyBorder="1" applyFont="1" applyNumberFormat="1"/>
    <xf borderId="23" fillId="0" fontId="8" numFmtId="170" xfId="0" applyBorder="1" applyFont="1" applyNumberFormat="1"/>
    <xf borderId="24" fillId="0" fontId="8" numFmtId="170" xfId="0" applyBorder="1" applyFont="1" applyNumberFormat="1"/>
    <xf borderId="24" fillId="0" fontId="9" numFmtId="170" xfId="0" applyBorder="1" applyFont="1" applyNumberFormat="1"/>
    <xf borderId="25" fillId="0" fontId="8" numFmtId="170" xfId="0" applyBorder="1" applyFont="1" applyNumberForma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34.29"/>
    <col customWidth="1" min="3" max="3" width="8.14"/>
    <col customWidth="1" min="4" max="4" width="6.0"/>
    <col customWidth="1" min="5" max="6" width="8.71"/>
    <col customWidth="1" min="7" max="7" width="9.29"/>
    <col customWidth="1" min="8" max="8" width="12.43"/>
    <col customWidth="1" min="9" max="9" width="10.86"/>
    <col customWidth="1" min="10" max="10" width="11.0"/>
    <col customWidth="1" min="11" max="11" width="9.71"/>
    <col customWidth="1" min="12" max="12" width="12.71"/>
    <col customWidth="1" min="13" max="13" width="9.14"/>
    <col customWidth="1" min="14" max="14" width="11.71"/>
    <col customWidth="1" min="15" max="15" width="11.0"/>
    <col customWidth="1" min="16" max="16" width="13.71"/>
    <col customWidth="1" min="17" max="17" width="12.29"/>
    <col customWidth="1" min="18" max="19" width="11.0"/>
    <col customWidth="1" min="20" max="20" width="11.29"/>
    <col customWidth="1" min="21" max="21" width="12.14"/>
    <col customWidth="1" min="22" max="22" width="11.0"/>
    <col customWidth="1" min="23" max="23" width="11.29"/>
    <col customWidth="1" min="24" max="24" width="11.43"/>
    <col customWidth="1" min="25" max="25" width="11.0"/>
    <col customWidth="1" min="26" max="26" width="10.43"/>
  </cols>
  <sheetData>
    <row r="1">
      <c r="M1" s="1"/>
      <c r="N1" s="2" t="s">
        <v>0</v>
      </c>
      <c r="O1" s="3"/>
      <c r="P1" s="4"/>
      <c r="Q1" s="5" t="s">
        <v>1</v>
      </c>
      <c r="R1" s="3"/>
      <c r="S1" s="3"/>
      <c r="T1" s="3"/>
      <c r="U1" s="3"/>
      <c r="V1" s="3"/>
      <c r="W1" s="4"/>
      <c r="X1" s="6"/>
    </row>
    <row r="2">
      <c r="B2" s="7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8" t="s">
        <v>3</v>
      </c>
      <c r="O2" s="3"/>
      <c r="P2" s="4"/>
      <c r="Q2" s="8" t="s">
        <v>4</v>
      </c>
      <c r="R2" s="3"/>
      <c r="S2" s="3"/>
      <c r="T2" s="4"/>
      <c r="U2" s="9" t="s">
        <v>5</v>
      </c>
      <c r="V2" s="3"/>
      <c r="W2" s="4"/>
      <c r="X2" s="6"/>
    </row>
    <row r="3">
      <c r="B3" s="10" t="s">
        <v>6</v>
      </c>
      <c r="C3" s="11" t="s">
        <v>7</v>
      </c>
      <c r="D3" s="11" t="s">
        <v>8</v>
      </c>
      <c r="E3" s="12" t="s">
        <v>9</v>
      </c>
      <c r="F3" s="12" t="s">
        <v>10</v>
      </c>
      <c r="G3" s="12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3" t="s">
        <v>17</v>
      </c>
      <c r="N3" s="14" t="s">
        <v>18</v>
      </c>
      <c r="O3" s="15" t="s">
        <v>19</v>
      </c>
      <c r="P3" s="16" t="s">
        <v>20</v>
      </c>
      <c r="Q3" s="14" t="s">
        <v>18</v>
      </c>
      <c r="R3" s="15" t="s">
        <v>21</v>
      </c>
      <c r="S3" s="17" t="s">
        <v>22</v>
      </c>
      <c r="T3" s="16" t="s">
        <v>23</v>
      </c>
      <c r="U3" s="14" t="s">
        <v>18</v>
      </c>
      <c r="V3" s="15" t="s">
        <v>24</v>
      </c>
      <c r="W3" s="16" t="s">
        <v>23</v>
      </c>
      <c r="X3" s="18" t="s">
        <v>25</v>
      </c>
    </row>
    <row r="4">
      <c r="B4" s="19" t="s">
        <v>26</v>
      </c>
      <c r="C4" s="20"/>
      <c r="D4" s="20"/>
      <c r="E4" s="21">
        <f t="shared" ref="E4:F4" si="1">SUM(E7:E86)</f>
        <v>22859</v>
      </c>
      <c r="F4" s="21">
        <f t="shared" si="1"/>
        <v>41550</v>
      </c>
      <c r="G4" s="22"/>
      <c r="H4" s="23">
        <f>SUM(H7:H86)</f>
        <v>1000224.54</v>
      </c>
      <c r="I4" s="22"/>
      <c r="J4" s="23">
        <f>SUM(J7:J86)</f>
        <v>293325.52</v>
      </c>
      <c r="K4" s="22"/>
      <c r="L4" s="23">
        <f t="shared" ref="L4:W4" si="2">SUM(L7:L86)</f>
        <v>424591.51</v>
      </c>
      <c r="M4" s="24">
        <f t="shared" si="2"/>
        <v>11.35327946</v>
      </c>
      <c r="N4" s="25">
        <f t="shared" si="2"/>
        <v>232157.61</v>
      </c>
      <c r="O4" s="23">
        <f t="shared" si="2"/>
        <v>293325.52</v>
      </c>
      <c r="P4" s="26">
        <f t="shared" si="2"/>
        <v>525483.13</v>
      </c>
      <c r="Q4" s="25">
        <f t="shared" si="2"/>
        <v>116078.805</v>
      </c>
      <c r="R4" s="23">
        <f t="shared" si="2"/>
        <v>205327.864</v>
      </c>
      <c r="S4" s="27">
        <f t="shared" si="2"/>
        <v>82131.1456</v>
      </c>
      <c r="T4" s="26">
        <f t="shared" si="2"/>
        <v>239275.5234</v>
      </c>
      <c r="U4" s="25">
        <f t="shared" si="2"/>
        <v>116078.805</v>
      </c>
      <c r="V4" s="23">
        <f t="shared" si="2"/>
        <v>87997.656</v>
      </c>
      <c r="W4" s="26">
        <f t="shared" si="2"/>
        <v>204076.461</v>
      </c>
      <c r="X4" s="6"/>
    </row>
    <row r="5">
      <c r="B5" s="19" t="s">
        <v>27</v>
      </c>
      <c r="C5" s="20"/>
      <c r="D5" s="20"/>
      <c r="E5" s="21">
        <f t="shared" ref="E5:F5" si="3">E4/COUNTA(E7:E86)</f>
        <v>879.1923077</v>
      </c>
      <c r="F5" s="21">
        <f t="shared" si="3"/>
        <v>1065.384615</v>
      </c>
      <c r="G5" s="28">
        <f>E4/F4</f>
        <v>0.550156438</v>
      </c>
      <c r="H5" s="23">
        <f>H4/COUNTA(H7:H86)</f>
        <v>38470.17462</v>
      </c>
      <c r="I5" s="29">
        <f>H4/E4</f>
        <v>43.75626843</v>
      </c>
      <c r="J5" s="23">
        <f>J4/COUNTA(J7:J86)</f>
        <v>11281.75077</v>
      </c>
      <c r="K5" s="29">
        <f>J4/E4</f>
        <v>12.8319489</v>
      </c>
      <c r="L5" s="23">
        <f>L4/COUNTA(L7:L86)</f>
        <v>16330.44269</v>
      </c>
      <c r="M5" s="30">
        <f>L4/H4</f>
        <v>0.4244961936</v>
      </c>
      <c r="N5" s="25">
        <f t="shared" ref="N5:W5" si="4">N4/COUNTIF(N7:N86,"&lt;&gt;0")</f>
        <v>8929.138846</v>
      </c>
      <c r="O5" s="23">
        <f t="shared" si="4"/>
        <v>11281.75077</v>
      </c>
      <c r="P5" s="26">
        <f t="shared" si="4"/>
        <v>20210.88962</v>
      </c>
      <c r="Q5" s="25">
        <f t="shared" si="4"/>
        <v>4464.569423</v>
      </c>
      <c r="R5" s="23">
        <f t="shared" si="4"/>
        <v>7897.225538</v>
      </c>
      <c r="S5" s="27">
        <f t="shared" si="4"/>
        <v>3158.890215</v>
      </c>
      <c r="T5" s="26">
        <f t="shared" si="4"/>
        <v>9202.904746</v>
      </c>
      <c r="U5" s="25">
        <f t="shared" si="4"/>
        <v>4464.569423</v>
      </c>
      <c r="V5" s="23">
        <f t="shared" si="4"/>
        <v>3384.525231</v>
      </c>
      <c r="W5" s="26">
        <f t="shared" si="4"/>
        <v>7849.094654</v>
      </c>
      <c r="X5" s="6"/>
    </row>
    <row r="6">
      <c r="B6" s="31"/>
      <c r="C6" s="32"/>
      <c r="D6" s="32"/>
      <c r="E6" s="33"/>
      <c r="F6" s="33"/>
      <c r="G6" s="33"/>
      <c r="H6" s="33"/>
      <c r="I6" s="34"/>
      <c r="J6" s="33"/>
      <c r="K6" s="34"/>
      <c r="L6" s="33"/>
      <c r="M6" s="35"/>
      <c r="N6" s="36"/>
      <c r="O6" s="33"/>
      <c r="P6" s="35"/>
      <c r="Q6" s="36"/>
      <c r="R6" s="33"/>
      <c r="S6" s="37"/>
      <c r="T6" s="35"/>
      <c r="U6" s="36"/>
      <c r="V6" s="33"/>
      <c r="W6" s="35"/>
      <c r="X6" s="6"/>
    </row>
    <row r="7">
      <c r="A7" s="38">
        <v>1.0</v>
      </c>
      <c r="B7" s="39" t="s">
        <v>28</v>
      </c>
      <c r="C7" s="40">
        <v>46032.0</v>
      </c>
      <c r="D7" s="41">
        <f t="shared" ref="D7:D48" si="6">C7</f>
        <v>46032</v>
      </c>
      <c r="E7" s="42">
        <v>1119.0</v>
      </c>
      <c r="F7" s="43">
        <v>1100.0</v>
      </c>
      <c r="G7" s="44">
        <f t="shared" ref="G7:G86" si="7">IFERROR(E7/F7,"")</f>
        <v>1.017272727</v>
      </c>
      <c r="H7" s="45">
        <v>64930.16</v>
      </c>
      <c r="I7" s="46">
        <f t="shared" ref="I7:I86" si="8">IFERROR(H7/E7,"")</f>
        <v>58.02516533</v>
      </c>
      <c r="J7" s="45">
        <v>19430.24</v>
      </c>
      <c r="K7" s="46">
        <f t="shared" ref="K7:K86" si="9">IFERROR(J7/E7,"")</f>
        <v>17.36393208</v>
      </c>
      <c r="L7" s="47">
        <f>(20000+2759.35+5000+1000+250)</f>
        <v>29009.35</v>
      </c>
      <c r="M7" s="48">
        <f t="shared" ref="M7:M12" si="10">L7/H7</f>
        <v>0.4467777378</v>
      </c>
      <c r="N7" s="49">
        <f t="shared" ref="N7:O7" si="5">Q7+U7</f>
        <v>23423.57</v>
      </c>
      <c r="O7" s="47">
        <f t="shared" si="5"/>
        <v>19430.24</v>
      </c>
      <c r="P7" s="50">
        <f t="shared" ref="P7:P86" si="12">N7+O7</f>
        <v>42853.81</v>
      </c>
      <c r="Q7" s="51">
        <f t="shared" ref="Q7:Q86" si="13">X7*0.5</f>
        <v>11711.785</v>
      </c>
      <c r="R7" s="52">
        <f t="shared" ref="R7:R86" si="14">J7*70%</f>
        <v>13601.168</v>
      </c>
      <c r="S7" s="53">
        <f t="shared" ref="S7:S86" si="15">J7*0.28</f>
        <v>5440.4672</v>
      </c>
      <c r="T7" s="54">
        <f t="shared" ref="T7:T86" si="16">Q7+R7-S7</f>
        <v>19872.4858</v>
      </c>
      <c r="U7" s="49">
        <f t="shared" ref="U7:U86" si="17">Q7</f>
        <v>11711.785</v>
      </c>
      <c r="V7" s="47">
        <f t="shared" ref="V7:V86" si="18">J7*30%</f>
        <v>5829.072</v>
      </c>
      <c r="W7" s="50">
        <f t="shared" ref="W7:W86" si="19">U7+V7</f>
        <v>17540.857</v>
      </c>
      <c r="X7" s="55">
        <v>23423.57</v>
      </c>
    </row>
    <row r="8">
      <c r="A8" s="56">
        <v>2.0</v>
      </c>
      <c r="B8" s="57" t="s">
        <v>29</v>
      </c>
      <c r="C8" s="58">
        <v>46065.0</v>
      </c>
      <c r="D8" s="59">
        <f t="shared" si="6"/>
        <v>46065</v>
      </c>
      <c r="E8" s="60">
        <v>699.0</v>
      </c>
      <c r="F8" s="61">
        <v>1100.0</v>
      </c>
      <c r="G8" s="62">
        <f t="shared" si="7"/>
        <v>0.6354545455</v>
      </c>
      <c r="H8" s="60">
        <v>17828.52</v>
      </c>
      <c r="I8" s="63">
        <f t="shared" si="8"/>
        <v>25.50575107</v>
      </c>
      <c r="J8" s="60">
        <v>13681.85</v>
      </c>
      <c r="K8" s="63">
        <f t="shared" si="9"/>
        <v>19.57346209</v>
      </c>
      <c r="L8" s="61">
        <f>(5250+250)</f>
        <v>5500</v>
      </c>
      <c r="M8" s="64">
        <f t="shared" si="10"/>
        <v>0.3084944796</v>
      </c>
      <c r="N8" s="65">
        <f t="shared" ref="N8:O8" si="11">Q8+U8</f>
        <v>313.65</v>
      </c>
      <c r="O8" s="61">
        <f t="shared" si="11"/>
        <v>13681.85</v>
      </c>
      <c r="P8" s="66">
        <f t="shared" si="12"/>
        <v>13995.5</v>
      </c>
      <c r="Q8" s="67">
        <f t="shared" si="13"/>
        <v>156.825</v>
      </c>
      <c r="R8" s="68">
        <f t="shared" si="14"/>
        <v>9577.295</v>
      </c>
      <c r="S8" s="69">
        <f t="shared" si="15"/>
        <v>3830.918</v>
      </c>
      <c r="T8" s="70">
        <f t="shared" si="16"/>
        <v>5903.202</v>
      </c>
      <c r="U8" s="65">
        <f t="shared" si="17"/>
        <v>156.825</v>
      </c>
      <c r="V8" s="61">
        <f t="shared" si="18"/>
        <v>4104.555</v>
      </c>
      <c r="W8" s="66">
        <f t="shared" si="19"/>
        <v>4261.38</v>
      </c>
      <c r="X8" s="55">
        <v>313.65</v>
      </c>
    </row>
    <row r="9">
      <c r="A9" s="38">
        <v>3.0</v>
      </c>
      <c r="B9" s="39" t="s">
        <v>30</v>
      </c>
      <c r="C9" s="40">
        <v>46066.0</v>
      </c>
      <c r="D9" s="41">
        <f t="shared" si="6"/>
        <v>46066</v>
      </c>
      <c r="E9" s="42">
        <v>1218.0</v>
      </c>
      <c r="F9" s="43">
        <v>1100.0</v>
      </c>
      <c r="G9" s="44">
        <f t="shared" si="7"/>
        <v>1.107272727</v>
      </c>
      <c r="H9" s="42">
        <v>42724.5</v>
      </c>
      <c r="I9" s="71">
        <f t="shared" si="8"/>
        <v>35.07758621</v>
      </c>
      <c r="J9" s="42">
        <v>14400.62</v>
      </c>
      <c r="K9" s="71">
        <f t="shared" si="9"/>
        <v>11.82316913</v>
      </c>
      <c r="L9" s="43">
        <f>(10000+250)</f>
        <v>10250</v>
      </c>
      <c r="M9" s="48">
        <f t="shared" si="10"/>
        <v>0.2399091856</v>
      </c>
      <c r="N9" s="72">
        <f t="shared" ref="N9:O9" si="20">Q9+U9</f>
        <v>21637.09</v>
      </c>
      <c r="O9" s="43">
        <f t="shared" si="20"/>
        <v>14400.62</v>
      </c>
      <c r="P9" s="73">
        <f t="shared" si="12"/>
        <v>36037.71</v>
      </c>
      <c r="Q9" s="51">
        <f t="shared" si="13"/>
        <v>10818.545</v>
      </c>
      <c r="R9" s="52">
        <f t="shared" si="14"/>
        <v>10080.434</v>
      </c>
      <c r="S9" s="53">
        <f t="shared" si="15"/>
        <v>4032.1736</v>
      </c>
      <c r="T9" s="54">
        <f t="shared" si="16"/>
        <v>16866.8054</v>
      </c>
      <c r="U9" s="72">
        <f t="shared" si="17"/>
        <v>10818.545</v>
      </c>
      <c r="V9" s="43">
        <f t="shared" si="18"/>
        <v>4320.186</v>
      </c>
      <c r="W9" s="73">
        <f t="shared" si="19"/>
        <v>15138.731</v>
      </c>
      <c r="X9" s="55">
        <v>21637.09</v>
      </c>
    </row>
    <row r="10">
      <c r="A10" s="56">
        <v>4.0</v>
      </c>
      <c r="B10" s="57" t="s">
        <v>31</v>
      </c>
      <c r="C10" s="58">
        <v>46074.0</v>
      </c>
      <c r="D10" s="59">
        <f t="shared" si="6"/>
        <v>46074</v>
      </c>
      <c r="E10" s="60">
        <v>1171.0</v>
      </c>
      <c r="F10" s="61">
        <v>1100.0</v>
      </c>
      <c r="G10" s="62">
        <f t="shared" si="7"/>
        <v>1.064545455</v>
      </c>
      <c r="H10" s="60">
        <v>49494.87</v>
      </c>
      <c r="I10" s="63">
        <f t="shared" si="8"/>
        <v>42.2671819</v>
      </c>
      <c r="J10" s="60">
        <v>20369.86</v>
      </c>
      <c r="K10" s="63">
        <f t="shared" si="9"/>
        <v>17.395269</v>
      </c>
      <c r="L10" s="61">
        <f>(12500+700+300)</f>
        <v>13500</v>
      </c>
      <c r="M10" s="64">
        <f t="shared" si="10"/>
        <v>0.2727555401</v>
      </c>
      <c r="N10" s="65">
        <f t="shared" ref="N10:O10" si="21">Q10+U10</f>
        <v>19741.16</v>
      </c>
      <c r="O10" s="61">
        <f t="shared" si="21"/>
        <v>20369.86</v>
      </c>
      <c r="P10" s="66">
        <f t="shared" si="12"/>
        <v>40111.02</v>
      </c>
      <c r="Q10" s="67">
        <f t="shared" si="13"/>
        <v>9870.58</v>
      </c>
      <c r="R10" s="68">
        <f t="shared" si="14"/>
        <v>14258.902</v>
      </c>
      <c r="S10" s="69">
        <f t="shared" si="15"/>
        <v>5703.5608</v>
      </c>
      <c r="T10" s="70">
        <f t="shared" si="16"/>
        <v>18425.9212</v>
      </c>
      <c r="U10" s="65">
        <f t="shared" si="17"/>
        <v>9870.58</v>
      </c>
      <c r="V10" s="61">
        <f t="shared" si="18"/>
        <v>6110.958</v>
      </c>
      <c r="W10" s="66">
        <f t="shared" si="19"/>
        <v>15981.538</v>
      </c>
      <c r="X10" s="74">
        <v>19741.16</v>
      </c>
    </row>
    <row r="11">
      <c r="A11" s="38">
        <v>5.0</v>
      </c>
      <c r="B11" s="39" t="s">
        <v>32</v>
      </c>
      <c r="C11" s="40">
        <v>46091.0</v>
      </c>
      <c r="D11" s="41">
        <f t="shared" si="6"/>
        <v>46091</v>
      </c>
      <c r="E11" s="42">
        <v>1117.0</v>
      </c>
      <c r="F11" s="43">
        <v>750.0</v>
      </c>
      <c r="G11" s="44">
        <f t="shared" si="7"/>
        <v>1.489333333</v>
      </c>
      <c r="H11" s="42">
        <v>56744.59</v>
      </c>
      <c r="I11" s="71">
        <f t="shared" si="8"/>
        <v>50.8008863</v>
      </c>
      <c r="J11" s="42">
        <v>16796.44</v>
      </c>
      <c r="K11" s="71">
        <f t="shared" si="9"/>
        <v>15.03709937</v>
      </c>
      <c r="L11" s="43">
        <f>(18500+4500)</f>
        <v>23000</v>
      </c>
      <c r="M11" s="48">
        <f t="shared" si="10"/>
        <v>0.4053249834</v>
      </c>
      <c r="N11" s="72">
        <f t="shared" ref="N11:O11" si="22">Q11+U11</f>
        <v>16796.44</v>
      </c>
      <c r="O11" s="43">
        <f t="shared" si="22"/>
        <v>16796.44</v>
      </c>
      <c r="P11" s="73">
        <f t="shared" si="12"/>
        <v>33592.88</v>
      </c>
      <c r="Q11" s="51">
        <f t="shared" si="13"/>
        <v>8398.22</v>
      </c>
      <c r="R11" s="52">
        <f t="shared" si="14"/>
        <v>11757.508</v>
      </c>
      <c r="S11" s="53">
        <f t="shared" si="15"/>
        <v>4703.0032</v>
      </c>
      <c r="T11" s="54">
        <f t="shared" si="16"/>
        <v>15452.7248</v>
      </c>
      <c r="U11" s="72">
        <f t="shared" si="17"/>
        <v>8398.22</v>
      </c>
      <c r="V11" s="43">
        <f t="shared" si="18"/>
        <v>5038.932</v>
      </c>
      <c r="W11" s="73">
        <f t="shared" si="19"/>
        <v>13437.152</v>
      </c>
      <c r="X11" s="74">
        <v>16796.44</v>
      </c>
    </row>
    <row r="12">
      <c r="A12" s="56">
        <v>6.0</v>
      </c>
      <c r="B12" s="57" t="s">
        <v>33</v>
      </c>
      <c r="C12" s="58">
        <v>46099.0</v>
      </c>
      <c r="D12" s="59">
        <f t="shared" si="6"/>
        <v>46099</v>
      </c>
      <c r="E12" s="60">
        <v>800.0</v>
      </c>
      <c r="F12" s="61">
        <v>1100.0</v>
      </c>
      <c r="G12" s="62">
        <f t="shared" si="7"/>
        <v>0.7272727273</v>
      </c>
      <c r="H12" s="60">
        <v>36993.0</v>
      </c>
      <c r="I12" s="63">
        <f t="shared" si="8"/>
        <v>46.24125</v>
      </c>
      <c r="J12" s="60">
        <v>14409.94</v>
      </c>
      <c r="K12" s="63">
        <f t="shared" si="9"/>
        <v>18.012425</v>
      </c>
      <c r="L12" s="61">
        <f>(30000+1500)</f>
        <v>31500</v>
      </c>
      <c r="M12" s="64">
        <f t="shared" si="10"/>
        <v>0.8515124483</v>
      </c>
      <c r="N12" s="65">
        <f t="shared" ref="N12:O12" si="23">Q12+U12</f>
        <v>-7405.61</v>
      </c>
      <c r="O12" s="61">
        <f t="shared" si="23"/>
        <v>14409.94</v>
      </c>
      <c r="P12" s="66">
        <f t="shared" si="12"/>
        <v>7004.33</v>
      </c>
      <c r="Q12" s="67">
        <f t="shared" si="13"/>
        <v>-3702.805</v>
      </c>
      <c r="R12" s="68">
        <f t="shared" si="14"/>
        <v>10086.958</v>
      </c>
      <c r="S12" s="69">
        <f t="shared" si="15"/>
        <v>4034.7832</v>
      </c>
      <c r="T12" s="70">
        <f t="shared" si="16"/>
        <v>2349.3698</v>
      </c>
      <c r="U12" s="65">
        <f t="shared" si="17"/>
        <v>-3702.805</v>
      </c>
      <c r="V12" s="61">
        <f t="shared" si="18"/>
        <v>4322.982</v>
      </c>
      <c r="W12" s="66">
        <f t="shared" si="19"/>
        <v>620.177</v>
      </c>
      <c r="X12" s="74">
        <v>-7405.61</v>
      </c>
    </row>
    <row r="13">
      <c r="A13" s="38">
        <v>7.0</v>
      </c>
      <c r="B13" s="39" t="s">
        <v>34</v>
      </c>
      <c r="C13" s="40">
        <v>46100.0</v>
      </c>
      <c r="D13" s="41">
        <f t="shared" si="6"/>
        <v>46100</v>
      </c>
      <c r="E13" s="42">
        <v>634.0</v>
      </c>
      <c r="F13" s="43">
        <v>1100.0</v>
      </c>
      <c r="G13" s="44">
        <f t="shared" si="7"/>
        <v>0.5763636364</v>
      </c>
      <c r="H13" s="42">
        <v>24584.66</v>
      </c>
      <c r="I13" s="71">
        <f t="shared" si="8"/>
        <v>38.77706625</v>
      </c>
      <c r="J13" s="42">
        <v>8864.65</v>
      </c>
      <c r="K13" s="71">
        <f t="shared" si="9"/>
        <v>13.98209779</v>
      </c>
      <c r="L13" s="43">
        <f>(14800+750+750)</f>
        <v>16300</v>
      </c>
      <c r="M13" s="48">
        <f t="shared" ref="M13:M86" si="25">IFERROR(L13/H13,"")</f>
        <v>0.6630150671</v>
      </c>
      <c r="N13" s="72">
        <f t="shared" ref="N13:O13" si="24">Q13+U13</f>
        <v>-2596.42</v>
      </c>
      <c r="O13" s="43">
        <f t="shared" si="24"/>
        <v>8864.65</v>
      </c>
      <c r="P13" s="73">
        <f t="shared" si="12"/>
        <v>6268.23</v>
      </c>
      <c r="Q13" s="51">
        <f t="shared" si="13"/>
        <v>-1298.21</v>
      </c>
      <c r="R13" s="52">
        <f t="shared" si="14"/>
        <v>6205.255</v>
      </c>
      <c r="S13" s="53">
        <f t="shared" si="15"/>
        <v>2482.102</v>
      </c>
      <c r="T13" s="54">
        <f t="shared" si="16"/>
        <v>2424.943</v>
      </c>
      <c r="U13" s="72">
        <f t="shared" si="17"/>
        <v>-1298.21</v>
      </c>
      <c r="V13" s="43">
        <f t="shared" si="18"/>
        <v>2659.395</v>
      </c>
      <c r="W13" s="73">
        <f t="shared" si="19"/>
        <v>1361.185</v>
      </c>
      <c r="X13" s="75">
        <v>-2596.42</v>
      </c>
    </row>
    <row r="14">
      <c r="A14" s="56">
        <v>8.0</v>
      </c>
      <c r="B14" s="57" t="s">
        <v>35</v>
      </c>
      <c r="C14" s="58">
        <v>46116.0</v>
      </c>
      <c r="D14" s="59">
        <f t="shared" si="6"/>
        <v>46116</v>
      </c>
      <c r="E14" s="60">
        <v>885.0</v>
      </c>
      <c r="F14" s="60">
        <v>1100.0</v>
      </c>
      <c r="G14" s="62">
        <f t="shared" si="7"/>
        <v>0.8045454545</v>
      </c>
      <c r="H14" s="60">
        <v>35254.65</v>
      </c>
      <c r="I14" s="63">
        <f t="shared" si="8"/>
        <v>39.83576271</v>
      </c>
      <c r="J14" s="60">
        <v>8322.29</v>
      </c>
      <c r="K14" s="63">
        <f t="shared" si="9"/>
        <v>9.403717514</v>
      </c>
      <c r="L14" s="61">
        <f>(12500+500)</f>
        <v>13000</v>
      </c>
      <c r="M14" s="64">
        <f t="shared" si="25"/>
        <v>0.3687456832</v>
      </c>
      <c r="N14" s="65">
        <f t="shared" ref="N14:O14" si="26">Q14+U14</f>
        <v>4150.25</v>
      </c>
      <c r="O14" s="61">
        <f t="shared" si="26"/>
        <v>8322.29</v>
      </c>
      <c r="P14" s="66">
        <f t="shared" si="12"/>
        <v>12472.54</v>
      </c>
      <c r="Q14" s="67">
        <f t="shared" si="13"/>
        <v>2075.125</v>
      </c>
      <c r="R14" s="68">
        <f t="shared" si="14"/>
        <v>5825.603</v>
      </c>
      <c r="S14" s="69">
        <f t="shared" si="15"/>
        <v>2330.2412</v>
      </c>
      <c r="T14" s="70">
        <f t="shared" si="16"/>
        <v>5570.4868</v>
      </c>
      <c r="U14" s="65">
        <f t="shared" si="17"/>
        <v>2075.125</v>
      </c>
      <c r="V14" s="61">
        <f t="shared" si="18"/>
        <v>2496.687</v>
      </c>
      <c r="W14" s="66">
        <f t="shared" si="19"/>
        <v>4571.812</v>
      </c>
      <c r="X14" s="74">
        <v>4150.25</v>
      </c>
    </row>
    <row r="15">
      <c r="A15" s="38">
        <v>9.0</v>
      </c>
      <c r="B15" s="39" t="s">
        <v>36</v>
      </c>
      <c r="C15" s="40">
        <v>46122.0</v>
      </c>
      <c r="D15" s="41">
        <f t="shared" si="6"/>
        <v>46122</v>
      </c>
      <c r="E15" s="42">
        <v>875.0</v>
      </c>
      <c r="F15" s="43">
        <v>1100.0</v>
      </c>
      <c r="G15" s="44">
        <f t="shared" si="7"/>
        <v>0.7954545455</v>
      </c>
      <c r="H15" s="42">
        <v>36248.93</v>
      </c>
      <c r="I15" s="71">
        <f t="shared" si="8"/>
        <v>41.42734857</v>
      </c>
      <c r="J15" s="42">
        <v>15875.9</v>
      </c>
      <c r="K15" s="71">
        <f t="shared" si="9"/>
        <v>18.14388571</v>
      </c>
      <c r="L15" s="43">
        <f>(6000+5000+3000+1000)</f>
        <v>15000</v>
      </c>
      <c r="M15" s="48">
        <f t="shared" si="25"/>
        <v>0.4138053178</v>
      </c>
      <c r="N15" s="72">
        <f t="shared" ref="N15:O15" si="27">Q15+U15</f>
        <v>7473.67</v>
      </c>
      <c r="O15" s="43">
        <f t="shared" si="27"/>
        <v>15875.9</v>
      </c>
      <c r="P15" s="73">
        <f t="shared" si="12"/>
        <v>23349.57</v>
      </c>
      <c r="Q15" s="51">
        <f t="shared" si="13"/>
        <v>3736.835</v>
      </c>
      <c r="R15" s="52">
        <f t="shared" si="14"/>
        <v>11113.13</v>
      </c>
      <c r="S15" s="53">
        <f t="shared" si="15"/>
        <v>4445.252</v>
      </c>
      <c r="T15" s="54">
        <f t="shared" si="16"/>
        <v>10404.713</v>
      </c>
      <c r="U15" s="72">
        <f t="shared" si="17"/>
        <v>3736.835</v>
      </c>
      <c r="V15" s="43">
        <f t="shared" si="18"/>
        <v>4762.77</v>
      </c>
      <c r="W15" s="73">
        <f t="shared" si="19"/>
        <v>8499.605</v>
      </c>
      <c r="X15" s="74">
        <v>7473.67</v>
      </c>
    </row>
    <row r="16">
      <c r="A16" s="56">
        <v>10.0</v>
      </c>
      <c r="B16" s="57" t="s">
        <v>37</v>
      </c>
      <c r="C16" s="58">
        <v>46124.0</v>
      </c>
      <c r="D16" s="59">
        <f t="shared" si="6"/>
        <v>46124</v>
      </c>
      <c r="E16" s="60">
        <v>424.0</v>
      </c>
      <c r="F16" s="61">
        <v>1100.0</v>
      </c>
      <c r="G16" s="62">
        <f t="shared" si="7"/>
        <v>0.3854545455</v>
      </c>
      <c r="H16" s="60">
        <v>15606.86</v>
      </c>
      <c r="I16" s="63">
        <f t="shared" si="8"/>
        <v>36.80863208</v>
      </c>
      <c r="J16" s="60">
        <v>4956.79</v>
      </c>
      <c r="K16" s="63">
        <f t="shared" si="9"/>
        <v>11.69054245</v>
      </c>
      <c r="L16" s="61">
        <f>(15000+2500+1000)</f>
        <v>18500</v>
      </c>
      <c r="M16" s="64">
        <f t="shared" si="25"/>
        <v>1.185376174</v>
      </c>
      <c r="N16" s="65">
        <f t="shared" ref="N16:O16" si="28">Q16+U16</f>
        <v>-12300.04</v>
      </c>
      <c r="O16" s="61">
        <f t="shared" si="28"/>
        <v>4956.79</v>
      </c>
      <c r="P16" s="66">
        <f t="shared" si="12"/>
        <v>-7343.25</v>
      </c>
      <c r="Q16" s="67">
        <f t="shared" si="13"/>
        <v>-6150.02</v>
      </c>
      <c r="R16" s="68">
        <f t="shared" si="14"/>
        <v>3469.753</v>
      </c>
      <c r="S16" s="69">
        <f t="shared" si="15"/>
        <v>1387.9012</v>
      </c>
      <c r="T16" s="70">
        <f t="shared" si="16"/>
        <v>-4068.1682</v>
      </c>
      <c r="U16" s="65">
        <f t="shared" si="17"/>
        <v>-6150.02</v>
      </c>
      <c r="V16" s="61">
        <f t="shared" si="18"/>
        <v>1487.037</v>
      </c>
      <c r="W16" s="66">
        <f t="shared" si="19"/>
        <v>-4662.983</v>
      </c>
      <c r="X16" s="75">
        <v>-12300.04</v>
      </c>
    </row>
    <row r="17">
      <c r="A17" s="38">
        <v>11.0</v>
      </c>
      <c r="B17" s="39" t="s">
        <v>38</v>
      </c>
      <c r="C17" s="40">
        <v>46128.0</v>
      </c>
      <c r="D17" s="41">
        <f t="shared" si="6"/>
        <v>46128</v>
      </c>
      <c r="E17" s="42">
        <v>981.0</v>
      </c>
      <c r="F17" s="43">
        <v>1100.0</v>
      </c>
      <c r="G17" s="44">
        <f t="shared" si="7"/>
        <v>0.8918181818</v>
      </c>
      <c r="H17" s="42">
        <v>45948.66</v>
      </c>
      <c r="I17" s="71">
        <f t="shared" si="8"/>
        <v>46.83859327</v>
      </c>
      <c r="J17" s="42">
        <v>14186.3</v>
      </c>
      <c r="K17" s="71">
        <f t="shared" si="9"/>
        <v>14.46106014</v>
      </c>
      <c r="L17" s="42">
        <v>21000.0</v>
      </c>
      <c r="M17" s="48">
        <f t="shared" si="25"/>
        <v>0.4570318264</v>
      </c>
      <c r="N17" s="72">
        <f t="shared" ref="N17:O17" si="29">Q17+U17</f>
        <v>12980.6</v>
      </c>
      <c r="O17" s="43">
        <f t="shared" si="29"/>
        <v>14186.3</v>
      </c>
      <c r="P17" s="73">
        <f t="shared" si="12"/>
        <v>27166.9</v>
      </c>
      <c r="Q17" s="51">
        <f t="shared" si="13"/>
        <v>6490.3</v>
      </c>
      <c r="R17" s="52">
        <f t="shared" si="14"/>
        <v>9930.41</v>
      </c>
      <c r="S17" s="53">
        <f t="shared" si="15"/>
        <v>3972.164</v>
      </c>
      <c r="T17" s="54">
        <f t="shared" si="16"/>
        <v>12448.546</v>
      </c>
      <c r="U17" s="72">
        <f t="shared" si="17"/>
        <v>6490.3</v>
      </c>
      <c r="V17" s="43">
        <f t="shared" si="18"/>
        <v>4255.89</v>
      </c>
      <c r="W17" s="73">
        <f t="shared" si="19"/>
        <v>10746.19</v>
      </c>
      <c r="X17" s="75">
        <v>12980.6</v>
      </c>
    </row>
    <row r="18">
      <c r="A18" s="56">
        <v>12.0</v>
      </c>
      <c r="B18" s="57" t="s">
        <v>39</v>
      </c>
      <c r="C18" s="58">
        <v>46129.0</v>
      </c>
      <c r="D18" s="59">
        <f t="shared" si="6"/>
        <v>46129</v>
      </c>
      <c r="E18" s="60">
        <v>739.0</v>
      </c>
      <c r="F18" s="61">
        <v>1100.0</v>
      </c>
      <c r="G18" s="62">
        <f t="shared" si="7"/>
        <v>0.6718181818</v>
      </c>
      <c r="H18" s="60">
        <v>26964.69</v>
      </c>
      <c r="I18" s="63">
        <f t="shared" si="8"/>
        <v>36.48807848</v>
      </c>
      <c r="J18" s="60">
        <v>13984.64</v>
      </c>
      <c r="K18" s="63">
        <f t="shared" si="9"/>
        <v>18.92373478</v>
      </c>
      <c r="L18" s="60">
        <v>12932.5</v>
      </c>
      <c r="M18" s="64">
        <f t="shared" si="25"/>
        <v>0.4796087031</v>
      </c>
      <c r="N18" s="65">
        <f t="shared" ref="N18:O18" si="30">Q18+U18</f>
        <v>5468.38</v>
      </c>
      <c r="O18" s="61">
        <f t="shared" si="30"/>
        <v>13984.64</v>
      </c>
      <c r="P18" s="66">
        <f t="shared" si="12"/>
        <v>19453.02</v>
      </c>
      <c r="Q18" s="67">
        <f t="shared" si="13"/>
        <v>2734.19</v>
      </c>
      <c r="R18" s="68">
        <f t="shared" si="14"/>
        <v>9789.248</v>
      </c>
      <c r="S18" s="69">
        <f t="shared" si="15"/>
        <v>3915.6992</v>
      </c>
      <c r="T18" s="70">
        <f t="shared" si="16"/>
        <v>8607.7388</v>
      </c>
      <c r="U18" s="65">
        <f t="shared" si="17"/>
        <v>2734.19</v>
      </c>
      <c r="V18" s="61">
        <f t="shared" si="18"/>
        <v>4195.392</v>
      </c>
      <c r="W18" s="66">
        <f t="shared" si="19"/>
        <v>6929.582</v>
      </c>
      <c r="X18" s="75">
        <v>5468.38</v>
      </c>
    </row>
    <row r="19">
      <c r="A19" s="38">
        <v>13.0</v>
      </c>
      <c r="B19" s="39" t="s">
        <v>40</v>
      </c>
      <c r="C19" s="40">
        <v>46130.0</v>
      </c>
      <c r="D19" s="41">
        <f t="shared" si="6"/>
        <v>46130</v>
      </c>
      <c r="E19" s="42">
        <v>825.0</v>
      </c>
      <c r="F19" s="43">
        <v>1100.0</v>
      </c>
      <c r="G19" s="44">
        <f t="shared" si="7"/>
        <v>0.75</v>
      </c>
      <c r="H19" s="42">
        <v>31800.21</v>
      </c>
      <c r="I19" s="71">
        <f t="shared" si="8"/>
        <v>38.54570909</v>
      </c>
      <c r="J19" s="42">
        <v>17255.0</v>
      </c>
      <c r="K19" s="71">
        <f t="shared" si="9"/>
        <v>20.91515152</v>
      </c>
      <c r="L19" s="43">
        <f>(17500+2000)</f>
        <v>19500</v>
      </c>
      <c r="M19" s="48">
        <f t="shared" si="25"/>
        <v>0.6132034977</v>
      </c>
      <c r="N19" s="72">
        <f t="shared" ref="N19:O19" si="31">Q19+U19</f>
        <v>1945.26</v>
      </c>
      <c r="O19" s="43">
        <f t="shared" si="31"/>
        <v>17255</v>
      </c>
      <c r="P19" s="73">
        <f t="shared" si="12"/>
        <v>19200.26</v>
      </c>
      <c r="Q19" s="51">
        <f t="shared" si="13"/>
        <v>972.63</v>
      </c>
      <c r="R19" s="52">
        <f t="shared" si="14"/>
        <v>12078.5</v>
      </c>
      <c r="S19" s="53">
        <f t="shared" si="15"/>
        <v>4831.4</v>
      </c>
      <c r="T19" s="54">
        <f t="shared" si="16"/>
        <v>8219.73</v>
      </c>
      <c r="U19" s="72">
        <f t="shared" si="17"/>
        <v>972.63</v>
      </c>
      <c r="V19" s="43">
        <f t="shared" si="18"/>
        <v>5176.5</v>
      </c>
      <c r="W19" s="73">
        <f t="shared" si="19"/>
        <v>6149.13</v>
      </c>
      <c r="X19" s="74">
        <v>1945.26</v>
      </c>
    </row>
    <row r="20">
      <c r="A20" s="56">
        <v>14.0</v>
      </c>
      <c r="B20" s="57" t="s">
        <v>41</v>
      </c>
      <c r="C20" s="58">
        <v>46131.0</v>
      </c>
      <c r="D20" s="59">
        <f t="shared" si="6"/>
        <v>46131</v>
      </c>
      <c r="E20" s="60">
        <v>1115.0</v>
      </c>
      <c r="F20" s="61">
        <v>1100.0</v>
      </c>
      <c r="G20" s="62">
        <f t="shared" si="7"/>
        <v>1.013636364</v>
      </c>
      <c r="H20" s="60">
        <v>45017.12</v>
      </c>
      <c r="I20" s="63">
        <f t="shared" si="8"/>
        <v>40.37409865</v>
      </c>
      <c r="J20" s="60">
        <v>999.87</v>
      </c>
      <c r="K20" s="63">
        <f t="shared" si="9"/>
        <v>0.8967443946</v>
      </c>
      <c r="L20" s="60">
        <v>10000.0</v>
      </c>
      <c r="M20" s="64">
        <f t="shared" si="25"/>
        <v>0.2221377112</v>
      </c>
      <c r="N20" s="65">
        <f t="shared" ref="N20:O20" si="32">Q20+U20</f>
        <v>18839.97</v>
      </c>
      <c r="O20" s="61">
        <f t="shared" si="32"/>
        <v>999.87</v>
      </c>
      <c r="P20" s="66">
        <f t="shared" si="12"/>
        <v>19839.84</v>
      </c>
      <c r="Q20" s="67">
        <f t="shared" si="13"/>
        <v>9419.985</v>
      </c>
      <c r="R20" s="68">
        <f t="shared" si="14"/>
        <v>699.909</v>
      </c>
      <c r="S20" s="69">
        <f t="shared" si="15"/>
        <v>279.9636</v>
      </c>
      <c r="T20" s="70">
        <f t="shared" si="16"/>
        <v>9839.9304</v>
      </c>
      <c r="U20" s="65">
        <f t="shared" si="17"/>
        <v>9419.985</v>
      </c>
      <c r="V20" s="61">
        <f t="shared" si="18"/>
        <v>299.961</v>
      </c>
      <c r="W20" s="66">
        <f t="shared" si="19"/>
        <v>9719.946</v>
      </c>
      <c r="X20" s="74">
        <v>18839.97</v>
      </c>
    </row>
    <row r="21" ht="15.75" customHeight="1">
      <c r="A21" s="38">
        <v>15.0</v>
      </c>
      <c r="B21" s="39" t="s">
        <v>42</v>
      </c>
      <c r="C21" s="40">
        <v>46135.0</v>
      </c>
      <c r="D21" s="41">
        <f t="shared" si="6"/>
        <v>46135</v>
      </c>
      <c r="E21" s="42">
        <v>1148.0</v>
      </c>
      <c r="F21" s="43">
        <v>1100.0</v>
      </c>
      <c r="G21" s="44">
        <f t="shared" si="7"/>
        <v>1.043636364</v>
      </c>
      <c r="H21" s="42">
        <v>52633.72</v>
      </c>
      <c r="I21" s="71">
        <f t="shared" si="8"/>
        <v>45.84818815</v>
      </c>
      <c r="J21" s="42">
        <v>14911.28</v>
      </c>
      <c r="K21" s="71">
        <f t="shared" si="9"/>
        <v>12.98891986</v>
      </c>
      <c r="L21" s="43">
        <f>(19000+5000+1500+500)</f>
        <v>26000</v>
      </c>
      <c r="M21" s="48">
        <f t="shared" si="25"/>
        <v>0.4939799049</v>
      </c>
      <c r="N21" s="72">
        <f t="shared" ref="N21:O21" si="33">Q21+U21</f>
        <v>14073.37</v>
      </c>
      <c r="O21" s="43">
        <f t="shared" si="33"/>
        <v>14911.28</v>
      </c>
      <c r="P21" s="73">
        <f t="shared" si="12"/>
        <v>28984.65</v>
      </c>
      <c r="Q21" s="51">
        <f t="shared" si="13"/>
        <v>7036.685</v>
      </c>
      <c r="R21" s="52">
        <f t="shared" si="14"/>
        <v>10437.896</v>
      </c>
      <c r="S21" s="53">
        <f t="shared" si="15"/>
        <v>4175.1584</v>
      </c>
      <c r="T21" s="54">
        <f t="shared" si="16"/>
        <v>13299.4226</v>
      </c>
      <c r="U21" s="72">
        <f t="shared" si="17"/>
        <v>7036.685</v>
      </c>
      <c r="V21" s="43">
        <f t="shared" si="18"/>
        <v>4473.384</v>
      </c>
      <c r="W21" s="73">
        <f t="shared" si="19"/>
        <v>11510.069</v>
      </c>
      <c r="X21" s="74">
        <v>14073.37</v>
      </c>
    </row>
    <row r="22" ht="15.75" customHeight="1">
      <c r="A22" s="56">
        <v>16.0</v>
      </c>
      <c r="B22" s="57" t="s">
        <v>43</v>
      </c>
      <c r="C22" s="58">
        <v>46137.0</v>
      </c>
      <c r="D22" s="59">
        <f t="shared" si="6"/>
        <v>46137</v>
      </c>
      <c r="E22" s="60">
        <v>582.0</v>
      </c>
      <c r="F22" s="61">
        <v>1100.0</v>
      </c>
      <c r="G22" s="62">
        <f t="shared" si="7"/>
        <v>0.5290909091</v>
      </c>
      <c r="H22" s="60">
        <v>20579.0</v>
      </c>
      <c r="I22" s="63">
        <f t="shared" si="8"/>
        <v>35.35910653</v>
      </c>
      <c r="J22" s="60">
        <v>11328.33</v>
      </c>
      <c r="K22" s="63">
        <f t="shared" si="9"/>
        <v>19.46448454</v>
      </c>
      <c r="L22" s="61">
        <f>(10000+700)</f>
        <v>10700</v>
      </c>
      <c r="M22" s="64">
        <f t="shared" si="25"/>
        <v>0.5199475193</v>
      </c>
      <c r="N22" s="65">
        <f t="shared" ref="N22:O22" si="34">Q22+U22</f>
        <v>450.1</v>
      </c>
      <c r="O22" s="61">
        <f t="shared" si="34"/>
        <v>11328.33</v>
      </c>
      <c r="P22" s="66">
        <f t="shared" si="12"/>
        <v>11778.43</v>
      </c>
      <c r="Q22" s="67">
        <f t="shared" si="13"/>
        <v>225.05</v>
      </c>
      <c r="R22" s="68">
        <f t="shared" si="14"/>
        <v>7929.831</v>
      </c>
      <c r="S22" s="69">
        <f t="shared" si="15"/>
        <v>3171.9324</v>
      </c>
      <c r="T22" s="70">
        <f t="shared" si="16"/>
        <v>4982.9486</v>
      </c>
      <c r="U22" s="65">
        <f t="shared" si="17"/>
        <v>225.05</v>
      </c>
      <c r="V22" s="61">
        <f t="shared" si="18"/>
        <v>3398.499</v>
      </c>
      <c r="W22" s="66">
        <f t="shared" si="19"/>
        <v>3623.549</v>
      </c>
      <c r="X22" s="75">
        <v>450.1</v>
      </c>
    </row>
    <row r="23" ht="15.75" customHeight="1">
      <c r="A23" s="38">
        <v>17.0</v>
      </c>
      <c r="B23" s="39" t="s">
        <v>44</v>
      </c>
      <c r="C23" s="40">
        <v>46140.0</v>
      </c>
      <c r="D23" s="41">
        <f t="shared" si="6"/>
        <v>46140</v>
      </c>
      <c r="E23" s="42">
        <v>1772.0</v>
      </c>
      <c r="F23" s="42">
        <v>2200.0</v>
      </c>
      <c r="G23" s="44">
        <f t="shared" si="7"/>
        <v>0.8054545455</v>
      </c>
      <c r="H23" s="42">
        <v>103352.68</v>
      </c>
      <c r="I23" s="71">
        <f t="shared" si="8"/>
        <v>58.32544018</v>
      </c>
      <c r="J23" s="43">
        <f>(9058.38+8913.82)</f>
        <v>17972.2</v>
      </c>
      <c r="K23" s="71">
        <f t="shared" si="9"/>
        <v>10.14232506</v>
      </c>
      <c r="L23" s="43">
        <f>62500</f>
        <v>62500</v>
      </c>
      <c r="M23" s="48">
        <f t="shared" si="25"/>
        <v>0.6047254895</v>
      </c>
      <c r="N23" s="72">
        <f t="shared" ref="N23:O23" si="35">Q23+U23</f>
        <v>17155.9</v>
      </c>
      <c r="O23" s="43">
        <f t="shared" si="35"/>
        <v>17972.2</v>
      </c>
      <c r="P23" s="73">
        <f t="shared" si="12"/>
        <v>35128.1</v>
      </c>
      <c r="Q23" s="51">
        <f t="shared" si="13"/>
        <v>8577.95</v>
      </c>
      <c r="R23" s="52">
        <f t="shared" si="14"/>
        <v>12580.54</v>
      </c>
      <c r="S23" s="53">
        <f t="shared" si="15"/>
        <v>5032.216</v>
      </c>
      <c r="T23" s="54">
        <f t="shared" si="16"/>
        <v>16126.274</v>
      </c>
      <c r="U23" s="72">
        <f t="shared" si="17"/>
        <v>8577.95</v>
      </c>
      <c r="V23" s="43">
        <f t="shared" si="18"/>
        <v>5391.66</v>
      </c>
      <c r="W23" s="73">
        <f t="shared" si="19"/>
        <v>13969.61</v>
      </c>
      <c r="X23" s="75">
        <v>17155.9</v>
      </c>
    </row>
    <row r="24" ht="15.75" customHeight="1">
      <c r="A24" s="56">
        <v>18.0</v>
      </c>
      <c r="B24" s="57" t="s">
        <v>45</v>
      </c>
      <c r="C24" s="58">
        <v>46143.0</v>
      </c>
      <c r="D24" s="59">
        <f t="shared" si="6"/>
        <v>46143</v>
      </c>
      <c r="E24" s="60">
        <v>626.0</v>
      </c>
      <c r="F24" s="61">
        <v>1100.0</v>
      </c>
      <c r="G24" s="62">
        <f t="shared" si="7"/>
        <v>0.5690909091</v>
      </c>
      <c r="H24" s="60">
        <v>27641.0</v>
      </c>
      <c r="I24" s="63">
        <f t="shared" si="8"/>
        <v>44.15495208</v>
      </c>
      <c r="J24" s="60">
        <v>8398.59</v>
      </c>
      <c r="K24" s="63">
        <f t="shared" si="9"/>
        <v>13.41627796</v>
      </c>
      <c r="L24" s="61">
        <f>(7474.25+500)</f>
        <v>7974.25</v>
      </c>
      <c r="M24" s="64">
        <f t="shared" si="25"/>
        <v>0.2884935422</v>
      </c>
      <c r="N24" s="65">
        <f t="shared" ref="N24:O24" si="36">Q24+U24</f>
        <v>9606.65</v>
      </c>
      <c r="O24" s="61">
        <f t="shared" si="36"/>
        <v>8398.59</v>
      </c>
      <c r="P24" s="66">
        <f t="shared" si="12"/>
        <v>18005.24</v>
      </c>
      <c r="Q24" s="67">
        <f t="shared" si="13"/>
        <v>4803.325</v>
      </c>
      <c r="R24" s="68">
        <f t="shared" si="14"/>
        <v>5879.013</v>
      </c>
      <c r="S24" s="69">
        <f t="shared" si="15"/>
        <v>2351.6052</v>
      </c>
      <c r="T24" s="70">
        <f t="shared" si="16"/>
        <v>8330.7328</v>
      </c>
      <c r="U24" s="65">
        <f t="shared" si="17"/>
        <v>4803.325</v>
      </c>
      <c r="V24" s="61">
        <f t="shared" si="18"/>
        <v>2519.577</v>
      </c>
      <c r="W24" s="66">
        <f t="shared" si="19"/>
        <v>7322.902</v>
      </c>
      <c r="X24" s="75">
        <v>9606.65</v>
      </c>
    </row>
    <row r="25" ht="15.75" customHeight="1">
      <c r="A25" s="38">
        <v>19.0</v>
      </c>
      <c r="B25" s="39" t="s">
        <v>46</v>
      </c>
      <c r="C25" s="40">
        <v>46149.0</v>
      </c>
      <c r="D25" s="41">
        <f t="shared" si="6"/>
        <v>46149</v>
      </c>
      <c r="E25" s="42">
        <v>330.0</v>
      </c>
      <c r="F25" s="42">
        <v>400.0</v>
      </c>
      <c r="G25" s="44">
        <f t="shared" si="7"/>
        <v>0.825</v>
      </c>
      <c r="H25" s="42">
        <v>17558.0</v>
      </c>
      <c r="I25" s="71">
        <f t="shared" si="8"/>
        <v>53.20606061</v>
      </c>
      <c r="J25" s="42">
        <v>1588.41</v>
      </c>
      <c r="K25" s="71">
        <f t="shared" si="9"/>
        <v>4.813363636</v>
      </c>
      <c r="L25" s="42">
        <v>5645.81</v>
      </c>
      <c r="M25" s="48">
        <f t="shared" si="25"/>
        <v>0.3215519991</v>
      </c>
      <c r="N25" s="72">
        <f t="shared" ref="N25:O25" si="37">Q25+U25</f>
        <v>4897.95</v>
      </c>
      <c r="O25" s="43">
        <f t="shared" si="37"/>
        <v>1588.41</v>
      </c>
      <c r="P25" s="73">
        <f t="shared" si="12"/>
        <v>6486.36</v>
      </c>
      <c r="Q25" s="51">
        <f t="shared" si="13"/>
        <v>2448.975</v>
      </c>
      <c r="R25" s="52">
        <f t="shared" si="14"/>
        <v>1111.887</v>
      </c>
      <c r="S25" s="53">
        <f t="shared" si="15"/>
        <v>444.7548</v>
      </c>
      <c r="T25" s="54">
        <f t="shared" si="16"/>
        <v>3116.1072</v>
      </c>
      <c r="U25" s="72">
        <f t="shared" si="17"/>
        <v>2448.975</v>
      </c>
      <c r="V25" s="43">
        <f t="shared" si="18"/>
        <v>476.523</v>
      </c>
      <c r="W25" s="73">
        <f t="shared" si="19"/>
        <v>2925.498</v>
      </c>
      <c r="X25" s="74">
        <v>4897.95</v>
      </c>
    </row>
    <row r="26" ht="15.75" customHeight="1">
      <c r="A26" s="56">
        <v>20.0</v>
      </c>
      <c r="B26" s="57" t="s">
        <v>47</v>
      </c>
      <c r="C26" s="58">
        <v>46155.0</v>
      </c>
      <c r="D26" s="59">
        <f t="shared" si="6"/>
        <v>46155</v>
      </c>
      <c r="E26" s="60">
        <v>1175.0</v>
      </c>
      <c r="F26" s="61">
        <v>1100.0</v>
      </c>
      <c r="G26" s="62">
        <f t="shared" si="7"/>
        <v>1.068181818</v>
      </c>
      <c r="H26" s="60">
        <v>50799.95</v>
      </c>
      <c r="I26" s="63">
        <f t="shared" si="8"/>
        <v>43.234</v>
      </c>
      <c r="J26" s="60">
        <v>4574.04</v>
      </c>
      <c r="K26" s="63">
        <f t="shared" si="9"/>
        <v>3.8928</v>
      </c>
      <c r="L26" s="61">
        <f>(8500+250)</f>
        <v>8750</v>
      </c>
      <c r="M26" s="64">
        <f t="shared" si="25"/>
        <v>0.172244264</v>
      </c>
      <c r="N26" s="65">
        <f t="shared" ref="N26:O26" si="38">Q26+U26</f>
        <v>16129.53</v>
      </c>
      <c r="O26" s="61">
        <f t="shared" si="38"/>
        <v>4574.04</v>
      </c>
      <c r="P26" s="66">
        <f t="shared" si="12"/>
        <v>20703.57</v>
      </c>
      <c r="Q26" s="67">
        <f t="shared" si="13"/>
        <v>8064.765</v>
      </c>
      <c r="R26" s="68">
        <f t="shared" si="14"/>
        <v>3201.828</v>
      </c>
      <c r="S26" s="69">
        <f t="shared" si="15"/>
        <v>1280.7312</v>
      </c>
      <c r="T26" s="70">
        <f t="shared" si="16"/>
        <v>9985.8618</v>
      </c>
      <c r="U26" s="65">
        <f t="shared" si="17"/>
        <v>8064.765</v>
      </c>
      <c r="V26" s="61">
        <f t="shared" si="18"/>
        <v>1372.212</v>
      </c>
      <c r="W26" s="66">
        <f t="shared" si="19"/>
        <v>9436.977</v>
      </c>
      <c r="X26" s="75">
        <v>16129.53</v>
      </c>
    </row>
    <row r="27" ht="15.75" customHeight="1">
      <c r="A27" s="38">
        <v>21.0</v>
      </c>
      <c r="B27" s="39" t="s">
        <v>48</v>
      </c>
      <c r="C27" s="40">
        <v>46158.0</v>
      </c>
      <c r="D27" s="41">
        <f t="shared" si="6"/>
        <v>46158</v>
      </c>
      <c r="E27" s="42">
        <v>394.0</v>
      </c>
      <c r="F27" s="43">
        <v>1100.0</v>
      </c>
      <c r="G27" s="44">
        <f t="shared" si="7"/>
        <v>0.3581818182</v>
      </c>
      <c r="H27" s="42">
        <v>16512.0</v>
      </c>
      <c r="I27" s="71">
        <f t="shared" si="8"/>
        <v>41.90862944</v>
      </c>
      <c r="J27" s="42">
        <v>3313.27</v>
      </c>
      <c r="K27" s="71">
        <f t="shared" si="9"/>
        <v>8.409314721</v>
      </c>
      <c r="L27" s="43">
        <f>(5000+750+250)</f>
        <v>6000</v>
      </c>
      <c r="M27" s="48">
        <f t="shared" si="25"/>
        <v>0.363372093</v>
      </c>
      <c r="N27" s="72">
        <f t="shared" ref="N27:O27" si="39">Q27+U27</f>
        <v>-3.56</v>
      </c>
      <c r="O27" s="43">
        <f t="shared" si="39"/>
        <v>3313.27</v>
      </c>
      <c r="P27" s="73">
        <f t="shared" si="12"/>
        <v>3309.71</v>
      </c>
      <c r="Q27" s="51">
        <f t="shared" si="13"/>
        <v>-1.78</v>
      </c>
      <c r="R27" s="52">
        <f t="shared" si="14"/>
        <v>2319.289</v>
      </c>
      <c r="S27" s="53">
        <f t="shared" si="15"/>
        <v>927.7156</v>
      </c>
      <c r="T27" s="54">
        <f t="shared" si="16"/>
        <v>1389.7934</v>
      </c>
      <c r="U27" s="72">
        <f t="shared" si="17"/>
        <v>-1.78</v>
      </c>
      <c r="V27" s="43">
        <f t="shared" si="18"/>
        <v>993.981</v>
      </c>
      <c r="W27" s="73">
        <f t="shared" si="19"/>
        <v>992.201</v>
      </c>
      <c r="X27" s="75">
        <v>-3.56</v>
      </c>
    </row>
    <row r="28" ht="15.75" customHeight="1">
      <c r="A28" s="56">
        <v>22.0</v>
      </c>
      <c r="B28" s="57" t="s">
        <v>49</v>
      </c>
      <c r="C28" s="58">
        <v>46162.0</v>
      </c>
      <c r="D28" s="59">
        <f t="shared" si="6"/>
        <v>46162</v>
      </c>
      <c r="E28" s="60">
        <v>1165.0</v>
      </c>
      <c r="F28" s="61">
        <v>1100.0</v>
      </c>
      <c r="G28" s="62">
        <f t="shared" si="7"/>
        <v>1.059090909</v>
      </c>
      <c r="H28" s="60">
        <v>48779.76</v>
      </c>
      <c r="I28" s="63">
        <f t="shared" si="8"/>
        <v>41.87103863</v>
      </c>
      <c r="J28" s="60">
        <v>4396.48</v>
      </c>
      <c r="K28" s="63">
        <f t="shared" si="9"/>
        <v>3.773802575</v>
      </c>
      <c r="L28" s="61">
        <f>(10000+750)</f>
        <v>10750</v>
      </c>
      <c r="M28" s="64">
        <f t="shared" si="25"/>
        <v>0.220378288</v>
      </c>
      <c r="N28" s="65">
        <f t="shared" ref="N28:O28" si="40">Q28+U28</f>
        <v>20092.18</v>
      </c>
      <c r="O28" s="61">
        <f t="shared" si="40"/>
        <v>4396.48</v>
      </c>
      <c r="P28" s="66">
        <f t="shared" si="12"/>
        <v>24488.66</v>
      </c>
      <c r="Q28" s="67">
        <f t="shared" si="13"/>
        <v>10046.09</v>
      </c>
      <c r="R28" s="68">
        <f t="shared" si="14"/>
        <v>3077.536</v>
      </c>
      <c r="S28" s="69">
        <f t="shared" si="15"/>
        <v>1231.0144</v>
      </c>
      <c r="T28" s="70">
        <f t="shared" si="16"/>
        <v>11892.6116</v>
      </c>
      <c r="U28" s="65">
        <f t="shared" si="17"/>
        <v>10046.09</v>
      </c>
      <c r="V28" s="61">
        <f t="shared" si="18"/>
        <v>1318.944</v>
      </c>
      <c r="W28" s="66">
        <f t="shared" si="19"/>
        <v>11365.034</v>
      </c>
      <c r="X28" s="75">
        <v>20092.18</v>
      </c>
    </row>
    <row r="29" ht="15.75" customHeight="1">
      <c r="A29" s="38">
        <v>23.0</v>
      </c>
      <c r="B29" s="39" t="s">
        <v>50</v>
      </c>
      <c r="C29" s="40">
        <v>46163.0</v>
      </c>
      <c r="D29" s="41">
        <f t="shared" si="6"/>
        <v>46163</v>
      </c>
      <c r="E29" s="42">
        <v>1027.0</v>
      </c>
      <c r="F29" s="43">
        <v>1100.0</v>
      </c>
      <c r="G29" s="44">
        <f t="shared" si="7"/>
        <v>0.9336363636</v>
      </c>
      <c r="H29" s="42">
        <v>48086.83</v>
      </c>
      <c r="I29" s="71">
        <f t="shared" si="8"/>
        <v>46.82261928</v>
      </c>
      <c r="J29" s="42">
        <v>12567.0</v>
      </c>
      <c r="K29" s="71">
        <f t="shared" si="9"/>
        <v>12.23661149</v>
      </c>
      <c r="L29" s="43">
        <f>(20000+1000)</f>
        <v>21000</v>
      </c>
      <c r="M29" s="48">
        <f t="shared" si="25"/>
        <v>0.4367100098</v>
      </c>
      <c r="N29" s="72">
        <f t="shared" ref="N29:O29" si="41">Q29+U29</f>
        <v>13527.85</v>
      </c>
      <c r="O29" s="43">
        <f t="shared" si="41"/>
        <v>12567</v>
      </c>
      <c r="P29" s="73">
        <f t="shared" si="12"/>
        <v>26094.85</v>
      </c>
      <c r="Q29" s="51">
        <f t="shared" si="13"/>
        <v>6763.925</v>
      </c>
      <c r="R29" s="52">
        <f t="shared" si="14"/>
        <v>8796.9</v>
      </c>
      <c r="S29" s="53">
        <f t="shared" si="15"/>
        <v>3518.76</v>
      </c>
      <c r="T29" s="54">
        <f t="shared" si="16"/>
        <v>12042.065</v>
      </c>
      <c r="U29" s="72">
        <f t="shared" si="17"/>
        <v>6763.925</v>
      </c>
      <c r="V29" s="43">
        <f t="shared" si="18"/>
        <v>3770.1</v>
      </c>
      <c r="W29" s="73">
        <f t="shared" si="19"/>
        <v>10534.025</v>
      </c>
      <c r="X29" s="75">
        <v>13527.85</v>
      </c>
    </row>
    <row r="30" ht="15.75" customHeight="1">
      <c r="A30" s="56">
        <v>24.0</v>
      </c>
      <c r="B30" s="57" t="s">
        <v>51</v>
      </c>
      <c r="C30" s="58">
        <v>46165.0</v>
      </c>
      <c r="D30" s="59">
        <f t="shared" si="6"/>
        <v>46165</v>
      </c>
      <c r="E30" s="60">
        <v>1157.0</v>
      </c>
      <c r="F30" s="61">
        <v>1100.0</v>
      </c>
      <c r="G30" s="62">
        <f t="shared" si="7"/>
        <v>1.051818182</v>
      </c>
      <c r="H30" s="60">
        <v>45797.94</v>
      </c>
      <c r="I30" s="63">
        <f t="shared" si="8"/>
        <v>39.5833535</v>
      </c>
      <c r="J30" s="60">
        <v>13848.0</v>
      </c>
      <c r="K30" s="63">
        <f t="shared" si="9"/>
        <v>11.96888505</v>
      </c>
      <c r="L30" s="61">
        <f>(6500+2000+750+750)</f>
        <v>10000</v>
      </c>
      <c r="M30" s="64">
        <f t="shared" si="25"/>
        <v>0.2183504324</v>
      </c>
      <c r="N30" s="65">
        <f t="shared" ref="N30:O30" si="42">Q30+U30</f>
        <v>22965.87</v>
      </c>
      <c r="O30" s="61">
        <f t="shared" si="42"/>
        <v>13848</v>
      </c>
      <c r="P30" s="66">
        <f t="shared" si="12"/>
        <v>36813.87</v>
      </c>
      <c r="Q30" s="67">
        <f t="shared" si="13"/>
        <v>11482.935</v>
      </c>
      <c r="R30" s="68">
        <f t="shared" si="14"/>
        <v>9693.6</v>
      </c>
      <c r="S30" s="69">
        <f t="shared" si="15"/>
        <v>3877.44</v>
      </c>
      <c r="T30" s="70">
        <f t="shared" si="16"/>
        <v>17299.095</v>
      </c>
      <c r="U30" s="65">
        <f t="shared" si="17"/>
        <v>11482.935</v>
      </c>
      <c r="V30" s="61">
        <f t="shared" si="18"/>
        <v>4154.4</v>
      </c>
      <c r="W30" s="66">
        <f t="shared" si="19"/>
        <v>15637.335</v>
      </c>
      <c r="X30" s="75">
        <v>22965.87</v>
      </c>
    </row>
    <row r="31" ht="15.75" customHeight="1">
      <c r="A31" s="38">
        <v>25.0</v>
      </c>
      <c r="B31" s="39" t="s">
        <v>52</v>
      </c>
      <c r="C31" s="40">
        <v>46172.0</v>
      </c>
      <c r="D31" s="41">
        <f t="shared" si="6"/>
        <v>46172</v>
      </c>
      <c r="E31" s="42">
        <v>681.0</v>
      </c>
      <c r="F31" s="43">
        <v>1100.0</v>
      </c>
      <c r="G31" s="44">
        <f t="shared" si="7"/>
        <v>0.6190909091</v>
      </c>
      <c r="H31" s="42">
        <v>29887.94</v>
      </c>
      <c r="I31" s="71">
        <f t="shared" si="8"/>
        <v>43.88831131</v>
      </c>
      <c r="J31" s="42">
        <v>14392.87</v>
      </c>
      <c r="K31" s="71">
        <f t="shared" si="9"/>
        <v>21.13490455</v>
      </c>
      <c r="L31" s="42">
        <v>13436.8</v>
      </c>
      <c r="M31" s="48">
        <f t="shared" si="25"/>
        <v>0.449572637</v>
      </c>
      <c r="N31" s="72">
        <f t="shared" ref="N31:O31" si="43">Q31+U31</f>
        <v>5702.25</v>
      </c>
      <c r="O31" s="43">
        <f t="shared" si="43"/>
        <v>14392.87</v>
      </c>
      <c r="P31" s="73">
        <f t="shared" si="12"/>
        <v>20095.12</v>
      </c>
      <c r="Q31" s="51">
        <f t="shared" si="13"/>
        <v>2851.125</v>
      </c>
      <c r="R31" s="52">
        <f t="shared" si="14"/>
        <v>10075.009</v>
      </c>
      <c r="S31" s="53">
        <f t="shared" si="15"/>
        <v>4030.0036</v>
      </c>
      <c r="T31" s="54">
        <f t="shared" si="16"/>
        <v>8896.1304</v>
      </c>
      <c r="U31" s="72">
        <f t="shared" si="17"/>
        <v>2851.125</v>
      </c>
      <c r="V31" s="43">
        <f t="shared" si="18"/>
        <v>4317.861</v>
      </c>
      <c r="W31" s="73">
        <f t="shared" si="19"/>
        <v>7168.986</v>
      </c>
      <c r="X31" s="75">
        <v>5702.25</v>
      </c>
    </row>
    <row r="32" ht="15.75" customHeight="1">
      <c r="A32" s="56">
        <v>26.0</v>
      </c>
      <c r="B32" s="57" t="s">
        <v>53</v>
      </c>
      <c r="C32" s="58">
        <v>46173.0</v>
      </c>
      <c r="D32" s="59">
        <f t="shared" si="6"/>
        <v>46173</v>
      </c>
      <c r="E32" s="60">
        <v>200.0</v>
      </c>
      <c r="F32" s="60">
        <v>400.0</v>
      </c>
      <c r="G32" s="62">
        <f t="shared" si="7"/>
        <v>0.5</v>
      </c>
      <c r="H32" s="60">
        <v>8454.3</v>
      </c>
      <c r="I32" s="63">
        <f t="shared" si="8"/>
        <v>42.2715</v>
      </c>
      <c r="J32" s="60">
        <v>2500.66</v>
      </c>
      <c r="K32" s="63">
        <f t="shared" si="9"/>
        <v>12.5033</v>
      </c>
      <c r="L32" s="60">
        <v>2842.8</v>
      </c>
      <c r="M32" s="64">
        <f t="shared" si="25"/>
        <v>0.3362549235</v>
      </c>
      <c r="N32" s="65">
        <f t="shared" ref="N32:O32" si="44">Q32+U32</f>
        <v>-2908.45</v>
      </c>
      <c r="O32" s="61">
        <f t="shared" si="44"/>
        <v>2500.66</v>
      </c>
      <c r="P32" s="66">
        <f t="shared" si="12"/>
        <v>-407.79</v>
      </c>
      <c r="Q32" s="67">
        <f t="shared" si="13"/>
        <v>-1454.225</v>
      </c>
      <c r="R32" s="68">
        <f t="shared" si="14"/>
        <v>1750.462</v>
      </c>
      <c r="S32" s="69">
        <f t="shared" si="15"/>
        <v>700.1848</v>
      </c>
      <c r="T32" s="70">
        <f t="shared" si="16"/>
        <v>-403.9478</v>
      </c>
      <c r="U32" s="65">
        <f t="shared" si="17"/>
        <v>-1454.225</v>
      </c>
      <c r="V32" s="61">
        <f t="shared" si="18"/>
        <v>750.198</v>
      </c>
      <c r="W32" s="66">
        <f t="shared" si="19"/>
        <v>-704.027</v>
      </c>
      <c r="X32" s="74">
        <v>-2908.45</v>
      </c>
    </row>
    <row r="33" ht="15.75" customHeight="1">
      <c r="A33" s="38">
        <v>27.0</v>
      </c>
      <c r="B33" s="76"/>
      <c r="C33" s="77">
        <v>45778.0</v>
      </c>
      <c r="D33" s="41">
        <f t="shared" si="6"/>
        <v>45778</v>
      </c>
      <c r="E33" s="43"/>
      <c r="F33" s="43">
        <v>1100.0</v>
      </c>
      <c r="G33" s="44">
        <f t="shared" si="7"/>
        <v>0</v>
      </c>
      <c r="H33" s="43"/>
      <c r="I33" s="71" t="str">
        <f t="shared" si="8"/>
        <v/>
      </c>
      <c r="J33" s="43"/>
      <c r="K33" s="71" t="str">
        <f t="shared" si="9"/>
        <v/>
      </c>
      <c r="L33" s="43"/>
      <c r="M33" s="48" t="str">
        <f t="shared" si="25"/>
        <v/>
      </c>
      <c r="N33" s="72">
        <f t="shared" ref="N33:O33" si="45">Q33+U33</f>
        <v>0</v>
      </c>
      <c r="O33" s="43">
        <f t="shared" si="45"/>
        <v>0</v>
      </c>
      <c r="P33" s="73">
        <f t="shared" si="12"/>
        <v>0</v>
      </c>
      <c r="Q33" s="51">
        <f t="shared" si="13"/>
        <v>0</v>
      </c>
      <c r="R33" s="52">
        <f t="shared" si="14"/>
        <v>0</v>
      </c>
      <c r="S33" s="53">
        <f t="shared" si="15"/>
        <v>0</v>
      </c>
      <c r="T33" s="54">
        <f t="shared" si="16"/>
        <v>0</v>
      </c>
      <c r="U33" s="72">
        <f t="shared" si="17"/>
        <v>0</v>
      </c>
      <c r="V33" s="43">
        <f t="shared" si="18"/>
        <v>0</v>
      </c>
      <c r="W33" s="73">
        <f t="shared" si="19"/>
        <v>0</v>
      </c>
      <c r="X33" s="78"/>
    </row>
    <row r="34" ht="15.75" customHeight="1">
      <c r="A34" s="56">
        <v>28.0</v>
      </c>
      <c r="B34" s="79"/>
      <c r="C34" s="80">
        <v>45780.0</v>
      </c>
      <c r="D34" s="59">
        <f t="shared" si="6"/>
        <v>45780</v>
      </c>
      <c r="E34" s="61"/>
      <c r="F34" s="61">
        <v>1100.0</v>
      </c>
      <c r="G34" s="62">
        <f t="shared" si="7"/>
        <v>0</v>
      </c>
      <c r="H34" s="61"/>
      <c r="I34" s="63" t="str">
        <f t="shared" si="8"/>
        <v/>
      </c>
      <c r="J34" s="61"/>
      <c r="K34" s="63" t="str">
        <f t="shared" si="9"/>
        <v/>
      </c>
      <c r="L34" s="61"/>
      <c r="M34" s="64" t="str">
        <f t="shared" si="25"/>
        <v/>
      </c>
      <c r="N34" s="65">
        <f t="shared" ref="N34:O34" si="46">Q34+U34</f>
        <v>0</v>
      </c>
      <c r="O34" s="61">
        <f t="shared" si="46"/>
        <v>0</v>
      </c>
      <c r="P34" s="66">
        <f t="shared" si="12"/>
        <v>0</v>
      </c>
      <c r="Q34" s="67">
        <f t="shared" si="13"/>
        <v>0</v>
      </c>
      <c r="R34" s="68">
        <f t="shared" si="14"/>
        <v>0</v>
      </c>
      <c r="S34" s="69">
        <f t="shared" si="15"/>
        <v>0</v>
      </c>
      <c r="T34" s="70">
        <f t="shared" si="16"/>
        <v>0</v>
      </c>
      <c r="U34" s="65">
        <f t="shared" si="17"/>
        <v>0</v>
      </c>
      <c r="V34" s="61">
        <f t="shared" si="18"/>
        <v>0</v>
      </c>
      <c r="W34" s="66">
        <f t="shared" si="19"/>
        <v>0</v>
      </c>
      <c r="X34" s="81"/>
    </row>
    <row r="35" ht="15.75" customHeight="1">
      <c r="A35" s="38">
        <v>29.0</v>
      </c>
      <c r="B35" s="76"/>
      <c r="C35" s="77">
        <v>45781.0</v>
      </c>
      <c r="D35" s="41">
        <f t="shared" si="6"/>
        <v>45781</v>
      </c>
      <c r="E35" s="43"/>
      <c r="F35" s="43">
        <v>400.0</v>
      </c>
      <c r="G35" s="44">
        <f t="shared" si="7"/>
        <v>0</v>
      </c>
      <c r="H35" s="43"/>
      <c r="I35" s="71" t="str">
        <f t="shared" si="8"/>
        <v/>
      </c>
      <c r="J35" s="43"/>
      <c r="K35" s="71" t="str">
        <f t="shared" si="9"/>
        <v/>
      </c>
      <c r="L35" s="43"/>
      <c r="M35" s="48" t="str">
        <f t="shared" si="25"/>
        <v/>
      </c>
      <c r="N35" s="72">
        <f t="shared" ref="N35:O35" si="47">Q35+U35</f>
        <v>0</v>
      </c>
      <c r="O35" s="43">
        <f t="shared" si="47"/>
        <v>0</v>
      </c>
      <c r="P35" s="73">
        <f t="shared" si="12"/>
        <v>0</v>
      </c>
      <c r="Q35" s="51">
        <f t="shared" si="13"/>
        <v>0</v>
      </c>
      <c r="R35" s="52">
        <f t="shared" si="14"/>
        <v>0</v>
      </c>
      <c r="S35" s="53">
        <f t="shared" si="15"/>
        <v>0</v>
      </c>
      <c r="T35" s="54">
        <f t="shared" si="16"/>
        <v>0</v>
      </c>
      <c r="U35" s="72">
        <f t="shared" si="17"/>
        <v>0</v>
      </c>
      <c r="V35" s="43">
        <f t="shared" si="18"/>
        <v>0</v>
      </c>
      <c r="W35" s="73">
        <f t="shared" si="19"/>
        <v>0</v>
      </c>
      <c r="X35" s="81"/>
    </row>
    <row r="36" ht="15.75" customHeight="1">
      <c r="A36" s="56">
        <v>30.0</v>
      </c>
      <c r="B36" s="79"/>
      <c r="C36" s="80">
        <v>45783.0</v>
      </c>
      <c r="D36" s="59">
        <f t="shared" si="6"/>
        <v>45783</v>
      </c>
      <c r="E36" s="61"/>
      <c r="F36" s="61">
        <v>1100.0</v>
      </c>
      <c r="G36" s="62">
        <f t="shared" si="7"/>
        <v>0</v>
      </c>
      <c r="H36" s="61"/>
      <c r="I36" s="63" t="str">
        <f t="shared" si="8"/>
        <v/>
      </c>
      <c r="J36" s="61"/>
      <c r="K36" s="63" t="str">
        <f t="shared" si="9"/>
        <v/>
      </c>
      <c r="L36" s="61"/>
      <c r="M36" s="64" t="str">
        <f t="shared" si="25"/>
        <v/>
      </c>
      <c r="N36" s="65">
        <f t="shared" ref="N36:O36" si="48">Q36+U36</f>
        <v>0</v>
      </c>
      <c r="O36" s="61">
        <f t="shared" si="48"/>
        <v>0</v>
      </c>
      <c r="P36" s="66">
        <f t="shared" si="12"/>
        <v>0</v>
      </c>
      <c r="Q36" s="67">
        <f t="shared" si="13"/>
        <v>0</v>
      </c>
      <c r="R36" s="68">
        <f t="shared" si="14"/>
        <v>0</v>
      </c>
      <c r="S36" s="69">
        <f t="shared" si="15"/>
        <v>0</v>
      </c>
      <c r="T36" s="70">
        <f t="shared" si="16"/>
        <v>0</v>
      </c>
      <c r="U36" s="65">
        <f t="shared" si="17"/>
        <v>0</v>
      </c>
      <c r="V36" s="61">
        <f t="shared" si="18"/>
        <v>0</v>
      </c>
      <c r="W36" s="66">
        <f t="shared" si="19"/>
        <v>0</v>
      </c>
      <c r="X36" s="81"/>
    </row>
    <row r="37" ht="15.75" customHeight="1">
      <c r="A37" s="38">
        <v>31.0</v>
      </c>
      <c r="B37" s="76"/>
      <c r="C37" s="77">
        <v>45784.0</v>
      </c>
      <c r="D37" s="41">
        <f t="shared" si="6"/>
        <v>45784</v>
      </c>
      <c r="E37" s="43"/>
      <c r="F37" s="43">
        <v>1100.0</v>
      </c>
      <c r="G37" s="44">
        <f t="shared" si="7"/>
        <v>0</v>
      </c>
      <c r="H37" s="43"/>
      <c r="I37" s="71" t="str">
        <f t="shared" si="8"/>
        <v/>
      </c>
      <c r="J37" s="43"/>
      <c r="K37" s="71" t="str">
        <f t="shared" si="9"/>
        <v/>
      </c>
      <c r="L37" s="43"/>
      <c r="M37" s="48" t="str">
        <f t="shared" si="25"/>
        <v/>
      </c>
      <c r="N37" s="72">
        <f t="shared" ref="N37:O37" si="49">Q37+U37</f>
        <v>0</v>
      </c>
      <c r="O37" s="43">
        <f t="shared" si="49"/>
        <v>0</v>
      </c>
      <c r="P37" s="73">
        <f t="shared" si="12"/>
        <v>0</v>
      </c>
      <c r="Q37" s="51">
        <f t="shared" si="13"/>
        <v>0</v>
      </c>
      <c r="R37" s="52">
        <f t="shared" si="14"/>
        <v>0</v>
      </c>
      <c r="S37" s="53">
        <f t="shared" si="15"/>
        <v>0</v>
      </c>
      <c r="T37" s="54">
        <f t="shared" si="16"/>
        <v>0</v>
      </c>
      <c r="U37" s="72">
        <f t="shared" si="17"/>
        <v>0</v>
      </c>
      <c r="V37" s="43">
        <f t="shared" si="18"/>
        <v>0</v>
      </c>
      <c r="W37" s="73">
        <f t="shared" si="19"/>
        <v>0</v>
      </c>
      <c r="X37" s="78"/>
    </row>
    <row r="38" ht="15.75" customHeight="1">
      <c r="A38" s="56">
        <v>32.0</v>
      </c>
      <c r="B38" s="79"/>
      <c r="C38" s="80">
        <v>45791.0</v>
      </c>
      <c r="D38" s="59">
        <f t="shared" si="6"/>
        <v>45791</v>
      </c>
      <c r="E38" s="61"/>
      <c r="F38" s="61">
        <v>1100.0</v>
      </c>
      <c r="G38" s="62">
        <f t="shared" si="7"/>
        <v>0</v>
      </c>
      <c r="H38" s="61"/>
      <c r="I38" s="63" t="str">
        <f t="shared" si="8"/>
        <v/>
      </c>
      <c r="J38" s="61"/>
      <c r="K38" s="63" t="str">
        <f t="shared" si="9"/>
        <v/>
      </c>
      <c r="L38" s="61"/>
      <c r="M38" s="64" t="str">
        <f t="shared" si="25"/>
        <v/>
      </c>
      <c r="N38" s="65">
        <f t="shared" ref="N38:O38" si="50">Q38+U38</f>
        <v>0</v>
      </c>
      <c r="O38" s="61">
        <f t="shared" si="50"/>
        <v>0</v>
      </c>
      <c r="P38" s="66">
        <f t="shared" si="12"/>
        <v>0</v>
      </c>
      <c r="Q38" s="67">
        <f t="shared" si="13"/>
        <v>0</v>
      </c>
      <c r="R38" s="68">
        <f t="shared" si="14"/>
        <v>0</v>
      </c>
      <c r="S38" s="69">
        <f t="shared" si="15"/>
        <v>0</v>
      </c>
      <c r="T38" s="70">
        <f t="shared" si="16"/>
        <v>0</v>
      </c>
      <c r="U38" s="65">
        <f t="shared" si="17"/>
        <v>0</v>
      </c>
      <c r="V38" s="61">
        <f t="shared" si="18"/>
        <v>0</v>
      </c>
      <c r="W38" s="66">
        <f t="shared" si="19"/>
        <v>0</v>
      </c>
      <c r="X38" s="78"/>
    </row>
    <row r="39" ht="15.75" customHeight="1">
      <c r="A39" s="38">
        <v>33.0</v>
      </c>
      <c r="B39" s="76"/>
      <c r="C39" s="77">
        <v>45790.0</v>
      </c>
      <c r="D39" s="41">
        <f t="shared" si="6"/>
        <v>45790</v>
      </c>
      <c r="E39" s="43"/>
      <c r="F39" s="43">
        <v>1100.0</v>
      </c>
      <c r="G39" s="44">
        <f t="shared" si="7"/>
        <v>0</v>
      </c>
      <c r="H39" s="43"/>
      <c r="I39" s="71" t="str">
        <f t="shared" si="8"/>
        <v/>
      </c>
      <c r="J39" s="43"/>
      <c r="K39" s="71" t="str">
        <f t="shared" si="9"/>
        <v/>
      </c>
      <c r="L39" s="43"/>
      <c r="M39" s="48" t="str">
        <f t="shared" si="25"/>
        <v/>
      </c>
      <c r="N39" s="72">
        <f t="shared" ref="N39:O39" si="51">Q39+U39</f>
        <v>0</v>
      </c>
      <c r="O39" s="43">
        <f t="shared" si="51"/>
        <v>0</v>
      </c>
      <c r="P39" s="73">
        <f t="shared" si="12"/>
        <v>0</v>
      </c>
      <c r="Q39" s="51">
        <f t="shared" si="13"/>
        <v>0</v>
      </c>
      <c r="R39" s="52">
        <f t="shared" si="14"/>
        <v>0</v>
      </c>
      <c r="S39" s="53">
        <f t="shared" si="15"/>
        <v>0</v>
      </c>
      <c r="T39" s="54">
        <f t="shared" si="16"/>
        <v>0</v>
      </c>
      <c r="U39" s="72">
        <f t="shared" si="17"/>
        <v>0</v>
      </c>
      <c r="V39" s="43">
        <f t="shared" si="18"/>
        <v>0</v>
      </c>
      <c r="W39" s="73">
        <f t="shared" si="19"/>
        <v>0</v>
      </c>
      <c r="X39" s="81"/>
    </row>
    <row r="40" ht="15.75" customHeight="1">
      <c r="A40" s="56">
        <v>34.0</v>
      </c>
      <c r="B40" s="79"/>
      <c r="C40" s="80">
        <v>45797.0</v>
      </c>
      <c r="D40" s="59">
        <f t="shared" si="6"/>
        <v>45797</v>
      </c>
      <c r="E40" s="61"/>
      <c r="F40" s="61">
        <v>1100.0</v>
      </c>
      <c r="G40" s="62">
        <f t="shared" si="7"/>
        <v>0</v>
      </c>
      <c r="H40" s="61"/>
      <c r="I40" s="63" t="str">
        <f t="shared" si="8"/>
        <v/>
      </c>
      <c r="J40" s="61"/>
      <c r="K40" s="63" t="str">
        <f t="shared" si="9"/>
        <v/>
      </c>
      <c r="L40" s="61"/>
      <c r="M40" s="64" t="str">
        <f t="shared" si="25"/>
        <v/>
      </c>
      <c r="N40" s="65">
        <f t="shared" ref="N40:O40" si="52">Q40+U40</f>
        <v>0</v>
      </c>
      <c r="O40" s="61">
        <f t="shared" si="52"/>
        <v>0</v>
      </c>
      <c r="P40" s="66">
        <f t="shared" si="12"/>
        <v>0</v>
      </c>
      <c r="Q40" s="67">
        <f t="shared" si="13"/>
        <v>0</v>
      </c>
      <c r="R40" s="68">
        <f t="shared" si="14"/>
        <v>0</v>
      </c>
      <c r="S40" s="69">
        <f t="shared" si="15"/>
        <v>0</v>
      </c>
      <c r="T40" s="70">
        <f t="shared" si="16"/>
        <v>0</v>
      </c>
      <c r="U40" s="65">
        <f t="shared" si="17"/>
        <v>0</v>
      </c>
      <c r="V40" s="61">
        <f t="shared" si="18"/>
        <v>0</v>
      </c>
      <c r="W40" s="66">
        <f t="shared" si="19"/>
        <v>0</v>
      </c>
      <c r="X40" s="78"/>
      <c r="Y40" s="82"/>
      <c r="Z40" s="82"/>
    </row>
    <row r="41" ht="15.75" customHeight="1">
      <c r="A41" s="38">
        <v>35.0</v>
      </c>
      <c r="B41" s="76"/>
      <c r="C41" s="77">
        <v>45799.0</v>
      </c>
      <c r="D41" s="41">
        <f t="shared" si="6"/>
        <v>45799</v>
      </c>
      <c r="E41" s="43"/>
      <c r="F41" s="43">
        <v>1100.0</v>
      </c>
      <c r="G41" s="44">
        <f t="shared" si="7"/>
        <v>0</v>
      </c>
      <c r="H41" s="43"/>
      <c r="I41" s="71" t="str">
        <f t="shared" si="8"/>
        <v/>
      </c>
      <c r="J41" s="43"/>
      <c r="K41" s="71" t="str">
        <f t="shared" si="9"/>
        <v/>
      </c>
      <c r="L41" s="43"/>
      <c r="M41" s="48" t="str">
        <f t="shared" si="25"/>
        <v/>
      </c>
      <c r="N41" s="72">
        <f t="shared" ref="N41:O41" si="53">Q41+U41</f>
        <v>0</v>
      </c>
      <c r="O41" s="43">
        <f t="shared" si="53"/>
        <v>0</v>
      </c>
      <c r="P41" s="73">
        <f t="shared" si="12"/>
        <v>0</v>
      </c>
      <c r="Q41" s="51">
        <f t="shared" si="13"/>
        <v>0</v>
      </c>
      <c r="R41" s="52">
        <f t="shared" si="14"/>
        <v>0</v>
      </c>
      <c r="S41" s="53">
        <f t="shared" si="15"/>
        <v>0</v>
      </c>
      <c r="T41" s="54">
        <f t="shared" si="16"/>
        <v>0</v>
      </c>
      <c r="U41" s="72">
        <f t="shared" si="17"/>
        <v>0</v>
      </c>
      <c r="V41" s="43">
        <f t="shared" si="18"/>
        <v>0</v>
      </c>
      <c r="W41" s="73">
        <f t="shared" si="19"/>
        <v>0</v>
      </c>
      <c r="X41" s="78"/>
    </row>
    <row r="42" ht="15.75" customHeight="1">
      <c r="A42" s="56">
        <v>36.0</v>
      </c>
      <c r="B42" s="79"/>
      <c r="C42" s="80">
        <v>45804.0</v>
      </c>
      <c r="D42" s="59">
        <f t="shared" si="6"/>
        <v>45804</v>
      </c>
      <c r="E42" s="61"/>
      <c r="F42" s="61">
        <v>1100.0</v>
      </c>
      <c r="G42" s="62">
        <f t="shared" si="7"/>
        <v>0</v>
      </c>
      <c r="H42" s="61"/>
      <c r="I42" s="63" t="str">
        <f t="shared" si="8"/>
        <v/>
      </c>
      <c r="J42" s="61"/>
      <c r="K42" s="63" t="str">
        <f t="shared" si="9"/>
        <v/>
      </c>
      <c r="L42" s="61"/>
      <c r="M42" s="64" t="str">
        <f t="shared" si="25"/>
        <v/>
      </c>
      <c r="N42" s="65">
        <f t="shared" ref="N42:O42" si="54">Q42+U42</f>
        <v>0</v>
      </c>
      <c r="O42" s="61">
        <f t="shared" si="54"/>
        <v>0</v>
      </c>
      <c r="P42" s="66">
        <f t="shared" si="12"/>
        <v>0</v>
      </c>
      <c r="Q42" s="67">
        <f t="shared" si="13"/>
        <v>0</v>
      </c>
      <c r="R42" s="68">
        <f t="shared" si="14"/>
        <v>0</v>
      </c>
      <c r="S42" s="69">
        <f t="shared" si="15"/>
        <v>0</v>
      </c>
      <c r="T42" s="70">
        <f t="shared" si="16"/>
        <v>0</v>
      </c>
      <c r="U42" s="65">
        <f t="shared" si="17"/>
        <v>0</v>
      </c>
      <c r="V42" s="61">
        <f t="shared" si="18"/>
        <v>0</v>
      </c>
      <c r="W42" s="66">
        <f t="shared" si="19"/>
        <v>0</v>
      </c>
      <c r="X42" s="81"/>
    </row>
    <row r="43" ht="15.75" customHeight="1">
      <c r="A43" s="38">
        <v>37.0</v>
      </c>
      <c r="B43" s="76"/>
      <c r="C43" s="77">
        <v>45811.0</v>
      </c>
      <c r="D43" s="41">
        <f t="shared" si="6"/>
        <v>45811</v>
      </c>
      <c r="E43" s="43"/>
      <c r="F43" s="43">
        <v>1100.0</v>
      </c>
      <c r="G43" s="44">
        <f t="shared" si="7"/>
        <v>0</v>
      </c>
      <c r="H43" s="43"/>
      <c r="I43" s="71" t="str">
        <f t="shared" si="8"/>
        <v/>
      </c>
      <c r="J43" s="43"/>
      <c r="K43" s="71" t="str">
        <f t="shared" si="9"/>
        <v/>
      </c>
      <c r="L43" s="43"/>
      <c r="M43" s="48" t="str">
        <f t="shared" si="25"/>
        <v/>
      </c>
      <c r="N43" s="72">
        <f t="shared" ref="N43:O43" si="55">Q43+U43</f>
        <v>0</v>
      </c>
      <c r="O43" s="43">
        <f t="shared" si="55"/>
        <v>0</v>
      </c>
      <c r="P43" s="73">
        <f t="shared" si="12"/>
        <v>0</v>
      </c>
      <c r="Q43" s="51">
        <f t="shared" si="13"/>
        <v>0</v>
      </c>
      <c r="R43" s="52">
        <f t="shared" si="14"/>
        <v>0</v>
      </c>
      <c r="S43" s="53">
        <f t="shared" si="15"/>
        <v>0</v>
      </c>
      <c r="T43" s="54">
        <f t="shared" si="16"/>
        <v>0</v>
      </c>
      <c r="U43" s="72">
        <f t="shared" si="17"/>
        <v>0</v>
      </c>
      <c r="V43" s="43">
        <f t="shared" si="18"/>
        <v>0</v>
      </c>
      <c r="W43" s="73">
        <f t="shared" si="19"/>
        <v>0</v>
      </c>
      <c r="X43" s="78"/>
    </row>
    <row r="44" ht="15.75" customHeight="1">
      <c r="A44" s="56">
        <v>38.0</v>
      </c>
      <c r="B44" s="79"/>
      <c r="C44" s="80">
        <v>45812.0</v>
      </c>
      <c r="D44" s="59">
        <f t="shared" si="6"/>
        <v>45812</v>
      </c>
      <c r="E44" s="61"/>
      <c r="F44" s="61">
        <v>1100.0</v>
      </c>
      <c r="G44" s="62">
        <f t="shared" si="7"/>
        <v>0</v>
      </c>
      <c r="H44" s="61"/>
      <c r="I44" s="63" t="str">
        <f t="shared" si="8"/>
        <v/>
      </c>
      <c r="J44" s="61"/>
      <c r="K44" s="63" t="str">
        <f t="shared" si="9"/>
        <v/>
      </c>
      <c r="L44" s="61"/>
      <c r="M44" s="64" t="str">
        <f t="shared" si="25"/>
        <v/>
      </c>
      <c r="N44" s="65">
        <f t="shared" ref="N44:O44" si="56">Q44+U44</f>
        <v>0</v>
      </c>
      <c r="O44" s="61">
        <f t="shared" si="56"/>
        <v>0</v>
      </c>
      <c r="P44" s="66">
        <f t="shared" si="12"/>
        <v>0</v>
      </c>
      <c r="Q44" s="67">
        <f t="shared" si="13"/>
        <v>0</v>
      </c>
      <c r="R44" s="68">
        <f t="shared" si="14"/>
        <v>0</v>
      </c>
      <c r="S44" s="69">
        <f t="shared" si="15"/>
        <v>0</v>
      </c>
      <c r="T44" s="70">
        <f t="shared" si="16"/>
        <v>0</v>
      </c>
      <c r="U44" s="65">
        <f t="shared" si="17"/>
        <v>0</v>
      </c>
      <c r="V44" s="61">
        <f t="shared" si="18"/>
        <v>0</v>
      </c>
      <c r="W44" s="66">
        <f t="shared" si="19"/>
        <v>0</v>
      </c>
      <c r="X44" s="81"/>
    </row>
    <row r="45" ht="15.75" customHeight="1">
      <c r="A45" s="38">
        <v>39.0</v>
      </c>
      <c r="B45" s="76"/>
      <c r="C45" s="77">
        <v>45813.0</v>
      </c>
      <c r="D45" s="41">
        <f t="shared" si="6"/>
        <v>45813</v>
      </c>
      <c r="E45" s="43"/>
      <c r="F45" s="43">
        <v>1100.0</v>
      </c>
      <c r="G45" s="44">
        <f t="shared" si="7"/>
        <v>0</v>
      </c>
      <c r="H45" s="43"/>
      <c r="I45" s="71" t="str">
        <f t="shared" si="8"/>
        <v/>
      </c>
      <c r="J45" s="43"/>
      <c r="K45" s="71" t="str">
        <f t="shared" si="9"/>
        <v/>
      </c>
      <c r="L45" s="43"/>
      <c r="M45" s="48" t="str">
        <f t="shared" si="25"/>
        <v/>
      </c>
      <c r="N45" s="72">
        <f t="shared" ref="N45:O45" si="57">Q45+U45</f>
        <v>0</v>
      </c>
      <c r="O45" s="43">
        <f t="shared" si="57"/>
        <v>0</v>
      </c>
      <c r="P45" s="73">
        <f t="shared" si="12"/>
        <v>0</v>
      </c>
      <c r="Q45" s="51">
        <f t="shared" si="13"/>
        <v>0</v>
      </c>
      <c r="R45" s="52">
        <f t="shared" si="14"/>
        <v>0</v>
      </c>
      <c r="S45" s="53">
        <f t="shared" si="15"/>
        <v>0</v>
      </c>
      <c r="T45" s="54">
        <f t="shared" si="16"/>
        <v>0</v>
      </c>
      <c r="U45" s="72">
        <f t="shared" si="17"/>
        <v>0</v>
      </c>
      <c r="V45" s="43">
        <f t="shared" si="18"/>
        <v>0</v>
      </c>
      <c r="W45" s="73">
        <f t="shared" si="19"/>
        <v>0</v>
      </c>
      <c r="X45" s="78"/>
    </row>
    <row r="46" ht="15.75" customHeight="1">
      <c r="A46" s="56">
        <v>40.0</v>
      </c>
      <c r="B46" s="79"/>
      <c r="C46" s="80"/>
      <c r="D46" s="59" t="str">
        <f t="shared" si="6"/>
        <v/>
      </c>
      <c r="E46" s="61"/>
      <c r="F46" s="61"/>
      <c r="G46" s="62" t="str">
        <f t="shared" si="7"/>
        <v/>
      </c>
      <c r="H46" s="61"/>
      <c r="I46" s="63" t="str">
        <f t="shared" si="8"/>
        <v/>
      </c>
      <c r="J46" s="61"/>
      <c r="K46" s="63" t="str">
        <f t="shared" si="9"/>
        <v/>
      </c>
      <c r="L46" s="61"/>
      <c r="M46" s="64" t="str">
        <f t="shared" si="25"/>
        <v/>
      </c>
      <c r="N46" s="65">
        <f t="shared" ref="N46:O46" si="58">Q46+U46</f>
        <v>0</v>
      </c>
      <c r="O46" s="61">
        <f t="shared" si="58"/>
        <v>0</v>
      </c>
      <c r="P46" s="66">
        <f t="shared" si="12"/>
        <v>0</v>
      </c>
      <c r="Q46" s="67">
        <f t="shared" si="13"/>
        <v>0</v>
      </c>
      <c r="R46" s="68">
        <f t="shared" si="14"/>
        <v>0</v>
      </c>
      <c r="S46" s="69">
        <f t="shared" si="15"/>
        <v>0</v>
      </c>
      <c r="T46" s="70">
        <f t="shared" si="16"/>
        <v>0</v>
      </c>
      <c r="U46" s="65">
        <f t="shared" si="17"/>
        <v>0</v>
      </c>
      <c r="V46" s="61">
        <f t="shared" si="18"/>
        <v>0</v>
      </c>
      <c r="W46" s="66">
        <f t="shared" si="19"/>
        <v>0</v>
      </c>
      <c r="X46" s="83"/>
    </row>
    <row r="47" ht="15.75" customHeight="1">
      <c r="A47" s="38">
        <v>41.0</v>
      </c>
      <c r="B47" s="76"/>
      <c r="C47" s="77"/>
      <c r="D47" s="41" t="str">
        <f t="shared" si="6"/>
        <v/>
      </c>
      <c r="E47" s="43"/>
      <c r="F47" s="43"/>
      <c r="G47" s="44" t="str">
        <f t="shared" si="7"/>
        <v/>
      </c>
      <c r="H47" s="43"/>
      <c r="I47" s="71" t="str">
        <f t="shared" si="8"/>
        <v/>
      </c>
      <c r="J47" s="43"/>
      <c r="K47" s="71" t="str">
        <f t="shared" si="9"/>
        <v/>
      </c>
      <c r="L47" s="43"/>
      <c r="M47" s="48" t="str">
        <f t="shared" si="25"/>
        <v/>
      </c>
      <c r="N47" s="72">
        <f t="shared" ref="N47:O47" si="59">Q47+U47</f>
        <v>0</v>
      </c>
      <c r="O47" s="43">
        <f t="shared" si="59"/>
        <v>0</v>
      </c>
      <c r="P47" s="73">
        <f t="shared" si="12"/>
        <v>0</v>
      </c>
      <c r="Q47" s="51">
        <f t="shared" si="13"/>
        <v>0</v>
      </c>
      <c r="R47" s="52">
        <f t="shared" si="14"/>
        <v>0</v>
      </c>
      <c r="S47" s="53">
        <f t="shared" si="15"/>
        <v>0</v>
      </c>
      <c r="T47" s="54">
        <f t="shared" si="16"/>
        <v>0</v>
      </c>
      <c r="U47" s="72">
        <f t="shared" si="17"/>
        <v>0</v>
      </c>
      <c r="V47" s="43">
        <f t="shared" si="18"/>
        <v>0</v>
      </c>
      <c r="W47" s="73">
        <f t="shared" si="19"/>
        <v>0</v>
      </c>
      <c r="X47" s="83"/>
    </row>
    <row r="48" ht="15.75" customHeight="1">
      <c r="A48" s="56">
        <v>42.0</v>
      </c>
      <c r="B48" s="79"/>
      <c r="C48" s="80"/>
      <c r="D48" s="59" t="str">
        <f t="shared" si="6"/>
        <v/>
      </c>
      <c r="E48" s="61"/>
      <c r="F48" s="61"/>
      <c r="G48" s="62" t="str">
        <f t="shared" si="7"/>
        <v/>
      </c>
      <c r="H48" s="61"/>
      <c r="I48" s="63" t="str">
        <f t="shared" si="8"/>
        <v/>
      </c>
      <c r="J48" s="61"/>
      <c r="K48" s="63" t="str">
        <f t="shared" si="9"/>
        <v/>
      </c>
      <c r="L48" s="61"/>
      <c r="M48" s="64" t="str">
        <f t="shared" si="25"/>
        <v/>
      </c>
      <c r="N48" s="65">
        <f t="shared" ref="N48:O48" si="60">Q48+U48</f>
        <v>0</v>
      </c>
      <c r="O48" s="61">
        <f t="shared" si="60"/>
        <v>0</v>
      </c>
      <c r="P48" s="66">
        <f t="shared" si="12"/>
        <v>0</v>
      </c>
      <c r="Q48" s="67">
        <f t="shared" si="13"/>
        <v>0</v>
      </c>
      <c r="R48" s="68">
        <f t="shared" si="14"/>
        <v>0</v>
      </c>
      <c r="S48" s="69">
        <f t="shared" si="15"/>
        <v>0</v>
      </c>
      <c r="T48" s="70">
        <f t="shared" si="16"/>
        <v>0</v>
      </c>
      <c r="U48" s="65">
        <f t="shared" si="17"/>
        <v>0</v>
      </c>
      <c r="V48" s="61">
        <f t="shared" si="18"/>
        <v>0</v>
      </c>
      <c r="W48" s="66">
        <f t="shared" si="19"/>
        <v>0</v>
      </c>
      <c r="X48" s="83"/>
    </row>
    <row r="49" ht="15.75" customHeight="1">
      <c r="A49" s="38">
        <v>43.0</v>
      </c>
      <c r="B49" s="76"/>
      <c r="C49" s="77"/>
      <c r="D49" s="41">
        <v>193.0</v>
      </c>
      <c r="E49" s="43"/>
      <c r="F49" s="43"/>
      <c r="G49" s="44" t="str">
        <f t="shared" si="7"/>
        <v/>
      </c>
      <c r="H49" s="43"/>
      <c r="I49" s="71" t="str">
        <f t="shared" si="8"/>
        <v/>
      </c>
      <c r="J49" s="43"/>
      <c r="K49" s="71" t="str">
        <f t="shared" si="9"/>
        <v/>
      </c>
      <c r="L49" s="43"/>
      <c r="M49" s="48" t="str">
        <f t="shared" si="25"/>
        <v/>
      </c>
      <c r="N49" s="72">
        <f t="shared" ref="N49:O49" si="61">Q49+U49</f>
        <v>0</v>
      </c>
      <c r="O49" s="43">
        <f t="shared" si="61"/>
        <v>0</v>
      </c>
      <c r="P49" s="73">
        <f t="shared" si="12"/>
        <v>0</v>
      </c>
      <c r="Q49" s="51">
        <f t="shared" si="13"/>
        <v>0</v>
      </c>
      <c r="R49" s="52">
        <f t="shared" si="14"/>
        <v>0</v>
      </c>
      <c r="S49" s="53">
        <f t="shared" si="15"/>
        <v>0</v>
      </c>
      <c r="T49" s="54">
        <f t="shared" si="16"/>
        <v>0</v>
      </c>
      <c r="U49" s="72">
        <f t="shared" si="17"/>
        <v>0</v>
      </c>
      <c r="V49" s="43">
        <f t="shared" si="18"/>
        <v>0</v>
      </c>
      <c r="W49" s="73">
        <f t="shared" si="19"/>
        <v>0</v>
      </c>
      <c r="X49" s="83"/>
    </row>
    <row r="50" ht="15.75" customHeight="1">
      <c r="A50" s="56">
        <v>44.0</v>
      </c>
      <c r="B50" s="79"/>
      <c r="C50" s="80"/>
      <c r="D50" s="59" t="str">
        <f t="shared" ref="D50:D63" si="63">C50</f>
        <v/>
      </c>
      <c r="E50" s="61"/>
      <c r="F50" s="61"/>
      <c r="G50" s="62" t="str">
        <f t="shared" si="7"/>
        <v/>
      </c>
      <c r="H50" s="61"/>
      <c r="I50" s="63" t="str">
        <f t="shared" si="8"/>
        <v/>
      </c>
      <c r="J50" s="61"/>
      <c r="K50" s="63" t="str">
        <f t="shared" si="9"/>
        <v/>
      </c>
      <c r="L50" s="61"/>
      <c r="M50" s="64" t="str">
        <f t="shared" si="25"/>
        <v/>
      </c>
      <c r="N50" s="65">
        <f t="shared" ref="N50:O50" si="62">Q50+U50</f>
        <v>0</v>
      </c>
      <c r="O50" s="61">
        <f t="shared" si="62"/>
        <v>0</v>
      </c>
      <c r="P50" s="66">
        <f t="shared" si="12"/>
        <v>0</v>
      </c>
      <c r="Q50" s="67">
        <f t="shared" si="13"/>
        <v>0</v>
      </c>
      <c r="R50" s="68">
        <f t="shared" si="14"/>
        <v>0</v>
      </c>
      <c r="S50" s="69">
        <f t="shared" si="15"/>
        <v>0</v>
      </c>
      <c r="T50" s="70">
        <f t="shared" si="16"/>
        <v>0</v>
      </c>
      <c r="U50" s="65">
        <f t="shared" si="17"/>
        <v>0</v>
      </c>
      <c r="V50" s="61">
        <f t="shared" si="18"/>
        <v>0</v>
      </c>
      <c r="W50" s="66">
        <f t="shared" si="19"/>
        <v>0</v>
      </c>
      <c r="X50" s="83"/>
    </row>
    <row r="51" ht="15.75" customHeight="1">
      <c r="A51" s="38">
        <v>45.0</v>
      </c>
      <c r="B51" s="76"/>
      <c r="C51" s="77"/>
      <c r="D51" s="41" t="str">
        <f t="shared" si="63"/>
        <v/>
      </c>
      <c r="E51" s="43"/>
      <c r="F51" s="43"/>
      <c r="G51" s="44" t="str">
        <f t="shared" si="7"/>
        <v/>
      </c>
      <c r="H51" s="43"/>
      <c r="I51" s="71" t="str">
        <f t="shared" si="8"/>
        <v/>
      </c>
      <c r="J51" s="43"/>
      <c r="K51" s="71" t="str">
        <f t="shared" si="9"/>
        <v/>
      </c>
      <c r="L51" s="43"/>
      <c r="M51" s="48" t="str">
        <f t="shared" si="25"/>
        <v/>
      </c>
      <c r="N51" s="72">
        <f t="shared" ref="N51:O51" si="64">Q51+U51</f>
        <v>0</v>
      </c>
      <c r="O51" s="43">
        <f t="shared" si="64"/>
        <v>0</v>
      </c>
      <c r="P51" s="73">
        <f t="shared" si="12"/>
        <v>0</v>
      </c>
      <c r="Q51" s="51">
        <f t="shared" si="13"/>
        <v>0</v>
      </c>
      <c r="R51" s="52">
        <f t="shared" si="14"/>
        <v>0</v>
      </c>
      <c r="S51" s="53">
        <f t="shared" si="15"/>
        <v>0</v>
      </c>
      <c r="T51" s="54">
        <f t="shared" si="16"/>
        <v>0</v>
      </c>
      <c r="U51" s="72">
        <f t="shared" si="17"/>
        <v>0</v>
      </c>
      <c r="V51" s="43">
        <f t="shared" si="18"/>
        <v>0</v>
      </c>
      <c r="W51" s="73">
        <f t="shared" si="19"/>
        <v>0</v>
      </c>
      <c r="X51" s="83"/>
    </row>
    <row r="52" ht="15.75" customHeight="1">
      <c r="A52" s="56">
        <v>46.0</v>
      </c>
      <c r="B52" s="79"/>
      <c r="C52" s="80"/>
      <c r="D52" s="59" t="str">
        <f t="shared" si="63"/>
        <v/>
      </c>
      <c r="E52" s="61"/>
      <c r="F52" s="61"/>
      <c r="G52" s="62" t="str">
        <f t="shared" si="7"/>
        <v/>
      </c>
      <c r="H52" s="61"/>
      <c r="I52" s="63" t="str">
        <f t="shared" si="8"/>
        <v/>
      </c>
      <c r="J52" s="61"/>
      <c r="K52" s="63" t="str">
        <f t="shared" si="9"/>
        <v/>
      </c>
      <c r="L52" s="61"/>
      <c r="M52" s="64" t="str">
        <f t="shared" si="25"/>
        <v/>
      </c>
      <c r="N52" s="65">
        <f t="shared" ref="N52:O52" si="65">Q52+U52</f>
        <v>0</v>
      </c>
      <c r="O52" s="61">
        <f t="shared" si="65"/>
        <v>0</v>
      </c>
      <c r="P52" s="66">
        <f t="shared" si="12"/>
        <v>0</v>
      </c>
      <c r="Q52" s="67">
        <f t="shared" si="13"/>
        <v>0</v>
      </c>
      <c r="R52" s="68">
        <f t="shared" si="14"/>
        <v>0</v>
      </c>
      <c r="S52" s="69">
        <f t="shared" si="15"/>
        <v>0</v>
      </c>
      <c r="T52" s="70">
        <f t="shared" si="16"/>
        <v>0</v>
      </c>
      <c r="U52" s="65">
        <f t="shared" si="17"/>
        <v>0</v>
      </c>
      <c r="V52" s="61">
        <f t="shared" si="18"/>
        <v>0</v>
      </c>
      <c r="W52" s="66">
        <f t="shared" si="19"/>
        <v>0</v>
      </c>
      <c r="X52" s="83"/>
    </row>
    <row r="53" ht="15.75" customHeight="1">
      <c r="A53" s="38">
        <v>47.0</v>
      </c>
      <c r="B53" s="76"/>
      <c r="C53" s="77"/>
      <c r="D53" s="41" t="str">
        <f t="shared" si="63"/>
        <v/>
      </c>
      <c r="E53" s="43"/>
      <c r="F53" s="43"/>
      <c r="G53" s="44" t="str">
        <f t="shared" si="7"/>
        <v/>
      </c>
      <c r="H53" s="43"/>
      <c r="I53" s="71" t="str">
        <f t="shared" si="8"/>
        <v/>
      </c>
      <c r="J53" s="43"/>
      <c r="K53" s="71" t="str">
        <f t="shared" si="9"/>
        <v/>
      </c>
      <c r="L53" s="43"/>
      <c r="M53" s="48" t="str">
        <f t="shared" si="25"/>
        <v/>
      </c>
      <c r="N53" s="72">
        <f t="shared" ref="N53:O53" si="66">Q53+U53</f>
        <v>0</v>
      </c>
      <c r="O53" s="43">
        <f t="shared" si="66"/>
        <v>0</v>
      </c>
      <c r="P53" s="73">
        <f t="shared" si="12"/>
        <v>0</v>
      </c>
      <c r="Q53" s="51">
        <f t="shared" si="13"/>
        <v>0</v>
      </c>
      <c r="R53" s="52">
        <f t="shared" si="14"/>
        <v>0</v>
      </c>
      <c r="S53" s="53">
        <f t="shared" si="15"/>
        <v>0</v>
      </c>
      <c r="T53" s="54">
        <f t="shared" si="16"/>
        <v>0</v>
      </c>
      <c r="U53" s="72">
        <f t="shared" si="17"/>
        <v>0</v>
      </c>
      <c r="V53" s="43">
        <f t="shared" si="18"/>
        <v>0</v>
      </c>
      <c r="W53" s="73">
        <f t="shared" si="19"/>
        <v>0</v>
      </c>
      <c r="X53" s="83"/>
    </row>
    <row r="54" ht="15.75" customHeight="1">
      <c r="A54" s="56">
        <v>48.0</v>
      </c>
      <c r="B54" s="79"/>
      <c r="C54" s="80"/>
      <c r="D54" s="59" t="str">
        <f t="shared" si="63"/>
        <v/>
      </c>
      <c r="E54" s="61"/>
      <c r="F54" s="61"/>
      <c r="G54" s="62" t="str">
        <f t="shared" si="7"/>
        <v/>
      </c>
      <c r="H54" s="61"/>
      <c r="I54" s="63" t="str">
        <f t="shared" si="8"/>
        <v/>
      </c>
      <c r="J54" s="61"/>
      <c r="K54" s="63" t="str">
        <f t="shared" si="9"/>
        <v/>
      </c>
      <c r="L54" s="61"/>
      <c r="M54" s="64" t="str">
        <f t="shared" si="25"/>
        <v/>
      </c>
      <c r="N54" s="65">
        <f t="shared" ref="N54:O54" si="67">Q54+U54</f>
        <v>0</v>
      </c>
      <c r="O54" s="61">
        <f t="shared" si="67"/>
        <v>0</v>
      </c>
      <c r="P54" s="66">
        <f t="shared" si="12"/>
        <v>0</v>
      </c>
      <c r="Q54" s="67">
        <f t="shared" si="13"/>
        <v>0</v>
      </c>
      <c r="R54" s="68">
        <f t="shared" si="14"/>
        <v>0</v>
      </c>
      <c r="S54" s="69">
        <f t="shared" si="15"/>
        <v>0</v>
      </c>
      <c r="T54" s="70">
        <f t="shared" si="16"/>
        <v>0</v>
      </c>
      <c r="U54" s="65">
        <f t="shared" si="17"/>
        <v>0</v>
      </c>
      <c r="V54" s="61">
        <f t="shared" si="18"/>
        <v>0</v>
      </c>
      <c r="W54" s="66">
        <f t="shared" si="19"/>
        <v>0</v>
      </c>
      <c r="X54" s="83"/>
    </row>
    <row r="55" ht="15.75" customHeight="1">
      <c r="A55" s="38">
        <v>49.0</v>
      </c>
      <c r="B55" s="76"/>
      <c r="C55" s="77"/>
      <c r="D55" s="41" t="str">
        <f t="shared" si="63"/>
        <v/>
      </c>
      <c r="E55" s="43"/>
      <c r="F55" s="43"/>
      <c r="G55" s="44" t="str">
        <f t="shared" si="7"/>
        <v/>
      </c>
      <c r="H55" s="43"/>
      <c r="I55" s="71" t="str">
        <f t="shared" si="8"/>
        <v/>
      </c>
      <c r="J55" s="43"/>
      <c r="K55" s="71" t="str">
        <f t="shared" si="9"/>
        <v/>
      </c>
      <c r="L55" s="43"/>
      <c r="M55" s="48" t="str">
        <f t="shared" si="25"/>
        <v/>
      </c>
      <c r="N55" s="72">
        <f t="shared" ref="N55:O55" si="68">Q55+U55</f>
        <v>0</v>
      </c>
      <c r="O55" s="43">
        <f t="shared" si="68"/>
        <v>0</v>
      </c>
      <c r="P55" s="73">
        <f t="shared" si="12"/>
        <v>0</v>
      </c>
      <c r="Q55" s="51">
        <f t="shared" si="13"/>
        <v>0</v>
      </c>
      <c r="R55" s="52">
        <f t="shared" si="14"/>
        <v>0</v>
      </c>
      <c r="S55" s="53">
        <f t="shared" si="15"/>
        <v>0</v>
      </c>
      <c r="T55" s="54">
        <f t="shared" si="16"/>
        <v>0</v>
      </c>
      <c r="U55" s="72">
        <f t="shared" si="17"/>
        <v>0</v>
      </c>
      <c r="V55" s="43">
        <f t="shared" si="18"/>
        <v>0</v>
      </c>
      <c r="W55" s="73">
        <f t="shared" si="19"/>
        <v>0</v>
      </c>
      <c r="X55" s="83"/>
    </row>
    <row r="56" ht="15.75" customHeight="1">
      <c r="A56" s="56">
        <v>50.0</v>
      </c>
      <c r="B56" s="79"/>
      <c r="C56" s="80"/>
      <c r="D56" s="59" t="str">
        <f t="shared" si="63"/>
        <v/>
      </c>
      <c r="E56" s="61"/>
      <c r="F56" s="61"/>
      <c r="G56" s="62" t="str">
        <f t="shared" si="7"/>
        <v/>
      </c>
      <c r="H56" s="61"/>
      <c r="I56" s="63" t="str">
        <f t="shared" si="8"/>
        <v/>
      </c>
      <c r="J56" s="61"/>
      <c r="K56" s="63" t="str">
        <f t="shared" si="9"/>
        <v/>
      </c>
      <c r="L56" s="61"/>
      <c r="M56" s="64" t="str">
        <f t="shared" si="25"/>
        <v/>
      </c>
      <c r="N56" s="65">
        <f t="shared" ref="N56:O56" si="69">Q56+U56</f>
        <v>0</v>
      </c>
      <c r="O56" s="61">
        <f t="shared" si="69"/>
        <v>0</v>
      </c>
      <c r="P56" s="66">
        <f t="shared" si="12"/>
        <v>0</v>
      </c>
      <c r="Q56" s="67">
        <f t="shared" si="13"/>
        <v>0</v>
      </c>
      <c r="R56" s="68">
        <f t="shared" si="14"/>
        <v>0</v>
      </c>
      <c r="S56" s="69">
        <f t="shared" si="15"/>
        <v>0</v>
      </c>
      <c r="T56" s="70">
        <f t="shared" si="16"/>
        <v>0</v>
      </c>
      <c r="U56" s="65">
        <f t="shared" si="17"/>
        <v>0</v>
      </c>
      <c r="V56" s="61">
        <f t="shared" si="18"/>
        <v>0</v>
      </c>
      <c r="W56" s="66">
        <f t="shared" si="19"/>
        <v>0</v>
      </c>
      <c r="X56" s="83"/>
    </row>
    <row r="57" ht="15.75" customHeight="1">
      <c r="A57" s="38">
        <v>51.0</v>
      </c>
      <c r="B57" s="76"/>
      <c r="C57" s="77"/>
      <c r="D57" s="41" t="str">
        <f t="shared" si="63"/>
        <v/>
      </c>
      <c r="E57" s="43"/>
      <c r="F57" s="43"/>
      <c r="G57" s="44" t="str">
        <f t="shared" si="7"/>
        <v/>
      </c>
      <c r="H57" s="43"/>
      <c r="I57" s="71" t="str">
        <f t="shared" si="8"/>
        <v/>
      </c>
      <c r="J57" s="43"/>
      <c r="K57" s="71" t="str">
        <f t="shared" si="9"/>
        <v/>
      </c>
      <c r="L57" s="43"/>
      <c r="M57" s="48" t="str">
        <f t="shared" si="25"/>
        <v/>
      </c>
      <c r="N57" s="72">
        <f t="shared" ref="N57:O57" si="70">Q57+U57</f>
        <v>0</v>
      </c>
      <c r="O57" s="43">
        <f t="shared" si="70"/>
        <v>0</v>
      </c>
      <c r="P57" s="73">
        <f t="shared" si="12"/>
        <v>0</v>
      </c>
      <c r="Q57" s="51">
        <f t="shared" si="13"/>
        <v>0</v>
      </c>
      <c r="R57" s="52">
        <f t="shared" si="14"/>
        <v>0</v>
      </c>
      <c r="S57" s="53">
        <f t="shared" si="15"/>
        <v>0</v>
      </c>
      <c r="T57" s="54">
        <f t="shared" si="16"/>
        <v>0</v>
      </c>
      <c r="U57" s="72">
        <f t="shared" si="17"/>
        <v>0</v>
      </c>
      <c r="V57" s="43">
        <f t="shared" si="18"/>
        <v>0</v>
      </c>
      <c r="W57" s="73">
        <f t="shared" si="19"/>
        <v>0</v>
      </c>
      <c r="X57" s="83"/>
    </row>
    <row r="58" ht="15.75" customHeight="1">
      <c r="A58" s="56">
        <v>52.0</v>
      </c>
      <c r="B58" s="79"/>
      <c r="C58" s="80"/>
      <c r="D58" s="59" t="str">
        <f t="shared" si="63"/>
        <v/>
      </c>
      <c r="E58" s="61"/>
      <c r="F58" s="61"/>
      <c r="G58" s="62" t="str">
        <f t="shared" si="7"/>
        <v/>
      </c>
      <c r="H58" s="61"/>
      <c r="I58" s="63" t="str">
        <f t="shared" si="8"/>
        <v/>
      </c>
      <c r="J58" s="61"/>
      <c r="K58" s="63" t="str">
        <f t="shared" si="9"/>
        <v/>
      </c>
      <c r="L58" s="61"/>
      <c r="M58" s="64" t="str">
        <f t="shared" si="25"/>
        <v/>
      </c>
      <c r="N58" s="65">
        <f t="shared" ref="N58:O58" si="71">Q58+U58</f>
        <v>0</v>
      </c>
      <c r="O58" s="61">
        <f t="shared" si="71"/>
        <v>0</v>
      </c>
      <c r="P58" s="66">
        <f t="shared" si="12"/>
        <v>0</v>
      </c>
      <c r="Q58" s="67">
        <f t="shared" si="13"/>
        <v>0</v>
      </c>
      <c r="R58" s="68">
        <f t="shared" si="14"/>
        <v>0</v>
      </c>
      <c r="S58" s="69">
        <f t="shared" si="15"/>
        <v>0</v>
      </c>
      <c r="T58" s="70">
        <f t="shared" si="16"/>
        <v>0</v>
      </c>
      <c r="U58" s="65">
        <f t="shared" si="17"/>
        <v>0</v>
      </c>
      <c r="V58" s="61">
        <f t="shared" si="18"/>
        <v>0</v>
      </c>
      <c r="W58" s="66">
        <f t="shared" si="19"/>
        <v>0</v>
      </c>
      <c r="X58" s="83"/>
    </row>
    <row r="59" ht="15.75" customHeight="1">
      <c r="A59" s="38">
        <v>53.0</v>
      </c>
      <c r="B59" s="76"/>
      <c r="C59" s="77"/>
      <c r="D59" s="41" t="str">
        <f t="shared" si="63"/>
        <v/>
      </c>
      <c r="E59" s="43"/>
      <c r="F59" s="43"/>
      <c r="G59" s="44" t="str">
        <f t="shared" si="7"/>
        <v/>
      </c>
      <c r="H59" s="43"/>
      <c r="I59" s="71" t="str">
        <f t="shared" si="8"/>
        <v/>
      </c>
      <c r="J59" s="43"/>
      <c r="K59" s="71" t="str">
        <f t="shared" si="9"/>
        <v/>
      </c>
      <c r="L59" s="43"/>
      <c r="M59" s="48" t="str">
        <f t="shared" si="25"/>
        <v/>
      </c>
      <c r="N59" s="72">
        <f t="shared" ref="N59:O59" si="72">Q59+U59</f>
        <v>0</v>
      </c>
      <c r="O59" s="43">
        <f t="shared" si="72"/>
        <v>0</v>
      </c>
      <c r="P59" s="73">
        <f t="shared" si="12"/>
        <v>0</v>
      </c>
      <c r="Q59" s="51">
        <f t="shared" si="13"/>
        <v>0</v>
      </c>
      <c r="R59" s="52">
        <f t="shared" si="14"/>
        <v>0</v>
      </c>
      <c r="S59" s="53">
        <f t="shared" si="15"/>
        <v>0</v>
      </c>
      <c r="T59" s="54">
        <f t="shared" si="16"/>
        <v>0</v>
      </c>
      <c r="U59" s="72">
        <f t="shared" si="17"/>
        <v>0</v>
      </c>
      <c r="V59" s="43">
        <f t="shared" si="18"/>
        <v>0</v>
      </c>
      <c r="W59" s="73">
        <f t="shared" si="19"/>
        <v>0</v>
      </c>
      <c r="X59" s="83"/>
    </row>
    <row r="60" ht="15.75" customHeight="1">
      <c r="A60" s="56">
        <v>54.0</v>
      </c>
      <c r="B60" s="79"/>
      <c r="C60" s="80"/>
      <c r="D60" s="59" t="str">
        <f t="shared" si="63"/>
        <v/>
      </c>
      <c r="E60" s="61"/>
      <c r="F60" s="61"/>
      <c r="G60" s="62" t="str">
        <f t="shared" si="7"/>
        <v/>
      </c>
      <c r="H60" s="61"/>
      <c r="I60" s="63" t="str">
        <f t="shared" si="8"/>
        <v/>
      </c>
      <c r="J60" s="61"/>
      <c r="K60" s="63" t="str">
        <f t="shared" si="9"/>
        <v/>
      </c>
      <c r="L60" s="61"/>
      <c r="M60" s="64" t="str">
        <f t="shared" si="25"/>
        <v/>
      </c>
      <c r="N60" s="65">
        <f t="shared" ref="N60:O60" si="73">Q60+U60</f>
        <v>0</v>
      </c>
      <c r="O60" s="61">
        <f t="shared" si="73"/>
        <v>0</v>
      </c>
      <c r="P60" s="66">
        <f t="shared" si="12"/>
        <v>0</v>
      </c>
      <c r="Q60" s="67">
        <f t="shared" si="13"/>
        <v>0</v>
      </c>
      <c r="R60" s="68">
        <f t="shared" si="14"/>
        <v>0</v>
      </c>
      <c r="S60" s="69">
        <f t="shared" si="15"/>
        <v>0</v>
      </c>
      <c r="T60" s="70">
        <f t="shared" si="16"/>
        <v>0</v>
      </c>
      <c r="U60" s="65">
        <f t="shared" si="17"/>
        <v>0</v>
      </c>
      <c r="V60" s="61">
        <f t="shared" si="18"/>
        <v>0</v>
      </c>
      <c r="W60" s="66">
        <f t="shared" si="19"/>
        <v>0</v>
      </c>
      <c r="X60" s="83"/>
    </row>
    <row r="61" ht="15.75" customHeight="1">
      <c r="A61" s="38">
        <f t="shared" ref="A61:A86" si="75">A60+1</f>
        <v>55</v>
      </c>
      <c r="B61" s="76"/>
      <c r="C61" s="77"/>
      <c r="D61" s="41" t="str">
        <f t="shared" si="63"/>
        <v/>
      </c>
      <c r="E61" s="43"/>
      <c r="F61" s="43"/>
      <c r="G61" s="44" t="str">
        <f t="shared" si="7"/>
        <v/>
      </c>
      <c r="H61" s="43"/>
      <c r="I61" s="71" t="str">
        <f t="shared" si="8"/>
        <v/>
      </c>
      <c r="J61" s="43"/>
      <c r="K61" s="71" t="str">
        <f t="shared" si="9"/>
        <v/>
      </c>
      <c r="L61" s="43"/>
      <c r="M61" s="48" t="str">
        <f t="shared" si="25"/>
        <v/>
      </c>
      <c r="N61" s="72">
        <f t="shared" ref="N61:O61" si="74">Q61+U61</f>
        <v>0</v>
      </c>
      <c r="O61" s="43">
        <f t="shared" si="74"/>
        <v>0</v>
      </c>
      <c r="P61" s="73">
        <f t="shared" si="12"/>
        <v>0</v>
      </c>
      <c r="Q61" s="51">
        <f t="shared" si="13"/>
        <v>0</v>
      </c>
      <c r="R61" s="52">
        <f t="shared" si="14"/>
        <v>0</v>
      </c>
      <c r="S61" s="53">
        <f t="shared" si="15"/>
        <v>0</v>
      </c>
      <c r="T61" s="54">
        <f t="shared" si="16"/>
        <v>0</v>
      </c>
      <c r="U61" s="72">
        <f t="shared" si="17"/>
        <v>0</v>
      </c>
      <c r="V61" s="43">
        <f t="shared" si="18"/>
        <v>0</v>
      </c>
      <c r="W61" s="73">
        <f t="shared" si="19"/>
        <v>0</v>
      </c>
      <c r="X61" s="83"/>
    </row>
    <row r="62" ht="15.75" customHeight="1">
      <c r="A62" s="56">
        <f t="shared" si="75"/>
        <v>56</v>
      </c>
      <c r="B62" s="79"/>
      <c r="C62" s="80"/>
      <c r="D62" s="59" t="str">
        <f t="shared" si="63"/>
        <v/>
      </c>
      <c r="E62" s="61"/>
      <c r="F62" s="61"/>
      <c r="G62" s="62" t="str">
        <f t="shared" si="7"/>
        <v/>
      </c>
      <c r="H62" s="61"/>
      <c r="I62" s="63" t="str">
        <f t="shared" si="8"/>
        <v/>
      </c>
      <c r="J62" s="61"/>
      <c r="K62" s="63" t="str">
        <f t="shared" si="9"/>
        <v/>
      </c>
      <c r="L62" s="61"/>
      <c r="M62" s="64" t="str">
        <f t="shared" si="25"/>
        <v/>
      </c>
      <c r="N62" s="65">
        <f t="shared" ref="N62:O62" si="76">Q62+U62</f>
        <v>0</v>
      </c>
      <c r="O62" s="61">
        <f t="shared" si="76"/>
        <v>0</v>
      </c>
      <c r="P62" s="66">
        <f t="shared" si="12"/>
        <v>0</v>
      </c>
      <c r="Q62" s="67">
        <f t="shared" si="13"/>
        <v>0</v>
      </c>
      <c r="R62" s="68">
        <f t="shared" si="14"/>
        <v>0</v>
      </c>
      <c r="S62" s="69">
        <f t="shared" si="15"/>
        <v>0</v>
      </c>
      <c r="T62" s="70">
        <f t="shared" si="16"/>
        <v>0</v>
      </c>
      <c r="U62" s="65">
        <f t="shared" si="17"/>
        <v>0</v>
      </c>
      <c r="V62" s="61">
        <f t="shared" si="18"/>
        <v>0</v>
      </c>
      <c r="W62" s="66">
        <f t="shared" si="19"/>
        <v>0</v>
      </c>
      <c r="X62" s="83"/>
    </row>
    <row r="63" ht="15.75" customHeight="1">
      <c r="A63" s="38">
        <f t="shared" si="75"/>
        <v>57</v>
      </c>
      <c r="B63" s="76"/>
      <c r="C63" s="77"/>
      <c r="D63" s="41" t="str">
        <f t="shared" si="63"/>
        <v/>
      </c>
      <c r="E63" s="43"/>
      <c r="F63" s="43"/>
      <c r="G63" s="44" t="str">
        <f t="shared" si="7"/>
        <v/>
      </c>
      <c r="H63" s="43"/>
      <c r="I63" s="71" t="str">
        <f t="shared" si="8"/>
        <v/>
      </c>
      <c r="J63" s="43"/>
      <c r="K63" s="71" t="str">
        <f t="shared" si="9"/>
        <v/>
      </c>
      <c r="L63" s="43"/>
      <c r="M63" s="48" t="str">
        <f t="shared" si="25"/>
        <v/>
      </c>
      <c r="N63" s="72">
        <f t="shared" ref="N63:O63" si="77">Q63+U63</f>
        <v>0</v>
      </c>
      <c r="O63" s="43">
        <f t="shared" si="77"/>
        <v>0</v>
      </c>
      <c r="P63" s="73">
        <f t="shared" si="12"/>
        <v>0</v>
      </c>
      <c r="Q63" s="51">
        <f t="shared" si="13"/>
        <v>0</v>
      </c>
      <c r="R63" s="52">
        <f t="shared" si="14"/>
        <v>0</v>
      </c>
      <c r="S63" s="53">
        <f t="shared" si="15"/>
        <v>0</v>
      </c>
      <c r="T63" s="54">
        <f t="shared" si="16"/>
        <v>0</v>
      </c>
      <c r="U63" s="72">
        <f t="shared" si="17"/>
        <v>0</v>
      </c>
      <c r="V63" s="43">
        <f t="shared" si="18"/>
        <v>0</v>
      </c>
      <c r="W63" s="73">
        <f t="shared" si="19"/>
        <v>0</v>
      </c>
      <c r="X63" s="83"/>
    </row>
    <row r="64" ht="15.75" customHeight="1">
      <c r="A64" s="56">
        <f t="shared" si="75"/>
        <v>58</v>
      </c>
      <c r="B64" s="79"/>
      <c r="C64" s="80"/>
      <c r="D64" s="59" t="s">
        <v>54</v>
      </c>
      <c r="E64" s="61"/>
      <c r="F64" s="61"/>
      <c r="G64" s="62" t="str">
        <f t="shared" si="7"/>
        <v/>
      </c>
      <c r="H64" s="61"/>
      <c r="I64" s="63" t="str">
        <f t="shared" si="8"/>
        <v/>
      </c>
      <c r="J64" s="61"/>
      <c r="K64" s="63" t="str">
        <f t="shared" si="9"/>
        <v/>
      </c>
      <c r="L64" s="61"/>
      <c r="M64" s="64" t="str">
        <f t="shared" si="25"/>
        <v/>
      </c>
      <c r="N64" s="65">
        <f t="shared" ref="N64:O64" si="78">Q64+U64</f>
        <v>0</v>
      </c>
      <c r="O64" s="61">
        <f t="shared" si="78"/>
        <v>0</v>
      </c>
      <c r="P64" s="66">
        <f t="shared" si="12"/>
        <v>0</v>
      </c>
      <c r="Q64" s="67">
        <f t="shared" si="13"/>
        <v>0</v>
      </c>
      <c r="R64" s="68">
        <f t="shared" si="14"/>
        <v>0</v>
      </c>
      <c r="S64" s="69">
        <f t="shared" si="15"/>
        <v>0</v>
      </c>
      <c r="T64" s="70">
        <f t="shared" si="16"/>
        <v>0</v>
      </c>
      <c r="U64" s="65">
        <f t="shared" si="17"/>
        <v>0</v>
      </c>
      <c r="V64" s="61">
        <f t="shared" si="18"/>
        <v>0</v>
      </c>
      <c r="W64" s="66">
        <f t="shared" si="19"/>
        <v>0</v>
      </c>
      <c r="X64" s="83"/>
    </row>
    <row r="65" ht="15.75" customHeight="1">
      <c r="A65" s="38">
        <f t="shared" si="75"/>
        <v>59</v>
      </c>
      <c r="B65" s="76"/>
      <c r="C65" s="77"/>
      <c r="D65" s="41" t="str">
        <f t="shared" ref="D65:D86" si="80">C65</f>
        <v/>
      </c>
      <c r="E65" s="43"/>
      <c r="F65" s="43"/>
      <c r="G65" s="44" t="str">
        <f t="shared" si="7"/>
        <v/>
      </c>
      <c r="H65" s="43"/>
      <c r="I65" s="71" t="str">
        <f t="shared" si="8"/>
        <v/>
      </c>
      <c r="J65" s="43"/>
      <c r="K65" s="71" t="str">
        <f t="shared" si="9"/>
        <v/>
      </c>
      <c r="L65" s="43"/>
      <c r="M65" s="48" t="str">
        <f t="shared" si="25"/>
        <v/>
      </c>
      <c r="N65" s="72">
        <f t="shared" ref="N65:O65" si="79">Q65+U65</f>
        <v>0</v>
      </c>
      <c r="O65" s="43">
        <f t="shared" si="79"/>
        <v>0</v>
      </c>
      <c r="P65" s="73">
        <f t="shared" si="12"/>
        <v>0</v>
      </c>
      <c r="Q65" s="51">
        <f t="shared" si="13"/>
        <v>0</v>
      </c>
      <c r="R65" s="52">
        <f t="shared" si="14"/>
        <v>0</v>
      </c>
      <c r="S65" s="53">
        <f t="shared" si="15"/>
        <v>0</v>
      </c>
      <c r="T65" s="54">
        <f t="shared" si="16"/>
        <v>0</v>
      </c>
      <c r="U65" s="72">
        <f t="shared" si="17"/>
        <v>0</v>
      </c>
      <c r="V65" s="43">
        <f t="shared" si="18"/>
        <v>0</v>
      </c>
      <c r="W65" s="73">
        <f t="shared" si="19"/>
        <v>0</v>
      </c>
      <c r="X65" s="83"/>
    </row>
    <row r="66" ht="15.75" customHeight="1">
      <c r="A66" s="56">
        <f t="shared" si="75"/>
        <v>60</v>
      </c>
      <c r="B66" s="79"/>
      <c r="C66" s="80"/>
      <c r="D66" s="59" t="str">
        <f t="shared" si="80"/>
        <v/>
      </c>
      <c r="E66" s="61"/>
      <c r="F66" s="61"/>
      <c r="G66" s="62" t="str">
        <f t="shared" si="7"/>
        <v/>
      </c>
      <c r="H66" s="61"/>
      <c r="I66" s="63" t="str">
        <f t="shared" si="8"/>
        <v/>
      </c>
      <c r="J66" s="61"/>
      <c r="K66" s="63" t="str">
        <f t="shared" si="9"/>
        <v/>
      </c>
      <c r="L66" s="61"/>
      <c r="M66" s="64" t="str">
        <f t="shared" si="25"/>
        <v/>
      </c>
      <c r="N66" s="65">
        <f t="shared" ref="N66:O66" si="81">Q66+U66</f>
        <v>0</v>
      </c>
      <c r="O66" s="61">
        <f t="shared" si="81"/>
        <v>0</v>
      </c>
      <c r="P66" s="66">
        <f t="shared" si="12"/>
        <v>0</v>
      </c>
      <c r="Q66" s="67">
        <f t="shared" si="13"/>
        <v>0</v>
      </c>
      <c r="R66" s="68">
        <f t="shared" si="14"/>
        <v>0</v>
      </c>
      <c r="S66" s="69">
        <f t="shared" si="15"/>
        <v>0</v>
      </c>
      <c r="T66" s="70">
        <f t="shared" si="16"/>
        <v>0</v>
      </c>
      <c r="U66" s="65">
        <f t="shared" si="17"/>
        <v>0</v>
      </c>
      <c r="V66" s="61">
        <f t="shared" si="18"/>
        <v>0</v>
      </c>
      <c r="W66" s="66">
        <f t="shared" si="19"/>
        <v>0</v>
      </c>
      <c r="X66" s="83"/>
    </row>
    <row r="67" ht="15.75" customHeight="1">
      <c r="A67" s="38">
        <f t="shared" si="75"/>
        <v>61</v>
      </c>
      <c r="B67" s="76"/>
      <c r="C67" s="77"/>
      <c r="D67" s="41" t="str">
        <f t="shared" si="80"/>
        <v/>
      </c>
      <c r="E67" s="43"/>
      <c r="F67" s="43"/>
      <c r="G67" s="44" t="str">
        <f t="shared" si="7"/>
        <v/>
      </c>
      <c r="H67" s="43"/>
      <c r="I67" s="71" t="str">
        <f t="shared" si="8"/>
        <v/>
      </c>
      <c r="J67" s="43"/>
      <c r="K67" s="71" t="str">
        <f t="shared" si="9"/>
        <v/>
      </c>
      <c r="L67" s="43"/>
      <c r="M67" s="48" t="str">
        <f t="shared" si="25"/>
        <v/>
      </c>
      <c r="N67" s="72">
        <f t="shared" ref="N67:O67" si="82">Q67+U67</f>
        <v>0</v>
      </c>
      <c r="O67" s="43">
        <f t="shared" si="82"/>
        <v>0</v>
      </c>
      <c r="P67" s="73">
        <f t="shared" si="12"/>
        <v>0</v>
      </c>
      <c r="Q67" s="51">
        <f t="shared" si="13"/>
        <v>0</v>
      </c>
      <c r="R67" s="52">
        <f t="shared" si="14"/>
        <v>0</v>
      </c>
      <c r="S67" s="53">
        <f t="shared" si="15"/>
        <v>0</v>
      </c>
      <c r="T67" s="54">
        <f t="shared" si="16"/>
        <v>0</v>
      </c>
      <c r="U67" s="72">
        <f t="shared" si="17"/>
        <v>0</v>
      </c>
      <c r="V67" s="43">
        <f t="shared" si="18"/>
        <v>0</v>
      </c>
      <c r="W67" s="73">
        <f t="shared" si="19"/>
        <v>0</v>
      </c>
      <c r="X67" s="83"/>
    </row>
    <row r="68" ht="15.75" customHeight="1">
      <c r="A68" s="56">
        <f t="shared" si="75"/>
        <v>62</v>
      </c>
      <c r="B68" s="79"/>
      <c r="C68" s="80"/>
      <c r="D68" s="59" t="str">
        <f t="shared" si="80"/>
        <v/>
      </c>
      <c r="E68" s="61"/>
      <c r="F68" s="61"/>
      <c r="G68" s="62" t="str">
        <f t="shared" si="7"/>
        <v/>
      </c>
      <c r="H68" s="61"/>
      <c r="I68" s="63" t="str">
        <f t="shared" si="8"/>
        <v/>
      </c>
      <c r="J68" s="61"/>
      <c r="K68" s="63" t="str">
        <f t="shared" si="9"/>
        <v/>
      </c>
      <c r="L68" s="61"/>
      <c r="M68" s="64" t="str">
        <f t="shared" si="25"/>
        <v/>
      </c>
      <c r="N68" s="65">
        <f t="shared" ref="N68:O68" si="83">Q68+U68</f>
        <v>0</v>
      </c>
      <c r="O68" s="61">
        <f t="shared" si="83"/>
        <v>0</v>
      </c>
      <c r="P68" s="66">
        <f t="shared" si="12"/>
        <v>0</v>
      </c>
      <c r="Q68" s="67">
        <f t="shared" si="13"/>
        <v>0</v>
      </c>
      <c r="R68" s="68">
        <f t="shared" si="14"/>
        <v>0</v>
      </c>
      <c r="S68" s="69">
        <f t="shared" si="15"/>
        <v>0</v>
      </c>
      <c r="T68" s="70">
        <f t="shared" si="16"/>
        <v>0</v>
      </c>
      <c r="U68" s="65">
        <f t="shared" si="17"/>
        <v>0</v>
      </c>
      <c r="V68" s="61">
        <f t="shared" si="18"/>
        <v>0</v>
      </c>
      <c r="W68" s="66">
        <f t="shared" si="19"/>
        <v>0</v>
      </c>
      <c r="X68" s="83"/>
    </row>
    <row r="69" ht="15.75" customHeight="1">
      <c r="A69" s="38">
        <f t="shared" si="75"/>
        <v>63</v>
      </c>
      <c r="B69" s="76"/>
      <c r="C69" s="77"/>
      <c r="D69" s="41" t="str">
        <f t="shared" si="80"/>
        <v/>
      </c>
      <c r="E69" s="43"/>
      <c r="F69" s="43"/>
      <c r="G69" s="44" t="str">
        <f t="shared" si="7"/>
        <v/>
      </c>
      <c r="H69" s="43"/>
      <c r="I69" s="71" t="str">
        <f t="shared" si="8"/>
        <v/>
      </c>
      <c r="J69" s="43"/>
      <c r="K69" s="71" t="str">
        <f t="shared" si="9"/>
        <v/>
      </c>
      <c r="L69" s="43"/>
      <c r="M69" s="48" t="str">
        <f t="shared" si="25"/>
        <v/>
      </c>
      <c r="N69" s="72">
        <f t="shared" ref="N69:O69" si="84">Q69+U69</f>
        <v>0</v>
      </c>
      <c r="O69" s="43">
        <f t="shared" si="84"/>
        <v>0</v>
      </c>
      <c r="P69" s="73">
        <f t="shared" si="12"/>
        <v>0</v>
      </c>
      <c r="Q69" s="51">
        <f t="shared" si="13"/>
        <v>0</v>
      </c>
      <c r="R69" s="52">
        <f t="shared" si="14"/>
        <v>0</v>
      </c>
      <c r="S69" s="53">
        <f t="shared" si="15"/>
        <v>0</v>
      </c>
      <c r="T69" s="54">
        <f t="shared" si="16"/>
        <v>0</v>
      </c>
      <c r="U69" s="72">
        <f t="shared" si="17"/>
        <v>0</v>
      </c>
      <c r="V69" s="43">
        <f t="shared" si="18"/>
        <v>0</v>
      </c>
      <c r="W69" s="73">
        <f t="shared" si="19"/>
        <v>0</v>
      </c>
      <c r="X69" s="83"/>
    </row>
    <row r="70" ht="15.75" customHeight="1">
      <c r="A70" s="56">
        <f t="shared" si="75"/>
        <v>64</v>
      </c>
      <c r="B70" s="79"/>
      <c r="C70" s="80"/>
      <c r="D70" s="59" t="str">
        <f t="shared" si="80"/>
        <v/>
      </c>
      <c r="E70" s="61"/>
      <c r="F70" s="61"/>
      <c r="G70" s="62" t="str">
        <f t="shared" si="7"/>
        <v/>
      </c>
      <c r="H70" s="61"/>
      <c r="I70" s="63" t="str">
        <f t="shared" si="8"/>
        <v/>
      </c>
      <c r="J70" s="61"/>
      <c r="K70" s="63" t="str">
        <f t="shared" si="9"/>
        <v/>
      </c>
      <c r="L70" s="61"/>
      <c r="M70" s="64" t="str">
        <f t="shared" si="25"/>
        <v/>
      </c>
      <c r="N70" s="65">
        <f t="shared" ref="N70:O70" si="85">Q70+U70</f>
        <v>0</v>
      </c>
      <c r="O70" s="61">
        <f t="shared" si="85"/>
        <v>0</v>
      </c>
      <c r="P70" s="66">
        <f t="shared" si="12"/>
        <v>0</v>
      </c>
      <c r="Q70" s="67">
        <f t="shared" si="13"/>
        <v>0</v>
      </c>
      <c r="R70" s="68">
        <f t="shared" si="14"/>
        <v>0</v>
      </c>
      <c r="S70" s="69">
        <f t="shared" si="15"/>
        <v>0</v>
      </c>
      <c r="T70" s="70">
        <f t="shared" si="16"/>
        <v>0</v>
      </c>
      <c r="U70" s="65">
        <f t="shared" si="17"/>
        <v>0</v>
      </c>
      <c r="V70" s="61">
        <f t="shared" si="18"/>
        <v>0</v>
      </c>
      <c r="W70" s="66">
        <f t="shared" si="19"/>
        <v>0</v>
      </c>
      <c r="X70" s="83"/>
    </row>
    <row r="71" ht="15.75" customHeight="1">
      <c r="A71" s="38">
        <f t="shared" si="75"/>
        <v>65</v>
      </c>
      <c r="B71" s="76"/>
      <c r="C71" s="77"/>
      <c r="D71" s="41" t="str">
        <f t="shared" si="80"/>
        <v/>
      </c>
      <c r="E71" s="43"/>
      <c r="F71" s="43"/>
      <c r="G71" s="44" t="str">
        <f t="shared" si="7"/>
        <v/>
      </c>
      <c r="H71" s="43"/>
      <c r="I71" s="71" t="str">
        <f t="shared" si="8"/>
        <v/>
      </c>
      <c r="J71" s="43"/>
      <c r="K71" s="71" t="str">
        <f t="shared" si="9"/>
        <v/>
      </c>
      <c r="L71" s="43"/>
      <c r="M71" s="48" t="str">
        <f t="shared" si="25"/>
        <v/>
      </c>
      <c r="N71" s="72">
        <f t="shared" ref="N71:O71" si="86">Q71+U71</f>
        <v>0</v>
      </c>
      <c r="O71" s="43">
        <f t="shared" si="86"/>
        <v>0</v>
      </c>
      <c r="P71" s="73">
        <f t="shared" si="12"/>
        <v>0</v>
      </c>
      <c r="Q71" s="51">
        <f t="shared" si="13"/>
        <v>0</v>
      </c>
      <c r="R71" s="52">
        <f t="shared" si="14"/>
        <v>0</v>
      </c>
      <c r="S71" s="53">
        <f t="shared" si="15"/>
        <v>0</v>
      </c>
      <c r="T71" s="54">
        <f t="shared" si="16"/>
        <v>0</v>
      </c>
      <c r="U71" s="72">
        <f t="shared" si="17"/>
        <v>0</v>
      </c>
      <c r="V71" s="43">
        <f t="shared" si="18"/>
        <v>0</v>
      </c>
      <c r="W71" s="73">
        <f t="shared" si="19"/>
        <v>0</v>
      </c>
      <c r="X71" s="83"/>
    </row>
    <row r="72" ht="15.75" customHeight="1">
      <c r="A72" s="56">
        <f t="shared" si="75"/>
        <v>66</v>
      </c>
      <c r="B72" s="79"/>
      <c r="C72" s="80"/>
      <c r="D72" s="59" t="str">
        <f t="shared" si="80"/>
        <v/>
      </c>
      <c r="E72" s="61"/>
      <c r="F72" s="61"/>
      <c r="G72" s="62" t="str">
        <f t="shared" si="7"/>
        <v/>
      </c>
      <c r="H72" s="61"/>
      <c r="I72" s="63" t="str">
        <f t="shared" si="8"/>
        <v/>
      </c>
      <c r="J72" s="61"/>
      <c r="K72" s="63" t="str">
        <f t="shared" si="9"/>
        <v/>
      </c>
      <c r="L72" s="61"/>
      <c r="M72" s="64" t="str">
        <f t="shared" si="25"/>
        <v/>
      </c>
      <c r="N72" s="65">
        <f t="shared" ref="N72:O72" si="87">Q72+U72</f>
        <v>0</v>
      </c>
      <c r="O72" s="61">
        <f t="shared" si="87"/>
        <v>0</v>
      </c>
      <c r="P72" s="66">
        <f t="shared" si="12"/>
        <v>0</v>
      </c>
      <c r="Q72" s="67">
        <f t="shared" si="13"/>
        <v>0</v>
      </c>
      <c r="R72" s="68">
        <f t="shared" si="14"/>
        <v>0</v>
      </c>
      <c r="S72" s="69">
        <f t="shared" si="15"/>
        <v>0</v>
      </c>
      <c r="T72" s="70">
        <f t="shared" si="16"/>
        <v>0</v>
      </c>
      <c r="U72" s="65">
        <f t="shared" si="17"/>
        <v>0</v>
      </c>
      <c r="V72" s="61">
        <f t="shared" si="18"/>
        <v>0</v>
      </c>
      <c r="W72" s="66">
        <f t="shared" si="19"/>
        <v>0</v>
      </c>
      <c r="X72" s="83"/>
    </row>
    <row r="73" ht="15.75" customHeight="1">
      <c r="A73" s="38">
        <f t="shared" si="75"/>
        <v>67</v>
      </c>
      <c r="B73" s="76"/>
      <c r="C73" s="77"/>
      <c r="D73" s="41" t="str">
        <f t="shared" si="80"/>
        <v/>
      </c>
      <c r="E73" s="43"/>
      <c r="F73" s="43"/>
      <c r="G73" s="44" t="str">
        <f t="shared" si="7"/>
        <v/>
      </c>
      <c r="H73" s="43"/>
      <c r="I73" s="71" t="str">
        <f t="shared" si="8"/>
        <v/>
      </c>
      <c r="J73" s="43"/>
      <c r="K73" s="71" t="str">
        <f t="shared" si="9"/>
        <v/>
      </c>
      <c r="L73" s="43"/>
      <c r="M73" s="48" t="str">
        <f t="shared" si="25"/>
        <v/>
      </c>
      <c r="N73" s="72">
        <f t="shared" ref="N73:O73" si="88">Q73+U73</f>
        <v>0</v>
      </c>
      <c r="O73" s="43">
        <f t="shared" si="88"/>
        <v>0</v>
      </c>
      <c r="P73" s="73">
        <f t="shared" si="12"/>
        <v>0</v>
      </c>
      <c r="Q73" s="51">
        <f t="shared" si="13"/>
        <v>0</v>
      </c>
      <c r="R73" s="52">
        <f t="shared" si="14"/>
        <v>0</v>
      </c>
      <c r="S73" s="53">
        <f t="shared" si="15"/>
        <v>0</v>
      </c>
      <c r="T73" s="54">
        <f t="shared" si="16"/>
        <v>0</v>
      </c>
      <c r="U73" s="72">
        <f t="shared" si="17"/>
        <v>0</v>
      </c>
      <c r="V73" s="43">
        <f t="shared" si="18"/>
        <v>0</v>
      </c>
      <c r="W73" s="73">
        <f t="shared" si="19"/>
        <v>0</v>
      </c>
      <c r="X73" s="83"/>
    </row>
    <row r="74" ht="15.75" customHeight="1">
      <c r="A74" s="56">
        <f t="shared" si="75"/>
        <v>68</v>
      </c>
      <c r="B74" s="79"/>
      <c r="C74" s="80"/>
      <c r="D74" s="59" t="str">
        <f t="shared" si="80"/>
        <v/>
      </c>
      <c r="E74" s="61"/>
      <c r="F74" s="61"/>
      <c r="G74" s="62" t="str">
        <f t="shared" si="7"/>
        <v/>
      </c>
      <c r="H74" s="61"/>
      <c r="I74" s="63" t="str">
        <f t="shared" si="8"/>
        <v/>
      </c>
      <c r="J74" s="61"/>
      <c r="K74" s="63" t="str">
        <f t="shared" si="9"/>
        <v/>
      </c>
      <c r="L74" s="61"/>
      <c r="M74" s="64" t="str">
        <f t="shared" si="25"/>
        <v/>
      </c>
      <c r="N74" s="65">
        <f t="shared" ref="N74:O74" si="89">Q74+U74</f>
        <v>0</v>
      </c>
      <c r="O74" s="61">
        <f t="shared" si="89"/>
        <v>0</v>
      </c>
      <c r="P74" s="66">
        <f t="shared" si="12"/>
        <v>0</v>
      </c>
      <c r="Q74" s="67">
        <f t="shared" si="13"/>
        <v>0</v>
      </c>
      <c r="R74" s="68">
        <f t="shared" si="14"/>
        <v>0</v>
      </c>
      <c r="S74" s="69">
        <f t="shared" si="15"/>
        <v>0</v>
      </c>
      <c r="T74" s="70">
        <f t="shared" si="16"/>
        <v>0</v>
      </c>
      <c r="U74" s="65">
        <f t="shared" si="17"/>
        <v>0</v>
      </c>
      <c r="V74" s="61">
        <f t="shared" si="18"/>
        <v>0</v>
      </c>
      <c r="W74" s="66">
        <f t="shared" si="19"/>
        <v>0</v>
      </c>
      <c r="X74" s="83"/>
    </row>
    <row r="75" ht="15.75" customHeight="1">
      <c r="A75" s="38">
        <f t="shared" si="75"/>
        <v>69</v>
      </c>
      <c r="B75" s="76"/>
      <c r="C75" s="77"/>
      <c r="D75" s="41" t="str">
        <f t="shared" si="80"/>
        <v/>
      </c>
      <c r="E75" s="43"/>
      <c r="F75" s="43"/>
      <c r="G75" s="44" t="str">
        <f t="shared" si="7"/>
        <v/>
      </c>
      <c r="H75" s="43"/>
      <c r="I75" s="71" t="str">
        <f t="shared" si="8"/>
        <v/>
      </c>
      <c r="J75" s="43"/>
      <c r="K75" s="71" t="str">
        <f t="shared" si="9"/>
        <v/>
      </c>
      <c r="L75" s="43"/>
      <c r="M75" s="48" t="str">
        <f t="shared" si="25"/>
        <v/>
      </c>
      <c r="N75" s="72">
        <f t="shared" ref="N75:O75" si="90">Q75+U75</f>
        <v>0</v>
      </c>
      <c r="O75" s="43">
        <f t="shared" si="90"/>
        <v>0</v>
      </c>
      <c r="P75" s="73">
        <f t="shared" si="12"/>
        <v>0</v>
      </c>
      <c r="Q75" s="51">
        <f t="shared" si="13"/>
        <v>0</v>
      </c>
      <c r="R75" s="52">
        <f t="shared" si="14"/>
        <v>0</v>
      </c>
      <c r="S75" s="53">
        <f t="shared" si="15"/>
        <v>0</v>
      </c>
      <c r="T75" s="54">
        <f t="shared" si="16"/>
        <v>0</v>
      </c>
      <c r="U75" s="72">
        <f t="shared" si="17"/>
        <v>0</v>
      </c>
      <c r="V75" s="43">
        <f t="shared" si="18"/>
        <v>0</v>
      </c>
      <c r="W75" s="73">
        <f t="shared" si="19"/>
        <v>0</v>
      </c>
      <c r="X75" s="83"/>
    </row>
    <row r="76" ht="15.75" customHeight="1">
      <c r="A76" s="56">
        <f t="shared" si="75"/>
        <v>70</v>
      </c>
      <c r="B76" s="79"/>
      <c r="C76" s="80"/>
      <c r="D76" s="59" t="str">
        <f t="shared" si="80"/>
        <v/>
      </c>
      <c r="E76" s="61"/>
      <c r="F76" s="61"/>
      <c r="G76" s="62" t="str">
        <f t="shared" si="7"/>
        <v/>
      </c>
      <c r="H76" s="61"/>
      <c r="I76" s="63" t="str">
        <f t="shared" si="8"/>
        <v/>
      </c>
      <c r="J76" s="61"/>
      <c r="K76" s="63" t="str">
        <f t="shared" si="9"/>
        <v/>
      </c>
      <c r="L76" s="61"/>
      <c r="M76" s="64" t="str">
        <f t="shared" si="25"/>
        <v/>
      </c>
      <c r="N76" s="65">
        <f t="shared" ref="N76:O76" si="91">Q76+U76</f>
        <v>0</v>
      </c>
      <c r="O76" s="61">
        <f t="shared" si="91"/>
        <v>0</v>
      </c>
      <c r="P76" s="66">
        <f t="shared" si="12"/>
        <v>0</v>
      </c>
      <c r="Q76" s="67">
        <f t="shared" si="13"/>
        <v>0</v>
      </c>
      <c r="R76" s="68">
        <f t="shared" si="14"/>
        <v>0</v>
      </c>
      <c r="S76" s="69">
        <f t="shared" si="15"/>
        <v>0</v>
      </c>
      <c r="T76" s="70">
        <f t="shared" si="16"/>
        <v>0</v>
      </c>
      <c r="U76" s="65">
        <f t="shared" si="17"/>
        <v>0</v>
      </c>
      <c r="V76" s="61">
        <f t="shared" si="18"/>
        <v>0</v>
      </c>
      <c r="W76" s="66">
        <f t="shared" si="19"/>
        <v>0</v>
      </c>
      <c r="X76" s="83"/>
    </row>
    <row r="77" ht="15.75" customHeight="1">
      <c r="A77" s="38">
        <f t="shared" si="75"/>
        <v>71</v>
      </c>
      <c r="B77" s="76"/>
      <c r="C77" s="77"/>
      <c r="D77" s="41" t="str">
        <f t="shared" si="80"/>
        <v/>
      </c>
      <c r="E77" s="43"/>
      <c r="F77" s="43"/>
      <c r="G77" s="44" t="str">
        <f t="shared" si="7"/>
        <v/>
      </c>
      <c r="H77" s="43"/>
      <c r="I77" s="71" t="str">
        <f t="shared" si="8"/>
        <v/>
      </c>
      <c r="J77" s="43"/>
      <c r="K77" s="71" t="str">
        <f t="shared" si="9"/>
        <v/>
      </c>
      <c r="L77" s="43"/>
      <c r="M77" s="48" t="str">
        <f t="shared" si="25"/>
        <v/>
      </c>
      <c r="N77" s="72">
        <f t="shared" ref="N77:O77" si="92">Q77+U77</f>
        <v>0</v>
      </c>
      <c r="O77" s="43">
        <f t="shared" si="92"/>
        <v>0</v>
      </c>
      <c r="P77" s="73">
        <f t="shared" si="12"/>
        <v>0</v>
      </c>
      <c r="Q77" s="51">
        <f t="shared" si="13"/>
        <v>0</v>
      </c>
      <c r="R77" s="52">
        <f t="shared" si="14"/>
        <v>0</v>
      </c>
      <c r="S77" s="53">
        <f t="shared" si="15"/>
        <v>0</v>
      </c>
      <c r="T77" s="54">
        <f t="shared" si="16"/>
        <v>0</v>
      </c>
      <c r="U77" s="72">
        <f t="shared" si="17"/>
        <v>0</v>
      </c>
      <c r="V77" s="43">
        <f t="shared" si="18"/>
        <v>0</v>
      </c>
      <c r="W77" s="73">
        <f t="shared" si="19"/>
        <v>0</v>
      </c>
      <c r="X77" s="83"/>
    </row>
    <row r="78" ht="15.75" customHeight="1">
      <c r="A78" s="56">
        <f t="shared" si="75"/>
        <v>72</v>
      </c>
      <c r="B78" s="79"/>
      <c r="C78" s="80"/>
      <c r="D78" s="59" t="str">
        <f t="shared" si="80"/>
        <v/>
      </c>
      <c r="E78" s="61"/>
      <c r="F78" s="61"/>
      <c r="G78" s="62" t="str">
        <f t="shared" si="7"/>
        <v/>
      </c>
      <c r="H78" s="61"/>
      <c r="I78" s="63" t="str">
        <f t="shared" si="8"/>
        <v/>
      </c>
      <c r="J78" s="61"/>
      <c r="K78" s="63" t="str">
        <f t="shared" si="9"/>
        <v/>
      </c>
      <c r="L78" s="61"/>
      <c r="M78" s="64" t="str">
        <f t="shared" si="25"/>
        <v/>
      </c>
      <c r="N78" s="65">
        <f t="shared" ref="N78:O78" si="93">Q78+U78</f>
        <v>0</v>
      </c>
      <c r="O78" s="61">
        <f t="shared" si="93"/>
        <v>0</v>
      </c>
      <c r="P78" s="66">
        <f t="shared" si="12"/>
        <v>0</v>
      </c>
      <c r="Q78" s="67">
        <f t="shared" si="13"/>
        <v>0</v>
      </c>
      <c r="R78" s="68">
        <f t="shared" si="14"/>
        <v>0</v>
      </c>
      <c r="S78" s="69">
        <f t="shared" si="15"/>
        <v>0</v>
      </c>
      <c r="T78" s="70">
        <f t="shared" si="16"/>
        <v>0</v>
      </c>
      <c r="U78" s="65">
        <f t="shared" si="17"/>
        <v>0</v>
      </c>
      <c r="V78" s="61">
        <f t="shared" si="18"/>
        <v>0</v>
      </c>
      <c r="W78" s="66">
        <f t="shared" si="19"/>
        <v>0</v>
      </c>
      <c r="X78" s="83"/>
    </row>
    <row r="79" ht="15.75" customHeight="1">
      <c r="A79" s="38">
        <f t="shared" si="75"/>
        <v>73</v>
      </c>
      <c r="B79" s="76"/>
      <c r="C79" s="77"/>
      <c r="D79" s="41" t="str">
        <f t="shared" si="80"/>
        <v/>
      </c>
      <c r="E79" s="43"/>
      <c r="F79" s="43"/>
      <c r="G79" s="44" t="str">
        <f t="shared" si="7"/>
        <v/>
      </c>
      <c r="H79" s="43"/>
      <c r="I79" s="71" t="str">
        <f t="shared" si="8"/>
        <v/>
      </c>
      <c r="J79" s="43"/>
      <c r="K79" s="71" t="str">
        <f t="shared" si="9"/>
        <v/>
      </c>
      <c r="L79" s="43"/>
      <c r="M79" s="48" t="str">
        <f t="shared" si="25"/>
        <v/>
      </c>
      <c r="N79" s="72">
        <f t="shared" ref="N79:O79" si="94">Q79+U79</f>
        <v>0</v>
      </c>
      <c r="O79" s="43">
        <f t="shared" si="94"/>
        <v>0</v>
      </c>
      <c r="P79" s="73">
        <f t="shared" si="12"/>
        <v>0</v>
      </c>
      <c r="Q79" s="51">
        <f t="shared" si="13"/>
        <v>0</v>
      </c>
      <c r="R79" s="52">
        <f t="shared" si="14"/>
        <v>0</v>
      </c>
      <c r="S79" s="53">
        <f t="shared" si="15"/>
        <v>0</v>
      </c>
      <c r="T79" s="54">
        <f t="shared" si="16"/>
        <v>0</v>
      </c>
      <c r="U79" s="72">
        <f t="shared" si="17"/>
        <v>0</v>
      </c>
      <c r="V79" s="43">
        <f t="shared" si="18"/>
        <v>0</v>
      </c>
      <c r="W79" s="73">
        <f t="shared" si="19"/>
        <v>0</v>
      </c>
      <c r="X79" s="83"/>
    </row>
    <row r="80" ht="15.75" customHeight="1">
      <c r="A80" s="56">
        <f t="shared" si="75"/>
        <v>74</v>
      </c>
      <c r="B80" s="79"/>
      <c r="C80" s="80"/>
      <c r="D80" s="59" t="str">
        <f t="shared" si="80"/>
        <v/>
      </c>
      <c r="E80" s="61"/>
      <c r="F80" s="61"/>
      <c r="G80" s="62" t="str">
        <f t="shared" si="7"/>
        <v/>
      </c>
      <c r="H80" s="61"/>
      <c r="I80" s="63" t="str">
        <f t="shared" si="8"/>
        <v/>
      </c>
      <c r="J80" s="61"/>
      <c r="K80" s="63" t="str">
        <f t="shared" si="9"/>
        <v/>
      </c>
      <c r="L80" s="61"/>
      <c r="M80" s="64" t="str">
        <f t="shared" si="25"/>
        <v/>
      </c>
      <c r="N80" s="65">
        <f t="shared" ref="N80:O80" si="95">Q80+U80</f>
        <v>0</v>
      </c>
      <c r="O80" s="61">
        <f t="shared" si="95"/>
        <v>0</v>
      </c>
      <c r="P80" s="66">
        <f t="shared" si="12"/>
        <v>0</v>
      </c>
      <c r="Q80" s="67">
        <f t="shared" si="13"/>
        <v>0</v>
      </c>
      <c r="R80" s="68">
        <f t="shared" si="14"/>
        <v>0</v>
      </c>
      <c r="S80" s="69">
        <f t="shared" si="15"/>
        <v>0</v>
      </c>
      <c r="T80" s="70">
        <f t="shared" si="16"/>
        <v>0</v>
      </c>
      <c r="U80" s="65">
        <f t="shared" si="17"/>
        <v>0</v>
      </c>
      <c r="V80" s="61">
        <f t="shared" si="18"/>
        <v>0</v>
      </c>
      <c r="W80" s="66">
        <f t="shared" si="19"/>
        <v>0</v>
      </c>
      <c r="X80" s="83"/>
    </row>
    <row r="81" ht="15.75" customHeight="1">
      <c r="A81" s="38">
        <f t="shared" si="75"/>
        <v>75</v>
      </c>
      <c r="B81" s="76"/>
      <c r="C81" s="77"/>
      <c r="D81" s="41" t="str">
        <f t="shared" si="80"/>
        <v/>
      </c>
      <c r="E81" s="43"/>
      <c r="F81" s="43"/>
      <c r="G81" s="44" t="str">
        <f t="shared" si="7"/>
        <v/>
      </c>
      <c r="H81" s="43"/>
      <c r="I81" s="71" t="str">
        <f t="shared" si="8"/>
        <v/>
      </c>
      <c r="J81" s="43"/>
      <c r="K81" s="71" t="str">
        <f t="shared" si="9"/>
        <v/>
      </c>
      <c r="L81" s="43"/>
      <c r="M81" s="48" t="str">
        <f t="shared" si="25"/>
        <v/>
      </c>
      <c r="N81" s="72">
        <f t="shared" ref="N81:O81" si="96">Q81+U81</f>
        <v>0</v>
      </c>
      <c r="O81" s="43">
        <f t="shared" si="96"/>
        <v>0</v>
      </c>
      <c r="P81" s="73">
        <f t="shared" si="12"/>
        <v>0</v>
      </c>
      <c r="Q81" s="51">
        <f t="shared" si="13"/>
        <v>0</v>
      </c>
      <c r="R81" s="52">
        <f t="shared" si="14"/>
        <v>0</v>
      </c>
      <c r="S81" s="53">
        <f t="shared" si="15"/>
        <v>0</v>
      </c>
      <c r="T81" s="54">
        <f t="shared" si="16"/>
        <v>0</v>
      </c>
      <c r="U81" s="72">
        <f t="shared" si="17"/>
        <v>0</v>
      </c>
      <c r="V81" s="43">
        <f t="shared" si="18"/>
        <v>0</v>
      </c>
      <c r="W81" s="73">
        <f t="shared" si="19"/>
        <v>0</v>
      </c>
      <c r="X81" s="83"/>
    </row>
    <row r="82" ht="15.75" customHeight="1">
      <c r="A82" s="56">
        <f t="shared" si="75"/>
        <v>76</v>
      </c>
      <c r="B82" s="79"/>
      <c r="C82" s="80"/>
      <c r="D82" s="59" t="str">
        <f t="shared" si="80"/>
        <v/>
      </c>
      <c r="E82" s="61"/>
      <c r="F82" s="61"/>
      <c r="G82" s="62" t="str">
        <f t="shared" si="7"/>
        <v/>
      </c>
      <c r="H82" s="61"/>
      <c r="I82" s="63" t="str">
        <f t="shared" si="8"/>
        <v/>
      </c>
      <c r="J82" s="61"/>
      <c r="K82" s="63" t="str">
        <f t="shared" si="9"/>
        <v/>
      </c>
      <c r="L82" s="61"/>
      <c r="M82" s="64" t="str">
        <f t="shared" si="25"/>
        <v/>
      </c>
      <c r="N82" s="65">
        <f t="shared" ref="N82:O82" si="97">Q82+U82</f>
        <v>0</v>
      </c>
      <c r="O82" s="61">
        <f t="shared" si="97"/>
        <v>0</v>
      </c>
      <c r="P82" s="66">
        <f t="shared" si="12"/>
        <v>0</v>
      </c>
      <c r="Q82" s="67">
        <f t="shared" si="13"/>
        <v>0</v>
      </c>
      <c r="R82" s="68">
        <f t="shared" si="14"/>
        <v>0</v>
      </c>
      <c r="S82" s="69">
        <f t="shared" si="15"/>
        <v>0</v>
      </c>
      <c r="T82" s="70">
        <f t="shared" si="16"/>
        <v>0</v>
      </c>
      <c r="U82" s="65">
        <f t="shared" si="17"/>
        <v>0</v>
      </c>
      <c r="V82" s="61">
        <f t="shared" si="18"/>
        <v>0</v>
      </c>
      <c r="W82" s="66">
        <f t="shared" si="19"/>
        <v>0</v>
      </c>
      <c r="X82" s="83"/>
    </row>
    <row r="83" ht="15.75" customHeight="1">
      <c r="A83" s="38">
        <f t="shared" si="75"/>
        <v>77</v>
      </c>
      <c r="B83" s="76"/>
      <c r="C83" s="77"/>
      <c r="D83" s="41" t="str">
        <f t="shared" si="80"/>
        <v/>
      </c>
      <c r="E83" s="43"/>
      <c r="F83" s="43"/>
      <c r="G83" s="44" t="str">
        <f t="shared" si="7"/>
        <v/>
      </c>
      <c r="H83" s="43"/>
      <c r="I83" s="71" t="str">
        <f t="shared" si="8"/>
        <v/>
      </c>
      <c r="J83" s="43"/>
      <c r="K83" s="71" t="str">
        <f t="shared" si="9"/>
        <v/>
      </c>
      <c r="L83" s="43"/>
      <c r="M83" s="48" t="str">
        <f t="shared" si="25"/>
        <v/>
      </c>
      <c r="N83" s="72">
        <f t="shared" ref="N83:O83" si="98">Q83+U83</f>
        <v>0</v>
      </c>
      <c r="O83" s="43">
        <f t="shared" si="98"/>
        <v>0</v>
      </c>
      <c r="P83" s="73">
        <f t="shared" si="12"/>
        <v>0</v>
      </c>
      <c r="Q83" s="51">
        <f t="shared" si="13"/>
        <v>0</v>
      </c>
      <c r="R83" s="52">
        <f t="shared" si="14"/>
        <v>0</v>
      </c>
      <c r="S83" s="53">
        <f t="shared" si="15"/>
        <v>0</v>
      </c>
      <c r="T83" s="54">
        <f t="shared" si="16"/>
        <v>0</v>
      </c>
      <c r="U83" s="72">
        <f t="shared" si="17"/>
        <v>0</v>
      </c>
      <c r="V83" s="43">
        <f t="shared" si="18"/>
        <v>0</v>
      </c>
      <c r="W83" s="73">
        <f t="shared" si="19"/>
        <v>0</v>
      </c>
      <c r="X83" s="83"/>
    </row>
    <row r="84" ht="15.75" customHeight="1">
      <c r="A84" s="56">
        <f t="shared" si="75"/>
        <v>78</v>
      </c>
      <c r="B84" s="79"/>
      <c r="C84" s="80"/>
      <c r="D84" s="59" t="str">
        <f t="shared" si="80"/>
        <v/>
      </c>
      <c r="E84" s="61"/>
      <c r="F84" s="61"/>
      <c r="G84" s="62" t="str">
        <f t="shared" si="7"/>
        <v/>
      </c>
      <c r="H84" s="61"/>
      <c r="I84" s="63" t="str">
        <f t="shared" si="8"/>
        <v/>
      </c>
      <c r="J84" s="61"/>
      <c r="K84" s="63" t="str">
        <f t="shared" si="9"/>
        <v/>
      </c>
      <c r="L84" s="61"/>
      <c r="M84" s="64" t="str">
        <f t="shared" si="25"/>
        <v/>
      </c>
      <c r="N84" s="65">
        <f t="shared" ref="N84:O84" si="99">Q84+U84</f>
        <v>0</v>
      </c>
      <c r="O84" s="61">
        <f t="shared" si="99"/>
        <v>0</v>
      </c>
      <c r="P84" s="66">
        <f t="shared" si="12"/>
        <v>0</v>
      </c>
      <c r="Q84" s="67">
        <f t="shared" si="13"/>
        <v>0</v>
      </c>
      <c r="R84" s="68">
        <f t="shared" si="14"/>
        <v>0</v>
      </c>
      <c r="S84" s="69">
        <f t="shared" si="15"/>
        <v>0</v>
      </c>
      <c r="T84" s="70">
        <f t="shared" si="16"/>
        <v>0</v>
      </c>
      <c r="U84" s="65">
        <f t="shared" si="17"/>
        <v>0</v>
      </c>
      <c r="V84" s="61">
        <f t="shared" si="18"/>
        <v>0</v>
      </c>
      <c r="W84" s="66">
        <f t="shared" si="19"/>
        <v>0</v>
      </c>
      <c r="X84" s="83"/>
    </row>
    <row r="85" ht="15.75" customHeight="1">
      <c r="A85" s="38">
        <f t="shared" si="75"/>
        <v>79</v>
      </c>
      <c r="B85" s="76"/>
      <c r="C85" s="77"/>
      <c r="D85" s="41" t="str">
        <f t="shared" si="80"/>
        <v/>
      </c>
      <c r="E85" s="43"/>
      <c r="F85" s="43"/>
      <c r="G85" s="44" t="str">
        <f t="shared" si="7"/>
        <v/>
      </c>
      <c r="H85" s="43"/>
      <c r="I85" s="71" t="str">
        <f t="shared" si="8"/>
        <v/>
      </c>
      <c r="J85" s="43"/>
      <c r="K85" s="71" t="str">
        <f t="shared" si="9"/>
        <v/>
      </c>
      <c r="L85" s="43"/>
      <c r="M85" s="48" t="str">
        <f t="shared" si="25"/>
        <v/>
      </c>
      <c r="N85" s="72">
        <f t="shared" ref="N85:O85" si="100">Q85+U85</f>
        <v>0</v>
      </c>
      <c r="O85" s="43">
        <f t="shared" si="100"/>
        <v>0</v>
      </c>
      <c r="P85" s="73">
        <f t="shared" si="12"/>
        <v>0</v>
      </c>
      <c r="Q85" s="51">
        <f t="shared" si="13"/>
        <v>0</v>
      </c>
      <c r="R85" s="52">
        <f t="shared" si="14"/>
        <v>0</v>
      </c>
      <c r="S85" s="53">
        <f t="shared" si="15"/>
        <v>0</v>
      </c>
      <c r="T85" s="54">
        <f t="shared" si="16"/>
        <v>0</v>
      </c>
      <c r="U85" s="72">
        <f t="shared" si="17"/>
        <v>0</v>
      </c>
      <c r="V85" s="43">
        <f t="shared" si="18"/>
        <v>0</v>
      </c>
      <c r="W85" s="73">
        <f t="shared" si="19"/>
        <v>0</v>
      </c>
      <c r="X85" s="83"/>
    </row>
    <row r="86" ht="15.75" customHeight="1">
      <c r="A86" s="56">
        <f t="shared" si="75"/>
        <v>80</v>
      </c>
      <c r="B86" s="84"/>
      <c r="C86" s="85"/>
      <c r="D86" s="86" t="str">
        <f t="shared" si="80"/>
        <v/>
      </c>
      <c r="E86" s="87"/>
      <c r="F86" s="87"/>
      <c r="G86" s="88" t="str">
        <f t="shared" si="7"/>
        <v/>
      </c>
      <c r="H86" s="87"/>
      <c r="I86" s="89" t="str">
        <f t="shared" si="8"/>
        <v/>
      </c>
      <c r="J86" s="87"/>
      <c r="K86" s="89" t="str">
        <f t="shared" si="9"/>
        <v/>
      </c>
      <c r="L86" s="87"/>
      <c r="M86" s="90" t="str">
        <f t="shared" si="25"/>
        <v/>
      </c>
      <c r="N86" s="91">
        <f t="shared" ref="N86:O86" si="101">Q86+U86</f>
        <v>0</v>
      </c>
      <c r="O86" s="87">
        <f t="shared" si="101"/>
        <v>0</v>
      </c>
      <c r="P86" s="92">
        <f t="shared" si="12"/>
        <v>0</v>
      </c>
      <c r="Q86" s="93">
        <f t="shared" si="13"/>
        <v>0</v>
      </c>
      <c r="R86" s="94">
        <f t="shared" si="14"/>
        <v>0</v>
      </c>
      <c r="S86" s="95">
        <f t="shared" si="15"/>
        <v>0</v>
      </c>
      <c r="T86" s="96">
        <f t="shared" si="16"/>
        <v>0</v>
      </c>
      <c r="U86" s="91">
        <f t="shared" si="17"/>
        <v>0</v>
      </c>
      <c r="V86" s="87">
        <f t="shared" si="18"/>
        <v>0</v>
      </c>
      <c r="W86" s="92">
        <f t="shared" si="19"/>
        <v>0</v>
      </c>
      <c r="X86" s="83"/>
    </row>
    <row r="87" ht="15.75" customHeight="1">
      <c r="S87" s="97"/>
      <c r="X87" s="6"/>
    </row>
    <row r="88" ht="15.75" customHeight="1">
      <c r="S88" s="97"/>
      <c r="X88" s="6"/>
    </row>
    <row r="89" ht="15.75" customHeight="1">
      <c r="S89" s="97"/>
      <c r="X89" s="6"/>
    </row>
    <row r="90" ht="15.75" customHeight="1">
      <c r="S90" s="97"/>
      <c r="X90" s="6"/>
    </row>
    <row r="91" ht="15.75" customHeight="1">
      <c r="S91" s="97"/>
      <c r="X91" s="6"/>
    </row>
    <row r="92" ht="15.75" customHeight="1">
      <c r="S92" s="97"/>
      <c r="X92" s="6"/>
    </row>
    <row r="93" ht="15.75" customHeight="1">
      <c r="S93" s="97"/>
      <c r="X93" s="6"/>
    </row>
    <row r="94" ht="15.75" customHeight="1">
      <c r="S94" s="97"/>
      <c r="X94" s="6"/>
    </row>
    <row r="95" ht="15.75" customHeight="1">
      <c r="S95" s="97"/>
      <c r="X95" s="6"/>
    </row>
    <row r="96" ht="15.75" customHeight="1">
      <c r="S96" s="97"/>
      <c r="X96" s="6"/>
    </row>
    <row r="97" ht="15.75" customHeight="1">
      <c r="S97" s="97"/>
      <c r="X97" s="6"/>
    </row>
    <row r="98" ht="15.75" customHeight="1">
      <c r="S98" s="97"/>
      <c r="X98" s="6"/>
    </row>
    <row r="99" ht="15.75" customHeight="1">
      <c r="S99" s="97"/>
      <c r="X99" s="6"/>
    </row>
    <row r="100" ht="15.75" customHeight="1">
      <c r="S100" s="97"/>
      <c r="X100" s="6"/>
    </row>
    <row r="101" ht="15.75" customHeight="1">
      <c r="S101" s="97"/>
      <c r="X101" s="6"/>
    </row>
    <row r="102" ht="15.75" customHeight="1">
      <c r="S102" s="97"/>
      <c r="X102" s="6"/>
    </row>
    <row r="103" ht="15.75" customHeight="1">
      <c r="S103" s="97"/>
      <c r="X103" s="6"/>
    </row>
    <row r="104" ht="15.75" customHeight="1">
      <c r="S104" s="97"/>
      <c r="X104" s="6"/>
    </row>
    <row r="105" ht="15.75" customHeight="1">
      <c r="S105" s="97"/>
      <c r="X105" s="6"/>
    </row>
    <row r="106" ht="15.75" customHeight="1">
      <c r="S106" s="97"/>
      <c r="X106" s="6"/>
    </row>
    <row r="107" ht="15.75" customHeight="1">
      <c r="S107" s="97"/>
      <c r="X107" s="6"/>
    </row>
    <row r="108" ht="15.75" customHeight="1">
      <c r="S108" s="97"/>
      <c r="X108" s="6"/>
    </row>
    <row r="109" ht="15.75" customHeight="1">
      <c r="S109" s="97"/>
      <c r="X109" s="6"/>
    </row>
    <row r="110" ht="15.75" customHeight="1">
      <c r="S110" s="97"/>
      <c r="X110" s="6"/>
    </row>
    <row r="111" ht="15.75" customHeight="1">
      <c r="S111" s="97"/>
      <c r="X111" s="6"/>
    </row>
    <row r="112" ht="15.75" customHeight="1">
      <c r="S112" s="97"/>
      <c r="X112" s="6"/>
    </row>
    <row r="113" ht="15.75" customHeight="1">
      <c r="S113" s="97"/>
      <c r="X113" s="6"/>
    </row>
    <row r="114" ht="15.75" customHeight="1">
      <c r="S114" s="97"/>
      <c r="X114" s="6"/>
    </row>
    <row r="115" ht="15.75" customHeight="1">
      <c r="S115" s="97"/>
      <c r="X115" s="6"/>
    </row>
    <row r="116" ht="15.75" customHeight="1">
      <c r="S116" s="97"/>
      <c r="X116" s="6"/>
    </row>
    <row r="117" ht="15.75" customHeight="1">
      <c r="S117" s="97"/>
      <c r="X117" s="6"/>
    </row>
    <row r="118" ht="15.75" customHeight="1">
      <c r="S118" s="97"/>
      <c r="X118" s="6"/>
    </row>
    <row r="119" ht="15.75" customHeight="1">
      <c r="S119" s="97"/>
      <c r="X119" s="6"/>
    </row>
    <row r="120" ht="15.75" customHeight="1">
      <c r="S120" s="97"/>
      <c r="X120" s="6"/>
    </row>
    <row r="121" ht="15.75" customHeight="1">
      <c r="S121" s="97"/>
      <c r="X121" s="6"/>
    </row>
    <row r="122" ht="15.75" customHeight="1">
      <c r="S122" s="97"/>
      <c r="X122" s="6"/>
    </row>
    <row r="123" ht="15.75" customHeight="1">
      <c r="S123" s="97"/>
      <c r="X123" s="6"/>
    </row>
    <row r="124" ht="15.75" customHeight="1">
      <c r="S124" s="97"/>
      <c r="X124" s="6"/>
    </row>
    <row r="125" ht="15.75" customHeight="1">
      <c r="S125" s="97"/>
      <c r="X125" s="6"/>
    </row>
    <row r="126" ht="15.75" customHeight="1">
      <c r="S126" s="97"/>
      <c r="X126" s="6"/>
    </row>
    <row r="127" ht="15.75" customHeight="1">
      <c r="S127" s="97"/>
      <c r="X127" s="6"/>
    </row>
    <row r="128" ht="15.75" customHeight="1">
      <c r="S128" s="97"/>
      <c r="X128" s="6"/>
    </row>
    <row r="129" ht="15.75" customHeight="1">
      <c r="S129" s="97"/>
      <c r="X129" s="6"/>
    </row>
    <row r="130" ht="15.75" customHeight="1">
      <c r="S130" s="97"/>
      <c r="X130" s="6"/>
    </row>
    <row r="131" ht="15.75" customHeight="1">
      <c r="S131" s="97"/>
      <c r="X131" s="6"/>
    </row>
    <row r="132" ht="15.75" customHeight="1">
      <c r="S132" s="97"/>
      <c r="X132" s="6"/>
    </row>
    <row r="133" ht="15.75" customHeight="1">
      <c r="S133" s="97"/>
      <c r="X133" s="6"/>
    </row>
    <row r="134" ht="15.75" customHeight="1">
      <c r="S134" s="97"/>
      <c r="X134" s="6"/>
    </row>
    <row r="135" ht="15.75" customHeight="1">
      <c r="S135" s="97"/>
      <c r="X135" s="6"/>
    </row>
    <row r="136" ht="15.75" customHeight="1">
      <c r="S136" s="97"/>
      <c r="X136" s="6"/>
    </row>
    <row r="137" ht="15.75" customHeight="1">
      <c r="S137" s="97"/>
      <c r="X137" s="6"/>
    </row>
    <row r="138" ht="15.75" customHeight="1">
      <c r="S138" s="97"/>
      <c r="X138" s="6"/>
    </row>
    <row r="139" ht="15.75" customHeight="1">
      <c r="S139" s="97"/>
      <c r="X139" s="6"/>
    </row>
    <row r="140" ht="15.75" customHeight="1">
      <c r="S140" s="97"/>
      <c r="X140" s="6"/>
    </row>
    <row r="141" ht="15.75" customHeight="1">
      <c r="S141" s="97"/>
      <c r="X141" s="6"/>
    </row>
    <row r="142" ht="15.75" customHeight="1">
      <c r="S142" s="97"/>
      <c r="X142" s="6"/>
    </row>
    <row r="143" ht="15.75" customHeight="1">
      <c r="S143" s="97"/>
      <c r="X143" s="6"/>
    </row>
    <row r="144" ht="15.75" customHeight="1">
      <c r="S144" s="97"/>
      <c r="X144" s="6"/>
    </row>
    <row r="145" ht="15.75" customHeight="1">
      <c r="S145" s="97"/>
      <c r="X145" s="6"/>
    </row>
    <row r="146" ht="15.75" customHeight="1">
      <c r="S146" s="97"/>
      <c r="X146" s="6"/>
    </row>
    <row r="147" ht="15.75" customHeight="1">
      <c r="S147" s="97"/>
      <c r="X147" s="6"/>
    </row>
    <row r="148" ht="15.75" customHeight="1">
      <c r="S148" s="97"/>
      <c r="X148" s="6"/>
    </row>
    <row r="149" ht="15.75" customHeight="1">
      <c r="S149" s="97"/>
      <c r="X149" s="6"/>
    </row>
    <row r="150" ht="15.75" customHeight="1">
      <c r="S150" s="97"/>
      <c r="X150" s="6"/>
    </row>
    <row r="151" ht="15.75" customHeight="1">
      <c r="S151" s="97"/>
      <c r="X151" s="6"/>
    </row>
    <row r="152" ht="15.75" customHeight="1">
      <c r="S152" s="97"/>
      <c r="X152" s="6"/>
    </row>
    <row r="153" ht="15.75" customHeight="1">
      <c r="S153" s="97"/>
      <c r="X153" s="6"/>
    </row>
    <row r="154" ht="15.75" customHeight="1">
      <c r="S154" s="97"/>
      <c r="X154" s="6"/>
    </row>
    <row r="155" ht="15.75" customHeight="1">
      <c r="S155" s="97"/>
      <c r="X155" s="6"/>
    </row>
    <row r="156" ht="15.75" customHeight="1">
      <c r="S156" s="97"/>
      <c r="X156" s="6"/>
    </row>
    <row r="157" ht="15.75" customHeight="1">
      <c r="S157" s="97"/>
      <c r="X157" s="6"/>
    </row>
    <row r="158" ht="15.75" customHeight="1">
      <c r="S158" s="97"/>
      <c r="X158" s="6"/>
    </row>
    <row r="159" ht="15.75" customHeight="1">
      <c r="S159" s="97"/>
      <c r="X159" s="6"/>
    </row>
    <row r="160" ht="15.75" customHeight="1">
      <c r="S160" s="97"/>
      <c r="X160" s="6"/>
    </row>
    <row r="161" ht="15.75" customHeight="1">
      <c r="S161" s="97"/>
      <c r="X161" s="6"/>
    </row>
    <row r="162" ht="15.75" customHeight="1">
      <c r="S162" s="97"/>
      <c r="X162" s="6"/>
    </row>
    <row r="163" ht="15.75" customHeight="1">
      <c r="S163" s="97"/>
      <c r="X163" s="6"/>
    </row>
    <row r="164" ht="15.75" customHeight="1">
      <c r="S164" s="97"/>
      <c r="X164" s="6"/>
    </row>
    <row r="165" ht="15.75" customHeight="1">
      <c r="S165" s="97"/>
      <c r="X165" s="6"/>
    </row>
    <row r="166" ht="15.75" customHeight="1">
      <c r="S166" s="97"/>
      <c r="X166" s="6"/>
    </row>
    <row r="167" ht="15.75" customHeight="1">
      <c r="S167" s="97"/>
      <c r="X167" s="6"/>
    </row>
    <row r="168" ht="15.75" customHeight="1">
      <c r="S168" s="97"/>
      <c r="X168" s="6"/>
    </row>
    <row r="169" ht="15.75" customHeight="1">
      <c r="S169" s="97"/>
      <c r="X169" s="6"/>
    </row>
    <row r="170" ht="15.75" customHeight="1">
      <c r="S170" s="97"/>
      <c r="X170" s="6"/>
    </row>
    <row r="171" ht="15.75" customHeight="1">
      <c r="S171" s="97"/>
      <c r="X171" s="6"/>
    </row>
    <row r="172" ht="15.75" customHeight="1">
      <c r="S172" s="97"/>
      <c r="X172" s="6"/>
    </row>
    <row r="173" ht="15.75" customHeight="1">
      <c r="S173" s="97"/>
      <c r="X173" s="6"/>
    </row>
    <row r="174" ht="15.75" customHeight="1">
      <c r="S174" s="97"/>
      <c r="X174" s="6"/>
    </row>
    <row r="175" ht="15.75" customHeight="1">
      <c r="S175" s="97"/>
      <c r="X175" s="6"/>
    </row>
    <row r="176" ht="15.75" customHeight="1">
      <c r="S176" s="97"/>
      <c r="X176" s="6"/>
    </row>
    <row r="177" ht="15.75" customHeight="1">
      <c r="S177" s="97"/>
      <c r="X177" s="6"/>
    </row>
    <row r="178" ht="15.75" customHeight="1">
      <c r="S178" s="97"/>
      <c r="X178" s="6"/>
    </row>
    <row r="179" ht="15.75" customHeight="1">
      <c r="S179" s="97"/>
      <c r="X179" s="6"/>
    </row>
    <row r="180" ht="15.75" customHeight="1">
      <c r="S180" s="97"/>
      <c r="X180" s="6"/>
    </row>
    <row r="181" ht="15.75" customHeight="1">
      <c r="S181" s="97"/>
      <c r="X181" s="6"/>
    </row>
    <row r="182" ht="15.75" customHeight="1">
      <c r="S182" s="97"/>
      <c r="X182" s="6"/>
    </row>
    <row r="183" ht="15.75" customHeight="1">
      <c r="S183" s="97"/>
      <c r="X183" s="6"/>
    </row>
    <row r="184" ht="15.75" customHeight="1">
      <c r="S184" s="97"/>
      <c r="X184" s="6"/>
    </row>
    <row r="185" ht="15.75" customHeight="1">
      <c r="S185" s="97"/>
      <c r="X185" s="6"/>
    </row>
    <row r="186" ht="15.75" customHeight="1">
      <c r="S186" s="97"/>
      <c r="X186" s="6"/>
    </row>
    <row r="187" ht="15.75" customHeight="1">
      <c r="S187" s="97"/>
      <c r="X187" s="6"/>
    </row>
    <row r="188" ht="15.75" customHeight="1">
      <c r="S188" s="97"/>
      <c r="X188" s="6"/>
    </row>
    <row r="189" ht="15.75" customHeight="1">
      <c r="S189" s="97"/>
      <c r="X189" s="6"/>
    </row>
    <row r="190" ht="15.75" customHeight="1">
      <c r="S190" s="97"/>
      <c r="X190" s="6"/>
    </row>
    <row r="191" ht="15.75" customHeight="1">
      <c r="S191" s="97"/>
      <c r="X191" s="6"/>
    </row>
    <row r="192" ht="15.75" customHeight="1">
      <c r="S192" s="97"/>
      <c r="X192" s="6"/>
    </row>
    <row r="193" ht="15.75" customHeight="1">
      <c r="S193" s="97"/>
      <c r="X193" s="6"/>
    </row>
    <row r="194" ht="15.75" customHeight="1">
      <c r="S194" s="97"/>
      <c r="X194" s="6"/>
    </row>
    <row r="195" ht="15.75" customHeight="1">
      <c r="S195" s="97"/>
      <c r="X195" s="6"/>
    </row>
    <row r="196" ht="15.75" customHeight="1">
      <c r="S196" s="97"/>
      <c r="X196" s="6"/>
    </row>
    <row r="197" ht="15.75" customHeight="1">
      <c r="S197" s="97"/>
      <c r="X197" s="6"/>
    </row>
    <row r="198" ht="15.75" customHeight="1">
      <c r="S198" s="97"/>
      <c r="X198" s="6"/>
    </row>
    <row r="199" ht="15.75" customHeight="1">
      <c r="S199" s="97"/>
      <c r="X199" s="6"/>
    </row>
    <row r="200" ht="15.75" customHeight="1">
      <c r="S200" s="97"/>
      <c r="X200" s="6"/>
    </row>
    <row r="201" ht="15.75" customHeight="1">
      <c r="S201" s="97"/>
      <c r="X201" s="6"/>
    </row>
    <row r="202" ht="15.75" customHeight="1">
      <c r="S202" s="97"/>
      <c r="X202" s="6"/>
    </row>
    <row r="203" ht="15.75" customHeight="1">
      <c r="S203" s="97"/>
      <c r="X203" s="6"/>
    </row>
    <row r="204" ht="15.75" customHeight="1">
      <c r="S204" s="97"/>
      <c r="X204" s="6"/>
    </row>
    <row r="205" ht="15.75" customHeight="1">
      <c r="S205" s="97"/>
      <c r="X205" s="6"/>
    </row>
    <row r="206" ht="15.75" customHeight="1">
      <c r="S206" s="97"/>
      <c r="X206" s="6"/>
    </row>
    <row r="207" ht="15.75" customHeight="1">
      <c r="S207" s="97"/>
      <c r="X207" s="6"/>
    </row>
    <row r="208" ht="15.75" customHeight="1">
      <c r="S208" s="97"/>
      <c r="X208" s="6"/>
    </row>
    <row r="209" ht="15.75" customHeight="1">
      <c r="S209" s="97"/>
      <c r="X209" s="6"/>
    </row>
    <row r="210" ht="15.75" customHeight="1">
      <c r="S210" s="97"/>
      <c r="X210" s="6"/>
    </row>
    <row r="211" ht="15.75" customHeight="1">
      <c r="S211" s="97"/>
      <c r="X211" s="6"/>
    </row>
    <row r="212" ht="15.75" customHeight="1">
      <c r="S212" s="97"/>
      <c r="X212" s="6"/>
    </row>
    <row r="213" ht="15.75" customHeight="1">
      <c r="S213" s="97"/>
      <c r="X213" s="6"/>
    </row>
    <row r="214" ht="15.75" customHeight="1">
      <c r="S214" s="97"/>
      <c r="X214" s="6"/>
    </row>
    <row r="215" ht="15.75" customHeight="1">
      <c r="S215" s="97"/>
      <c r="X215" s="6"/>
    </row>
    <row r="216" ht="15.75" customHeight="1">
      <c r="S216" s="97"/>
      <c r="X216" s="6"/>
    </row>
    <row r="217" ht="15.75" customHeight="1">
      <c r="S217" s="97"/>
      <c r="X217" s="6"/>
    </row>
    <row r="218" ht="15.75" customHeight="1">
      <c r="S218" s="97"/>
      <c r="X218" s="6"/>
    </row>
    <row r="219" ht="15.75" customHeight="1">
      <c r="S219" s="97"/>
      <c r="X219" s="6"/>
    </row>
    <row r="220" ht="15.75" customHeight="1">
      <c r="S220" s="97"/>
      <c r="X220" s="6"/>
    </row>
    <row r="221" ht="15.75" customHeight="1">
      <c r="S221" s="97"/>
      <c r="X221" s="6"/>
    </row>
    <row r="222" ht="15.75" customHeight="1">
      <c r="S222" s="97"/>
      <c r="X222" s="6"/>
    </row>
    <row r="223" ht="15.75" customHeight="1">
      <c r="S223" s="97"/>
      <c r="X223" s="6"/>
    </row>
    <row r="224" ht="15.75" customHeight="1">
      <c r="S224" s="97"/>
      <c r="X224" s="6"/>
    </row>
    <row r="225" ht="15.75" customHeight="1">
      <c r="S225" s="97"/>
      <c r="X225" s="6"/>
    </row>
    <row r="226" ht="15.75" customHeight="1">
      <c r="S226" s="97"/>
      <c r="X226" s="6"/>
    </row>
    <row r="227" ht="15.75" customHeight="1">
      <c r="S227" s="97"/>
      <c r="X227" s="6"/>
    </row>
    <row r="228" ht="15.75" customHeight="1">
      <c r="S228" s="97"/>
      <c r="X228" s="6"/>
    </row>
    <row r="229" ht="15.75" customHeight="1">
      <c r="S229" s="97"/>
      <c r="X229" s="6"/>
    </row>
    <row r="230" ht="15.75" customHeight="1">
      <c r="S230" s="97"/>
      <c r="X230" s="6"/>
    </row>
    <row r="231" ht="15.75" customHeight="1">
      <c r="S231" s="97"/>
      <c r="X231" s="6"/>
    </row>
    <row r="232" ht="15.75" customHeight="1">
      <c r="S232" s="97"/>
      <c r="X232" s="6"/>
    </row>
    <row r="233" ht="15.75" customHeight="1">
      <c r="S233" s="97"/>
      <c r="X233" s="6"/>
    </row>
    <row r="234" ht="15.75" customHeight="1">
      <c r="S234" s="97"/>
      <c r="X234" s="6"/>
    </row>
    <row r="235" ht="15.75" customHeight="1">
      <c r="S235" s="97"/>
      <c r="X235" s="6"/>
    </row>
    <row r="236" ht="15.75" customHeight="1">
      <c r="S236" s="97"/>
      <c r="X236" s="6"/>
    </row>
    <row r="237" ht="15.75" customHeight="1">
      <c r="S237" s="97"/>
      <c r="X237" s="6"/>
    </row>
    <row r="238" ht="15.75" customHeight="1">
      <c r="S238" s="97"/>
      <c r="X238" s="6"/>
    </row>
    <row r="239" ht="15.75" customHeight="1">
      <c r="S239" s="97"/>
      <c r="X239" s="6"/>
    </row>
    <row r="240" ht="15.75" customHeight="1">
      <c r="S240" s="97"/>
      <c r="X240" s="6"/>
    </row>
    <row r="241" ht="15.75" customHeight="1">
      <c r="S241" s="97"/>
      <c r="X241" s="6"/>
    </row>
    <row r="242" ht="15.75" customHeight="1">
      <c r="S242" s="97"/>
      <c r="X242" s="6"/>
    </row>
    <row r="243" ht="15.75" customHeight="1">
      <c r="S243" s="97"/>
      <c r="X243" s="6"/>
    </row>
    <row r="244" ht="15.75" customHeight="1">
      <c r="S244" s="97"/>
      <c r="X244" s="6"/>
    </row>
    <row r="245" ht="15.75" customHeight="1">
      <c r="S245" s="97"/>
      <c r="X245" s="6"/>
    </row>
    <row r="246" ht="15.75" customHeight="1">
      <c r="S246" s="97"/>
      <c r="X246" s="6"/>
    </row>
    <row r="247" ht="15.75" customHeight="1">
      <c r="S247" s="97"/>
      <c r="X247" s="6"/>
    </row>
    <row r="248" ht="15.75" customHeight="1">
      <c r="S248" s="97"/>
      <c r="X248" s="6"/>
    </row>
    <row r="249" ht="15.75" customHeight="1">
      <c r="S249" s="97"/>
      <c r="X249" s="6"/>
    </row>
    <row r="250" ht="15.75" customHeight="1">
      <c r="S250" s="97"/>
      <c r="X250" s="6"/>
    </row>
    <row r="251" ht="15.75" customHeight="1">
      <c r="S251" s="97"/>
      <c r="X251" s="6"/>
    </row>
    <row r="252" ht="15.75" customHeight="1">
      <c r="S252" s="97"/>
      <c r="X252" s="6"/>
    </row>
    <row r="253" ht="15.75" customHeight="1">
      <c r="S253" s="97"/>
      <c r="X253" s="6"/>
    </row>
    <row r="254" ht="15.75" customHeight="1">
      <c r="S254" s="97"/>
      <c r="X254" s="6"/>
    </row>
    <row r="255" ht="15.75" customHeight="1">
      <c r="S255" s="97"/>
      <c r="X255" s="6"/>
    </row>
    <row r="256" ht="15.75" customHeight="1">
      <c r="S256" s="97"/>
      <c r="X256" s="6"/>
    </row>
    <row r="257" ht="15.75" customHeight="1">
      <c r="S257" s="97"/>
      <c r="X257" s="6"/>
    </row>
    <row r="258" ht="15.75" customHeight="1">
      <c r="S258" s="97"/>
      <c r="X258" s="6"/>
    </row>
    <row r="259" ht="15.75" customHeight="1">
      <c r="S259" s="97"/>
      <c r="X259" s="6"/>
    </row>
    <row r="260" ht="15.75" customHeight="1">
      <c r="S260" s="97"/>
      <c r="X260" s="6"/>
    </row>
    <row r="261" ht="15.75" customHeight="1">
      <c r="S261" s="97"/>
      <c r="X261" s="6"/>
    </row>
    <row r="262" ht="15.75" customHeight="1">
      <c r="S262" s="97"/>
      <c r="X262" s="6"/>
    </row>
    <row r="263" ht="15.75" customHeight="1">
      <c r="S263" s="97"/>
      <c r="X263" s="6"/>
    </row>
    <row r="264" ht="15.75" customHeight="1">
      <c r="S264" s="97"/>
      <c r="X264" s="6"/>
    </row>
    <row r="265" ht="15.75" customHeight="1">
      <c r="S265" s="97"/>
      <c r="X265" s="6"/>
    </row>
    <row r="266" ht="15.75" customHeight="1">
      <c r="S266" s="97"/>
      <c r="X266" s="6"/>
    </row>
    <row r="267" ht="15.75" customHeight="1">
      <c r="S267" s="97"/>
      <c r="X267" s="6"/>
    </row>
    <row r="268" ht="15.75" customHeight="1">
      <c r="S268" s="97"/>
      <c r="X268" s="6"/>
    </row>
    <row r="269" ht="15.75" customHeight="1">
      <c r="S269" s="97"/>
      <c r="X269" s="6"/>
    </row>
    <row r="270" ht="15.75" customHeight="1">
      <c r="S270" s="97"/>
      <c r="X270" s="6"/>
    </row>
    <row r="271" ht="15.75" customHeight="1">
      <c r="S271" s="97"/>
      <c r="X271" s="6"/>
    </row>
    <row r="272" ht="15.75" customHeight="1">
      <c r="S272" s="97"/>
      <c r="X272" s="6"/>
    </row>
    <row r="273" ht="15.75" customHeight="1">
      <c r="S273" s="97"/>
      <c r="X273" s="6"/>
    </row>
    <row r="274" ht="15.75" customHeight="1">
      <c r="S274" s="97"/>
      <c r="X274" s="6"/>
    </row>
    <row r="275" ht="15.75" customHeight="1">
      <c r="S275" s="97"/>
      <c r="X275" s="6"/>
    </row>
    <row r="276" ht="15.75" customHeight="1">
      <c r="S276" s="97"/>
      <c r="X276" s="6"/>
    </row>
    <row r="277" ht="15.75" customHeight="1">
      <c r="S277" s="97"/>
      <c r="X277" s="6"/>
    </row>
    <row r="278" ht="15.75" customHeight="1">
      <c r="S278" s="97"/>
      <c r="X278" s="6"/>
    </row>
    <row r="279" ht="15.75" customHeight="1">
      <c r="S279" s="97"/>
      <c r="X279" s="6"/>
    </row>
    <row r="280" ht="15.75" customHeight="1">
      <c r="S280" s="97"/>
      <c r="X280" s="6"/>
    </row>
    <row r="281" ht="15.75" customHeight="1">
      <c r="S281" s="97"/>
      <c r="X281" s="6"/>
    </row>
    <row r="282" ht="15.75" customHeight="1">
      <c r="S282" s="97"/>
      <c r="X282" s="6"/>
    </row>
    <row r="283" ht="15.75" customHeight="1">
      <c r="S283" s="97"/>
      <c r="X283" s="6"/>
    </row>
    <row r="284" ht="15.75" customHeight="1">
      <c r="S284" s="97"/>
      <c r="X284" s="6"/>
    </row>
    <row r="285" ht="15.75" customHeight="1">
      <c r="S285" s="97"/>
      <c r="X285" s="6"/>
    </row>
    <row r="286" ht="15.75" customHeight="1">
      <c r="S286" s="97"/>
      <c r="X286" s="6"/>
    </row>
    <row r="287" ht="15.75" customHeight="1">
      <c r="S287" s="97"/>
      <c r="X287" s="6"/>
    </row>
    <row r="288" ht="15.75" customHeight="1">
      <c r="S288" s="97"/>
      <c r="X288" s="6"/>
    </row>
    <row r="289" ht="15.75" customHeight="1">
      <c r="S289" s="97"/>
      <c r="X289" s="6"/>
    </row>
    <row r="290" ht="15.75" customHeight="1">
      <c r="S290" s="97"/>
      <c r="X290" s="6"/>
    </row>
    <row r="291" ht="15.75" customHeight="1">
      <c r="S291" s="97"/>
      <c r="X291" s="6"/>
    </row>
    <row r="292" ht="15.75" customHeight="1">
      <c r="S292" s="97"/>
      <c r="X292" s="6"/>
    </row>
    <row r="293" ht="15.75" customHeight="1">
      <c r="S293" s="97"/>
      <c r="X293" s="6"/>
    </row>
    <row r="294" ht="15.75" customHeight="1">
      <c r="S294" s="97"/>
      <c r="X294" s="6"/>
    </row>
    <row r="295" ht="15.75" customHeight="1">
      <c r="S295" s="97"/>
      <c r="X295" s="6"/>
    </row>
    <row r="296" ht="15.75" customHeight="1">
      <c r="S296" s="97"/>
      <c r="X296" s="6"/>
    </row>
    <row r="297" ht="15.75" customHeight="1">
      <c r="S297" s="97"/>
      <c r="X297" s="6"/>
    </row>
    <row r="298" ht="15.75" customHeight="1">
      <c r="S298" s="97"/>
      <c r="X298" s="6"/>
    </row>
    <row r="299" ht="15.75" customHeight="1">
      <c r="S299" s="97"/>
      <c r="X299" s="6"/>
    </row>
    <row r="300" ht="15.75" customHeight="1">
      <c r="S300" s="97"/>
      <c r="X300" s="6"/>
    </row>
    <row r="301" ht="15.75" customHeight="1">
      <c r="S301" s="97"/>
      <c r="X301" s="6"/>
    </row>
    <row r="302" ht="15.75" customHeight="1">
      <c r="S302" s="97"/>
      <c r="X302" s="6"/>
    </row>
    <row r="303" ht="15.75" customHeight="1">
      <c r="S303" s="97"/>
      <c r="X303" s="6"/>
    </row>
    <row r="304" ht="15.75" customHeight="1">
      <c r="S304" s="97"/>
      <c r="X304" s="6"/>
    </row>
    <row r="305" ht="15.75" customHeight="1">
      <c r="S305" s="97"/>
      <c r="X305" s="6"/>
    </row>
    <row r="306" ht="15.75" customHeight="1">
      <c r="S306" s="97"/>
      <c r="X306" s="6"/>
    </row>
    <row r="307" ht="15.75" customHeight="1">
      <c r="S307" s="97"/>
      <c r="X307" s="6"/>
    </row>
    <row r="308" ht="15.75" customHeight="1">
      <c r="S308" s="97"/>
      <c r="X308" s="6"/>
    </row>
    <row r="309" ht="15.75" customHeight="1">
      <c r="S309" s="97"/>
      <c r="X309" s="6"/>
    </row>
    <row r="310" ht="15.75" customHeight="1">
      <c r="S310" s="97"/>
      <c r="X310" s="6"/>
    </row>
    <row r="311" ht="15.75" customHeight="1">
      <c r="S311" s="97"/>
      <c r="X311" s="6"/>
    </row>
    <row r="312" ht="15.75" customHeight="1">
      <c r="S312" s="97"/>
      <c r="X312" s="6"/>
    </row>
    <row r="313" ht="15.75" customHeight="1">
      <c r="S313" s="97"/>
      <c r="X313" s="6"/>
    </row>
    <row r="314" ht="15.75" customHeight="1">
      <c r="S314" s="97"/>
      <c r="X314" s="6"/>
    </row>
    <row r="315" ht="15.75" customHeight="1">
      <c r="S315" s="97"/>
      <c r="X315" s="6"/>
    </row>
    <row r="316" ht="15.75" customHeight="1">
      <c r="S316" s="97"/>
      <c r="X316" s="6"/>
    </row>
    <row r="317" ht="15.75" customHeight="1">
      <c r="S317" s="97"/>
      <c r="X317" s="6"/>
    </row>
    <row r="318" ht="15.75" customHeight="1">
      <c r="S318" s="97"/>
      <c r="X318" s="6"/>
    </row>
    <row r="319" ht="15.75" customHeight="1">
      <c r="S319" s="97"/>
      <c r="X319" s="6"/>
    </row>
    <row r="320" ht="15.75" customHeight="1">
      <c r="S320" s="97"/>
      <c r="X320" s="6"/>
    </row>
    <row r="321" ht="15.75" customHeight="1">
      <c r="S321" s="97"/>
      <c r="X321" s="6"/>
    </row>
    <row r="322" ht="15.75" customHeight="1">
      <c r="S322" s="97"/>
      <c r="X322" s="6"/>
    </row>
    <row r="323" ht="15.75" customHeight="1">
      <c r="S323" s="97"/>
      <c r="X323" s="6"/>
    </row>
    <row r="324" ht="15.75" customHeight="1">
      <c r="S324" s="97"/>
      <c r="X324" s="6"/>
    </row>
    <row r="325" ht="15.75" customHeight="1">
      <c r="S325" s="97"/>
      <c r="X325" s="6"/>
    </row>
    <row r="326" ht="15.75" customHeight="1">
      <c r="S326" s="97"/>
      <c r="X326" s="6"/>
    </row>
    <row r="327" ht="15.75" customHeight="1">
      <c r="S327" s="97"/>
      <c r="X327" s="6"/>
    </row>
    <row r="328" ht="15.75" customHeight="1">
      <c r="S328" s="97"/>
      <c r="X328" s="6"/>
    </row>
    <row r="329" ht="15.75" customHeight="1">
      <c r="S329" s="97"/>
      <c r="X329" s="6"/>
    </row>
    <row r="330" ht="15.75" customHeight="1">
      <c r="S330" s="97"/>
      <c r="X330" s="6"/>
    </row>
    <row r="331" ht="15.75" customHeight="1">
      <c r="S331" s="97"/>
      <c r="X331" s="6"/>
    </row>
    <row r="332" ht="15.75" customHeight="1">
      <c r="S332" s="97"/>
      <c r="X332" s="6"/>
    </row>
    <row r="333" ht="15.75" customHeight="1">
      <c r="S333" s="97"/>
      <c r="X333" s="6"/>
    </row>
    <row r="334" ht="15.75" customHeight="1">
      <c r="S334" s="97"/>
      <c r="X334" s="6"/>
    </row>
    <row r="335" ht="15.75" customHeight="1">
      <c r="S335" s="97"/>
      <c r="X335" s="6"/>
    </row>
    <row r="336" ht="15.75" customHeight="1">
      <c r="S336" s="97"/>
      <c r="X336" s="6"/>
    </row>
    <row r="337" ht="15.75" customHeight="1">
      <c r="S337" s="97"/>
      <c r="X337" s="6"/>
    </row>
    <row r="338" ht="15.75" customHeight="1">
      <c r="S338" s="97"/>
      <c r="X338" s="6"/>
    </row>
    <row r="339" ht="15.75" customHeight="1">
      <c r="S339" s="97"/>
      <c r="X339" s="6"/>
    </row>
    <row r="340" ht="15.75" customHeight="1">
      <c r="S340" s="97"/>
      <c r="X340" s="6"/>
    </row>
    <row r="341" ht="15.75" customHeight="1">
      <c r="S341" s="97"/>
      <c r="X341" s="6"/>
    </row>
    <row r="342" ht="15.75" customHeight="1">
      <c r="S342" s="97"/>
      <c r="X342" s="6"/>
    </row>
    <row r="343" ht="15.75" customHeight="1">
      <c r="S343" s="97"/>
      <c r="X343" s="6"/>
    </row>
    <row r="344" ht="15.75" customHeight="1">
      <c r="S344" s="97"/>
      <c r="X344" s="6"/>
    </row>
    <row r="345" ht="15.75" customHeight="1">
      <c r="S345" s="97"/>
      <c r="X345" s="6"/>
    </row>
    <row r="346" ht="15.75" customHeight="1">
      <c r="S346" s="97"/>
      <c r="X346" s="6"/>
    </row>
    <row r="347" ht="15.75" customHeight="1">
      <c r="S347" s="97"/>
      <c r="X347" s="6"/>
    </row>
    <row r="348" ht="15.75" customHeight="1">
      <c r="S348" s="97"/>
      <c r="X348" s="6"/>
    </row>
    <row r="349" ht="15.75" customHeight="1">
      <c r="S349" s="97"/>
      <c r="X349" s="6"/>
    </row>
    <row r="350" ht="15.75" customHeight="1">
      <c r="S350" s="97"/>
      <c r="X350" s="6"/>
    </row>
    <row r="351" ht="15.75" customHeight="1">
      <c r="S351" s="97"/>
      <c r="X351" s="6"/>
    </row>
    <row r="352" ht="15.75" customHeight="1">
      <c r="S352" s="97"/>
      <c r="X352" s="6"/>
    </row>
    <row r="353" ht="15.75" customHeight="1">
      <c r="S353" s="97"/>
      <c r="X353" s="6"/>
    </row>
    <row r="354" ht="15.75" customHeight="1">
      <c r="S354" s="97"/>
      <c r="X354" s="6"/>
    </row>
    <row r="355" ht="15.75" customHeight="1">
      <c r="S355" s="97"/>
      <c r="X355" s="6"/>
    </row>
    <row r="356" ht="15.75" customHeight="1">
      <c r="S356" s="97"/>
      <c r="X356" s="6"/>
    </row>
    <row r="357" ht="15.75" customHeight="1">
      <c r="S357" s="97"/>
      <c r="X357" s="6"/>
    </row>
    <row r="358" ht="15.75" customHeight="1">
      <c r="S358" s="97"/>
      <c r="X358" s="6"/>
    </row>
    <row r="359" ht="15.75" customHeight="1">
      <c r="S359" s="97"/>
      <c r="X359" s="6"/>
    </row>
    <row r="360" ht="15.75" customHeight="1">
      <c r="S360" s="97"/>
      <c r="X360" s="6"/>
    </row>
    <row r="361" ht="15.75" customHeight="1">
      <c r="S361" s="97"/>
      <c r="X361" s="6"/>
    </row>
    <row r="362" ht="15.75" customHeight="1">
      <c r="S362" s="97"/>
      <c r="X362" s="6"/>
    </row>
    <row r="363" ht="15.75" customHeight="1">
      <c r="S363" s="97"/>
      <c r="X363" s="6"/>
    </row>
    <row r="364" ht="15.75" customHeight="1">
      <c r="S364" s="97"/>
      <c r="X364" s="6"/>
    </row>
    <row r="365" ht="15.75" customHeight="1">
      <c r="S365" s="97"/>
      <c r="X365" s="6"/>
    </row>
    <row r="366" ht="15.75" customHeight="1">
      <c r="S366" s="97"/>
      <c r="X366" s="6"/>
    </row>
    <row r="367" ht="15.75" customHeight="1">
      <c r="S367" s="97"/>
      <c r="X367" s="6"/>
    </row>
    <row r="368" ht="15.75" customHeight="1">
      <c r="S368" s="97"/>
      <c r="X368" s="6"/>
    </row>
    <row r="369" ht="15.75" customHeight="1">
      <c r="S369" s="97"/>
      <c r="X369" s="6"/>
    </row>
    <row r="370" ht="15.75" customHeight="1">
      <c r="S370" s="97"/>
      <c r="X370" s="6"/>
    </row>
    <row r="371" ht="15.75" customHeight="1">
      <c r="S371" s="97"/>
      <c r="X371" s="6"/>
    </row>
    <row r="372" ht="15.75" customHeight="1">
      <c r="S372" s="97"/>
      <c r="X372" s="6"/>
    </row>
    <row r="373" ht="15.75" customHeight="1">
      <c r="S373" s="97"/>
      <c r="X373" s="6"/>
    </row>
    <row r="374" ht="15.75" customHeight="1">
      <c r="S374" s="97"/>
      <c r="X374" s="6"/>
    </row>
    <row r="375" ht="15.75" customHeight="1">
      <c r="S375" s="97"/>
      <c r="X375" s="6"/>
    </row>
    <row r="376" ht="15.75" customHeight="1">
      <c r="S376" s="97"/>
      <c r="X376" s="6"/>
    </row>
    <row r="377" ht="15.75" customHeight="1">
      <c r="S377" s="97"/>
      <c r="X377" s="6"/>
    </row>
    <row r="378" ht="15.75" customHeight="1">
      <c r="S378" s="97"/>
      <c r="X378" s="6"/>
    </row>
    <row r="379" ht="15.75" customHeight="1">
      <c r="S379" s="97"/>
      <c r="X379" s="6"/>
    </row>
    <row r="380" ht="15.75" customHeight="1">
      <c r="S380" s="97"/>
      <c r="X380" s="6"/>
    </row>
    <row r="381" ht="15.75" customHeight="1">
      <c r="S381" s="97"/>
      <c r="X381" s="6"/>
    </row>
    <row r="382" ht="15.75" customHeight="1">
      <c r="S382" s="97"/>
      <c r="X382" s="6"/>
    </row>
    <row r="383" ht="15.75" customHeight="1">
      <c r="S383" s="97"/>
      <c r="X383" s="6"/>
    </row>
    <row r="384" ht="15.75" customHeight="1">
      <c r="S384" s="97"/>
      <c r="X384" s="6"/>
    </row>
    <row r="385" ht="15.75" customHeight="1">
      <c r="S385" s="97"/>
      <c r="X385" s="6"/>
    </row>
    <row r="386" ht="15.75" customHeight="1">
      <c r="S386" s="97"/>
      <c r="X386" s="6"/>
    </row>
    <row r="387" ht="15.75" customHeight="1">
      <c r="S387" s="97"/>
      <c r="X387" s="6"/>
    </row>
    <row r="388" ht="15.75" customHeight="1">
      <c r="S388" s="97"/>
      <c r="X388" s="6"/>
    </row>
    <row r="389" ht="15.75" customHeight="1">
      <c r="S389" s="97"/>
      <c r="X389" s="6"/>
    </row>
    <row r="390" ht="15.75" customHeight="1">
      <c r="S390" s="97"/>
      <c r="X390" s="6"/>
    </row>
    <row r="391" ht="15.75" customHeight="1">
      <c r="S391" s="97"/>
      <c r="X391" s="6"/>
    </row>
    <row r="392" ht="15.75" customHeight="1">
      <c r="S392" s="97"/>
      <c r="X392" s="6"/>
    </row>
    <row r="393" ht="15.75" customHeight="1">
      <c r="S393" s="97"/>
      <c r="X393" s="6"/>
    </row>
    <row r="394" ht="15.75" customHeight="1">
      <c r="S394" s="97"/>
      <c r="X394" s="6"/>
    </row>
    <row r="395" ht="15.75" customHeight="1">
      <c r="S395" s="97"/>
      <c r="X395" s="6"/>
    </row>
    <row r="396" ht="15.75" customHeight="1">
      <c r="S396" s="97"/>
      <c r="X396" s="6"/>
    </row>
    <row r="397" ht="15.75" customHeight="1">
      <c r="S397" s="97"/>
      <c r="X397" s="6"/>
    </row>
    <row r="398" ht="15.75" customHeight="1">
      <c r="S398" s="97"/>
      <c r="X398" s="6"/>
    </row>
    <row r="399" ht="15.75" customHeight="1">
      <c r="S399" s="97"/>
      <c r="X399" s="6"/>
    </row>
    <row r="400" ht="15.75" customHeight="1">
      <c r="S400" s="97"/>
      <c r="X400" s="6"/>
    </row>
    <row r="401" ht="15.75" customHeight="1">
      <c r="S401" s="97"/>
      <c r="X401" s="6"/>
    </row>
    <row r="402" ht="15.75" customHeight="1">
      <c r="S402" s="97"/>
      <c r="X402" s="6"/>
    </row>
    <row r="403" ht="15.75" customHeight="1">
      <c r="S403" s="97"/>
      <c r="X403" s="6"/>
    </row>
    <row r="404" ht="15.75" customHeight="1">
      <c r="S404" s="97"/>
      <c r="X404" s="6"/>
    </row>
    <row r="405" ht="15.75" customHeight="1">
      <c r="S405" s="97"/>
      <c r="X405" s="6"/>
    </row>
    <row r="406" ht="15.75" customHeight="1">
      <c r="S406" s="97"/>
      <c r="X406" s="6"/>
    </row>
    <row r="407" ht="15.75" customHeight="1">
      <c r="S407" s="97"/>
      <c r="X407" s="6"/>
    </row>
    <row r="408" ht="15.75" customHeight="1">
      <c r="S408" s="97"/>
      <c r="X408" s="6"/>
    </row>
    <row r="409" ht="15.75" customHeight="1">
      <c r="S409" s="97"/>
      <c r="X409" s="6"/>
    </row>
    <row r="410" ht="15.75" customHeight="1">
      <c r="S410" s="97"/>
      <c r="X410" s="6"/>
    </row>
    <row r="411" ht="15.75" customHeight="1">
      <c r="S411" s="97"/>
      <c r="X411" s="6"/>
    </row>
    <row r="412" ht="15.75" customHeight="1">
      <c r="S412" s="97"/>
      <c r="X412" s="6"/>
    </row>
    <row r="413" ht="15.75" customHeight="1">
      <c r="S413" s="97"/>
      <c r="X413" s="6"/>
    </row>
    <row r="414" ht="15.75" customHeight="1">
      <c r="S414" s="97"/>
      <c r="X414" s="6"/>
    </row>
    <row r="415" ht="15.75" customHeight="1">
      <c r="S415" s="97"/>
      <c r="X415" s="6"/>
    </row>
    <row r="416" ht="15.75" customHeight="1">
      <c r="S416" s="97"/>
      <c r="X416" s="6"/>
    </row>
    <row r="417" ht="15.75" customHeight="1">
      <c r="S417" s="97"/>
      <c r="X417" s="6"/>
    </row>
    <row r="418" ht="15.75" customHeight="1">
      <c r="S418" s="97"/>
      <c r="X418" s="6"/>
    </row>
    <row r="419" ht="15.75" customHeight="1">
      <c r="S419" s="97"/>
      <c r="X419" s="6"/>
    </row>
    <row r="420" ht="15.75" customHeight="1">
      <c r="S420" s="97"/>
      <c r="X420" s="6"/>
    </row>
    <row r="421" ht="15.75" customHeight="1">
      <c r="S421" s="97"/>
      <c r="X421" s="6"/>
    </row>
    <row r="422" ht="15.75" customHeight="1">
      <c r="S422" s="97"/>
      <c r="X422" s="6"/>
    </row>
    <row r="423" ht="15.75" customHeight="1">
      <c r="S423" s="97"/>
      <c r="X423" s="6"/>
    </row>
    <row r="424" ht="15.75" customHeight="1">
      <c r="S424" s="97"/>
      <c r="X424" s="6"/>
    </row>
    <row r="425" ht="15.75" customHeight="1">
      <c r="S425" s="97"/>
      <c r="X425" s="6"/>
    </row>
    <row r="426" ht="15.75" customHeight="1">
      <c r="S426" s="97"/>
      <c r="X426" s="6"/>
    </row>
    <row r="427" ht="15.75" customHeight="1">
      <c r="S427" s="97"/>
      <c r="X427" s="6"/>
    </row>
    <row r="428" ht="15.75" customHeight="1">
      <c r="S428" s="97"/>
      <c r="X428" s="6"/>
    </row>
    <row r="429" ht="15.75" customHeight="1">
      <c r="S429" s="97"/>
      <c r="X429" s="6"/>
    </row>
    <row r="430" ht="15.75" customHeight="1">
      <c r="S430" s="97"/>
      <c r="X430" s="6"/>
    </row>
    <row r="431" ht="15.75" customHeight="1">
      <c r="S431" s="97"/>
      <c r="X431" s="6"/>
    </row>
    <row r="432" ht="15.75" customHeight="1">
      <c r="S432" s="97"/>
      <c r="X432" s="6"/>
    </row>
    <row r="433" ht="15.75" customHeight="1">
      <c r="S433" s="97"/>
      <c r="X433" s="6"/>
    </row>
    <row r="434" ht="15.75" customHeight="1">
      <c r="S434" s="97"/>
      <c r="X434" s="6"/>
    </row>
    <row r="435" ht="15.75" customHeight="1">
      <c r="S435" s="97"/>
      <c r="X435" s="6"/>
    </row>
    <row r="436" ht="15.75" customHeight="1">
      <c r="S436" s="97"/>
      <c r="X436" s="6"/>
    </row>
    <row r="437" ht="15.75" customHeight="1">
      <c r="S437" s="97"/>
      <c r="X437" s="6"/>
    </row>
    <row r="438" ht="15.75" customHeight="1">
      <c r="S438" s="97"/>
      <c r="X438" s="6"/>
    </row>
    <row r="439" ht="15.75" customHeight="1">
      <c r="S439" s="97"/>
      <c r="X439" s="6"/>
    </row>
    <row r="440" ht="15.75" customHeight="1">
      <c r="S440" s="97"/>
      <c r="X440" s="6"/>
    </row>
    <row r="441" ht="15.75" customHeight="1">
      <c r="S441" s="97"/>
      <c r="X441" s="6"/>
    </row>
    <row r="442" ht="15.75" customHeight="1">
      <c r="S442" s="97"/>
      <c r="X442" s="6"/>
    </row>
    <row r="443" ht="15.75" customHeight="1">
      <c r="S443" s="97"/>
      <c r="X443" s="6"/>
    </row>
    <row r="444" ht="15.75" customHeight="1">
      <c r="S444" s="97"/>
      <c r="X444" s="6"/>
    </row>
    <row r="445" ht="15.75" customHeight="1">
      <c r="S445" s="97"/>
      <c r="X445" s="6"/>
    </row>
    <row r="446" ht="15.75" customHeight="1">
      <c r="S446" s="97"/>
      <c r="X446" s="6"/>
    </row>
    <row r="447" ht="15.75" customHeight="1">
      <c r="S447" s="97"/>
      <c r="X447" s="6"/>
    </row>
    <row r="448" ht="15.75" customHeight="1">
      <c r="S448" s="97"/>
      <c r="X448" s="6"/>
    </row>
    <row r="449" ht="15.75" customHeight="1">
      <c r="S449" s="97"/>
      <c r="X449" s="6"/>
    </row>
    <row r="450" ht="15.75" customHeight="1">
      <c r="S450" s="97"/>
      <c r="X450" s="6"/>
    </row>
    <row r="451" ht="15.75" customHeight="1">
      <c r="S451" s="97"/>
      <c r="X451" s="6"/>
    </row>
    <row r="452" ht="15.75" customHeight="1">
      <c r="S452" s="97"/>
      <c r="X452" s="6"/>
    </row>
    <row r="453" ht="15.75" customHeight="1">
      <c r="S453" s="97"/>
      <c r="X453" s="6"/>
    </row>
    <row r="454" ht="15.75" customHeight="1">
      <c r="S454" s="97"/>
      <c r="X454" s="6"/>
    </row>
    <row r="455" ht="15.75" customHeight="1">
      <c r="S455" s="97"/>
      <c r="X455" s="6"/>
    </row>
    <row r="456" ht="15.75" customHeight="1">
      <c r="S456" s="97"/>
      <c r="X456" s="6"/>
    </row>
    <row r="457" ht="15.75" customHeight="1">
      <c r="S457" s="97"/>
      <c r="X457" s="6"/>
    </row>
    <row r="458" ht="15.75" customHeight="1">
      <c r="S458" s="97"/>
      <c r="X458" s="6"/>
    </row>
    <row r="459" ht="15.75" customHeight="1">
      <c r="S459" s="97"/>
      <c r="X459" s="6"/>
    </row>
    <row r="460" ht="15.75" customHeight="1">
      <c r="S460" s="97"/>
      <c r="X460" s="6"/>
    </row>
    <row r="461" ht="15.75" customHeight="1">
      <c r="S461" s="97"/>
      <c r="X461" s="6"/>
    </row>
    <row r="462" ht="15.75" customHeight="1">
      <c r="S462" s="97"/>
      <c r="X462" s="6"/>
    </row>
    <row r="463" ht="15.75" customHeight="1">
      <c r="S463" s="97"/>
      <c r="X463" s="6"/>
    </row>
    <row r="464" ht="15.75" customHeight="1">
      <c r="S464" s="97"/>
      <c r="X464" s="6"/>
    </row>
    <row r="465" ht="15.75" customHeight="1">
      <c r="S465" s="97"/>
      <c r="X465" s="6"/>
    </row>
    <row r="466" ht="15.75" customHeight="1">
      <c r="S466" s="97"/>
      <c r="X466" s="6"/>
    </row>
    <row r="467" ht="15.75" customHeight="1">
      <c r="S467" s="97"/>
      <c r="X467" s="6"/>
    </row>
    <row r="468" ht="15.75" customHeight="1">
      <c r="S468" s="97"/>
      <c r="X468" s="6"/>
    </row>
    <row r="469" ht="15.75" customHeight="1">
      <c r="S469" s="97"/>
      <c r="X469" s="6"/>
    </row>
    <row r="470" ht="15.75" customHeight="1">
      <c r="S470" s="97"/>
      <c r="X470" s="6"/>
    </row>
    <row r="471" ht="15.75" customHeight="1">
      <c r="S471" s="97"/>
      <c r="X471" s="6"/>
    </row>
    <row r="472" ht="15.75" customHeight="1">
      <c r="S472" s="97"/>
      <c r="X472" s="6"/>
    </row>
    <row r="473" ht="15.75" customHeight="1">
      <c r="S473" s="97"/>
      <c r="X473" s="6"/>
    </row>
    <row r="474" ht="15.75" customHeight="1">
      <c r="S474" s="97"/>
      <c r="X474" s="6"/>
    </row>
    <row r="475" ht="15.75" customHeight="1">
      <c r="S475" s="97"/>
      <c r="X475" s="6"/>
    </row>
    <row r="476" ht="15.75" customHeight="1">
      <c r="S476" s="97"/>
      <c r="X476" s="6"/>
    </row>
    <row r="477" ht="15.75" customHeight="1">
      <c r="S477" s="97"/>
      <c r="X477" s="6"/>
    </row>
    <row r="478" ht="15.75" customHeight="1">
      <c r="S478" s="97"/>
      <c r="X478" s="6"/>
    </row>
    <row r="479" ht="15.75" customHeight="1">
      <c r="S479" s="97"/>
      <c r="X479" s="6"/>
    </row>
    <row r="480" ht="15.75" customHeight="1">
      <c r="S480" s="97"/>
      <c r="X480" s="6"/>
    </row>
    <row r="481" ht="15.75" customHeight="1">
      <c r="S481" s="97"/>
      <c r="X481" s="6"/>
    </row>
    <row r="482" ht="15.75" customHeight="1">
      <c r="S482" s="97"/>
      <c r="X482" s="6"/>
    </row>
    <row r="483" ht="15.75" customHeight="1">
      <c r="S483" s="97"/>
      <c r="X483" s="6"/>
    </row>
    <row r="484" ht="15.75" customHeight="1">
      <c r="S484" s="97"/>
      <c r="X484" s="6"/>
    </row>
    <row r="485" ht="15.75" customHeight="1">
      <c r="S485" s="97"/>
      <c r="X485" s="6"/>
    </row>
    <row r="486" ht="15.75" customHeight="1">
      <c r="S486" s="97"/>
      <c r="X486" s="6"/>
    </row>
    <row r="487" ht="15.75" customHeight="1">
      <c r="S487" s="97"/>
      <c r="X487" s="6"/>
    </row>
    <row r="488" ht="15.75" customHeight="1">
      <c r="S488" s="97"/>
      <c r="X488" s="6"/>
    </row>
    <row r="489" ht="15.75" customHeight="1">
      <c r="S489" s="97"/>
      <c r="X489" s="6"/>
    </row>
    <row r="490" ht="15.75" customHeight="1">
      <c r="S490" s="97"/>
      <c r="X490" s="6"/>
    </row>
    <row r="491" ht="15.75" customHeight="1">
      <c r="S491" s="97"/>
      <c r="X491" s="6"/>
    </row>
    <row r="492" ht="15.75" customHeight="1">
      <c r="S492" s="97"/>
      <c r="X492" s="6"/>
    </row>
    <row r="493" ht="15.75" customHeight="1">
      <c r="S493" s="97"/>
      <c r="X493" s="6"/>
    </row>
    <row r="494" ht="15.75" customHeight="1">
      <c r="S494" s="97"/>
      <c r="X494" s="6"/>
    </row>
    <row r="495" ht="15.75" customHeight="1">
      <c r="S495" s="97"/>
      <c r="X495" s="6"/>
    </row>
    <row r="496" ht="15.75" customHeight="1">
      <c r="S496" s="97"/>
      <c r="X496" s="6"/>
    </row>
    <row r="497" ht="15.75" customHeight="1">
      <c r="S497" s="97"/>
      <c r="X497" s="6"/>
    </row>
    <row r="498" ht="15.75" customHeight="1">
      <c r="S498" s="97"/>
      <c r="X498" s="6"/>
    </row>
    <row r="499" ht="15.75" customHeight="1">
      <c r="S499" s="97"/>
      <c r="X499" s="6"/>
    </row>
    <row r="500" ht="15.75" customHeight="1">
      <c r="S500" s="97"/>
      <c r="X500" s="6"/>
    </row>
    <row r="501" ht="15.75" customHeight="1">
      <c r="S501" s="97"/>
      <c r="X501" s="6"/>
    </row>
    <row r="502" ht="15.75" customHeight="1">
      <c r="S502" s="97"/>
      <c r="X502" s="6"/>
    </row>
    <row r="503" ht="15.75" customHeight="1">
      <c r="S503" s="97"/>
      <c r="X503" s="6"/>
    </row>
    <row r="504" ht="15.75" customHeight="1">
      <c r="S504" s="97"/>
      <c r="X504" s="6"/>
    </row>
    <row r="505" ht="15.75" customHeight="1">
      <c r="S505" s="97"/>
      <c r="X505" s="6"/>
    </row>
    <row r="506" ht="15.75" customHeight="1">
      <c r="S506" s="97"/>
      <c r="X506" s="6"/>
    </row>
    <row r="507" ht="15.75" customHeight="1">
      <c r="S507" s="97"/>
      <c r="X507" s="6"/>
    </row>
    <row r="508" ht="15.75" customHeight="1">
      <c r="S508" s="97"/>
      <c r="X508" s="6"/>
    </row>
    <row r="509" ht="15.75" customHeight="1">
      <c r="S509" s="97"/>
      <c r="X509" s="6"/>
    </row>
    <row r="510" ht="15.75" customHeight="1">
      <c r="S510" s="97"/>
      <c r="X510" s="6"/>
    </row>
    <row r="511" ht="15.75" customHeight="1">
      <c r="S511" s="97"/>
      <c r="X511" s="6"/>
    </row>
    <row r="512" ht="15.75" customHeight="1">
      <c r="S512" s="97"/>
      <c r="X512" s="6"/>
    </row>
    <row r="513" ht="15.75" customHeight="1">
      <c r="S513" s="97"/>
      <c r="X513" s="6"/>
    </row>
    <row r="514" ht="15.75" customHeight="1">
      <c r="S514" s="97"/>
      <c r="X514" s="6"/>
    </row>
    <row r="515" ht="15.75" customHeight="1">
      <c r="S515" s="97"/>
      <c r="X515" s="6"/>
    </row>
    <row r="516" ht="15.75" customHeight="1">
      <c r="S516" s="97"/>
      <c r="X516" s="6"/>
    </row>
    <row r="517" ht="15.75" customHeight="1">
      <c r="S517" s="97"/>
      <c r="X517" s="6"/>
    </row>
    <row r="518" ht="15.75" customHeight="1">
      <c r="S518" s="97"/>
      <c r="X518" s="6"/>
    </row>
    <row r="519" ht="15.75" customHeight="1">
      <c r="S519" s="97"/>
      <c r="X519" s="6"/>
    </row>
    <row r="520" ht="15.75" customHeight="1">
      <c r="S520" s="97"/>
      <c r="X520" s="6"/>
    </row>
    <row r="521" ht="15.75" customHeight="1">
      <c r="S521" s="97"/>
      <c r="X521" s="6"/>
    </row>
    <row r="522" ht="15.75" customHeight="1">
      <c r="S522" s="97"/>
      <c r="X522" s="6"/>
    </row>
    <row r="523" ht="15.75" customHeight="1">
      <c r="S523" s="97"/>
      <c r="X523" s="6"/>
    </row>
    <row r="524" ht="15.75" customHeight="1">
      <c r="S524" s="97"/>
      <c r="X524" s="6"/>
    </row>
    <row r="525" ht="15.75" customHeight="1">
      <c r="S525" s="97"/>
      <c r="X525" s="6"/>
    </row>
    <row r="526" ht="15.75" customHeight="1">
      <c r="S526" s="97"/>
      <c r="X526" s="6"/>
    </row>
    <row r="527" ht="15.75" customHeight="1">
      <c r="S527" s="97"/>
      <c r="X527" s="6"/>
    </row>
    <row r="528" ht="15.75" customHeight="1">
      <c r="S528" s="97"/>
      <c r="X528" s="6"/>
    </row>
    <row r="529" ht="15.75" customHeight="1">
      <c r="S529" s="97"/>
      <c r="X529" s="6"/>
    </row>
    <row r="530" ht="15.75" customHeight="1">
      <c r="S530" s="97"/>
      <c r="X530" s="6"/>
    </row>
    <row r="531" ht="15.75" customHeight="1">
      <c r="S531" s="97"/>
      <c r="X531" s="6"/>
    </row>
    <row r="532" ht="15.75" customHeight="1">
      <c r="S532" s="97"/>
      <c r="X532" s="6"/>
    </row>
    <row r="533" ht="15.75" customHeight="1">
      <c r="S533" s="97"/>
      <c r="X533" s="6"/>
    </row>
    <row r="534" ht="15.75" customHeight="1">
      <c r="S534" s="97"/>
      <c r="X534" s="6"/>
    </row>
    <row r="535" ht="15.75" customHeight="1">
      <c r="S535" s="97"/>
      <c r="X535" s="6"/>
    </row>
    <row r="536" ht="15.75" customHeight="1">
      <c r="S536" s="97"/>
      <c r="X536" s="6"/>
    </row>
    <row r="537" ht="15.75" customHeight="1">
      <c r="S537" s="97"/>
      <c r="X537" s="6"/>
    </row>
    <row r="538" ht="15.75" customHeight="1">
      <c r="S538" s="97"/>
      <c r="X538" s="6"/>
    </row>
    <row r="539" ht="15.75" customHeight="1">
      <c r="S539" s="97"/>
      <c r="X539" s="6"/>
    </row>
    <row r="540" ht="15.75" customHeight="1">
      <c r="S540" s="97"/>
      <c r="X540" s="6"/>
    </row>
    <row r="541" ht="15.75" customHeight="1">
      <c r="S541" s="97"/>
      <c r="X541" s="6"/>
    </row>
    <row r="542" ht="15.75" customHeight="1">
      <c r="S542" s="97"/>
      <c r="X542" s="6"/>
    </row>
    <row r="543" ht="15.75" customHeight="1">
      <c r="S543" s="97"/>
      <c r="X543" s="6"/>
    </row>
    <row r="544" ht="15.75" customHeight="1">
      <c r="S544" s="97"/>
      <c r="X544" s="6"/>
    </row>
    <row r="545" ht="15.75" customHeight="1">
      <c r="S545" s="97"/>
      <c r="X545" s="6"/>
    </row>
    <row r="546" ht="15.75" customHeight="1">
      <c r="S546" s="97"/>
      <c r="X546" s="6"/>
    </row>
    <row r="547" ht="15.75" customHeight="1">
      <c r="S547" s="97"/>
      <c r="X547" s="6"/>
    </row>
    <row r="548" ht="15.75" customHeight="1">
      <c r="S548" s="97"/>
      <c r="X548" s="6"/>
    </row>
    <row r="549" ht="15.75" customHeight="1">
      <c r="S549" s="97"/>
      <c r="X549" s="6"/>
    </row>
    <row r="550" ht="15.75" customHeight="1">
      <c r="S550" s="97"/>
      <c r="X550" s="6"/>
    </row>
    <row r="551" ht="15.75" customHeight="1">
      <c r="S551" s="97"/>
      <c r="X551" s="6"/>
    </row>
    <row r="552" ht="15.75" customHeight="1">
      <c r="S552" s="97"/>
      <c r="X552" s="6"/>
    </row>
    <row r="553" ht="15.75" customHeight="1">
      <c r="S553" s="97"/>
      <c r="X553" s="6"/>
    </row>
    <row r="554" ht="15.75" customHeight="1">
      <c r="S554" s="97"/>
      <c r="X554" s="6"/>
    </row>
    <row r="555" ht="15.75" customHeight="1">
      <c r="S555" s="97"/>
      <c r="X555" s="6"/>
    </row>
    <row r="556" ht="15.75" customHeight="1">
      <c r="S556" s="97"/>
      <c r="X556" s="6"/>
    </row>
    <row r="557" ht="15.75" customHeight="1">
      <c r="S557" s="97"/>
      <c r="X557" s="6"/>
    </row>
    <row r="558" ht="15.75" customHeight="1">
      <c r="S558" s="97"/>
      <c r="X558" s="6"/>
    </row>
    <row r="559" ht="15.75" customHeight="1">
      <c r="S559" s="97"/>
      <c r="X559" s="6"/>
    </row>
    <row r="560" ht="15.75" customHeight="1">
      <c r="S560" s="97"/>
      <c r="X560" s="6"/>
    </row>
    <row r="561" ht="15.75" customHeight="1">
      <c r="S561" s="97"/>
      <c r="X561" s="6"/>
    </row>
    <row r="562" ht="15.75" customHeight="1">
      <c r="S562" s="97"/>
      <c r="X562" s="6"/>
    </row>
    <row r="563" ht="15.75" customHeight="1">
      <c r="S563" s="97"/>
      <c r="X563" s="6"/>
    </row>
    <row r="564" ht="15.75" customHeight="1">
      <c r="S564" s="97"/>
      <c r="X564" s="6"/>
    </row>
    <row r="565" ht="15.75" customHeight="1">
      <c r="S565" s="97"/>
      <c r="X565" s="6"/>
    </row>
    <row r="566" ht="15.75" customHeight="1">
      <c r="S566" s="97"/>
      <c r="X566" s="6"/>
    </row>
    <row r="567" ht="15.75" customHeight="1">
      <c r="S567" s="97"/>
      <c r="X567" s="6"/>
    </row>
    <row r="568" ht="15.75" customHeight="1">
      <c r="S568" s="97"/>
      <c r="X568" s="6"/>
    </row>
    <row r="569" ht="15.75" customHeight="1">
      <c r="S569" s="97"/>
      <c r="X569" s="6"/>
    </row>
    <row r="570" ht="15.75" customHeight="1">
      <c r="S570" s="97"/>
      <c r="X570" s="6"/>
    </row>
    <row r="571" ht="15.75" customHeight="1">
      <c r="S571" s="97"/>
      <c r="X571" s="6"/>
    </row>
    <row r="572" ht="15.75" customHeight="1">
      <c r="S572" s="97"/>
      <c r="X572" s="6"/>
    </row>
    <row r="573" ht="15.75" customHeight="1">
      <c r="S573" s="97"/>
      <c r="X573" s="6"/>
    </row>
    <row r="574" ht="15.75" customHeight="1">
      <c r="S574" s="97"/>
      <c r="X574" s="6"/>
    </row>
    <row r="575" ht="15.75" customHeight="1">
      <c r="S575" s="97"/>
      <c r="X575" s="6"/>
    </row>
    <row r="576" ht="15.75" customHeight="1">
      <c r="S576" s="97"/>
      <c r="X576" s="6"/>
    </row>
    <row r="577" ht="15.75" customHeight="1">
      <c r="S577" s="97"/>
      <c r="X577" s="6"/>
    </row>
    <row r="578" ht="15.75" customHeight="1">
      <c r="S578" s="97"/>
      <c r="X578" s="6"/>
    </row>
    <row r="579" ht="15.75" customHeight="1">
      <c r="S579" s="97"/>
      <c r="X579" s="6"/>
    </row>
    <row r="580" ht="15.75" customHeight="1">
      <c r="S580" s="97"/>
      <c r="X580" s="6"/>
    </row>
    <row r="581" ht="15.75" customHeight="1">
      <c r="S581" s="97"/>
      <c r="X581" s="6"/>
    </row>
    <row r="582" ht="15.75" customHeight="1">
      <c r="S582" s="97"/>
      <c r="X582" s="6"/>
    </row>
    <row r="583" ht="15.75" customHeight="1">
      <c r="S583" s="97"/>
      <c r="X583" s="6"/>
    </row>
    <row r="584" ht="15.75" customHeight="1">
      <c r="S584" s="97"/>
      <c r="X584" s="6"/>
    </row>
    <row r="585" ht="15.75" customHeight="1">
      <c r="S585" s="97"/>
      <c r="X585" s="6"/>
    </row>
    <row r="586" ht="15.75" customHeight="1">
      <c r="S586" s="97"/>
      <c r="X586" s="6"/>
    </row>
    <row r="587" ht="15.75" customHeight="1">
      <c r="S587" s="97"/>
      <c r="X587" s="6"/>
    </row>
    <row r="588" ht="15.75" customHeight="1">
      <c r="S588" s="97"/>
      <c r="X588" s="6"/>
    </row>
    <row r="589" ht="15.75" customHeight="1">
      <c r="S589" s="97"/>
      <c r="X589" s="6"/>
    </row>
    <row r="590" ht="15.75" customHeight="1">
      <c r="S590" s="97"/>
      <c r="X590" s="6"/>
    </row>
    <row r="591" ht="15.75" customHeight="1">
      <c r="S591" s="97"/>
      <c r="X591" s="6"/>
    </row>
    <row r="592" ht="15.75" customHeight="1">
      <c r="S592" s="97"/>
      <c r="X592" s="6"/>
    </row>
    <row r="593" ht="15.75" customHeight="1">
      <c r="S593" s="97"/>
      <c r="X593" s="6"/>
    </row>
    <row r="594" ht="15.75" customHeight="1">
      <c r="S594" s="97"/>
      <c r="X594" s="6"/>
    </row>
    <row r="595" ht="15.75" customHeight="1">
      <c r="S595" s="97"/>
      <c r="X595" s="6"/>
    </row>
    <row r="596" ht="15.75" customHeight="1">
      <c r="S596" s="97"/>
      <c r="X596" s="6"/>
    </row>
    <row r="597" ht="15.75" customHeight="1">
      <c r="S597" s="97"/>
      <c r="X597" s="6"/>
    </row>
    <row r="598" ht="15.75" customHeight="1">
      <c r="S598" s="97"/>
      <c r="X598" s="6"/>
    </row>
    <row r="599" ht="15.75" customHeight="1">
      <c r="S599" s="97"/>
      <c r="X599" s="6"/>
    </row>
    <row r="600" ht="15.75" customHeight="1">
      <c r="S600" s="97"/>
      <c r="X600" s="6"/>
    </row>
    <row r="601" ht="15.75" customHeight="1">
      <c r="S601" s="97"/>
      <c r="X601" s="6"/>
    </row>
    <row r="602" ht="15.75" customHeight="1">
      <c r="S602" s="97"/>
      <c r="X602" s="6"/>
    </row>
    <row r="603" ht="15.75" customHeight="1">
      <c r="S603" s="97"/>
      <c r="X603" s="6"/>
    </row>
    <row r="604" ht="15.75" customHeight="1">
      <c r="S604" s="97"/>
      <c r="X604" s="6"/>
    </row>
    <row r="605" ht="15.75" customHeight="1">
      <c r="S605" s="97"/>
      <c r="X605" s="6"/>
    </row>
    <row r="606" ht="15.75" customHeight="1">
      <c r="S606" s="97"/>
      <c r="X606" s="6"/>
    </row>
    <row r="607" ht="15.75" customHeight="1">
      <c r="S607" s="97"/>
      <c r="X607" s="6"/>
    </row>
    <row r="608" ht="15.75" customHeight="1">
      <c r="S608" s="97"/>
      <c r="X608" s="6"/>
    </row>
    <row r="609" ht="15.75" customHeight="1">
      <c r="S609" s="97"/>
      <c r="X609" s="6"/>
    </row>
    <row r="610" ht="15.75" customHeight="1">
      <c r="S610" s="97"/>
      <c r="X610" s="6"/>
    </row>
    <row r="611" ht="15.75" customHeight="1">
      <c r="S611" s="97"/>
      <c r="X611" s="6"/>
    </row>
    <row r="612" ht="15.75" customHeight="1">
      <c r="S612" s="97"/>
      <c r="X612" s="6"/>
    </row>
    <row r="613" ht="15.75" customHeight="1">
      <c r="S613" s="97"/>
      <c r="X613" s="6"/>
    </row>
    <row r="614" ht="15.75" customHeight="1">
      <c r="S614" s="97"/>
      <c r="X614" s="6"/>
    </row>
    <row r="615" ht="15.75" customHeight="1">
      <c r="S615" s="97"/>
      <c r="X615" s="6"/>
    </row>
    <row r="616" ht="15.75" customHeight="1">
      <c r="S616" s="97"/>
      <c r="X616" s="6"/>
    </row>
    <row r="617" ht="15.75" customHeight="1">
      <c r="S617" s="97"/>
      <c r="X617" s="6"/>
    </row>
    <row r="618" ht="15.75" customHeight="1">
      <c r="S618" s="97"/>
      <c r="X618" s="6"/>
    </row>
    <row r="619" ht="15.75" customHeight="1">
      <c r="S619" s="97"/>
      <c r="X619" s="6"/>
    </row>
    <row r="620" ht="15.75" customHeight="1">
      <c r="S620" s="97"/>
      <c r="X620" s="6"/>
    </row>
    <row r="621" ht="15.75" customHeight="1">
      <c r="S621" s="97"/>
      <c r="X621" s="6"/>
    </row>
    <row r="622" ht="15.75" customHeight="1">
      <c r="S622" s="97"/>
      <c r="X622" s="6"/>
    </row>
    <row r="623" ht="15.75" customHeight="1">
      <c r="S623" s="97"/>
      <c r="X623" s="6"/>
    </row>
    <row r="624" ht="15.75" customHeight="1">
      <c r="S624" s="97"/>
      <c r="X624" s="6"/>
    </row>
    <row r="625" ht="15.75" customHeight="1">
      <c r="S625" s="97"/>
      <c r="X625" s="6"/>
    </row>
    <row r="626" ht="15.75" customHeight="1">
      <c r="S626" s="97"/>
      <c r="X626" s="6"/>
    </row>
    <row r="627" ht="15.75" customHeight="1">
      <c r="S627" s="97"/>
      <c r="X627" s="6"/>
    </row>
    <row r="628" ht="15.75" customHeight="1">
      <c r="S628" s="97"/>
      <c r="X628" s="6"/>
    </row>
    <row r="629" ht="15.75" customHeight="1">
      <c r="S629" s="97"/>
      <c r="X629" s="6"/>
    </row>
    <row r="630" ht="15.75" customHeight="1">
      <c r="S630" s="97"/>
      <c r="X630" s="6"/>
    </row>
    <row r="631" ht="15.75" customHeight="1">
      <c r="S631" s="97"/>
      <c r="X631" s="6"/>
    </row>
    <row r="632" ht="15.75" customHeight="1">
      <c r="S632" s="97"/>
      <c r="X632" s="6"/>
    </row>
    <row r="633" ht="15.75" customHeight="1">
      <c r="S633" s="97"/>
      <c r="X633" s="6"/>
    </row>
    <row r="634" ht="15.75" customHeight="1">
      <c r="S634" s="97"/>
      <c r="X634" s="6"/>
    </row>
    <row r="635" ht="15.75" customHeight="1">
      <c r="S635" s="97"/>
      <c r="X635" s="6"/>
    </row>
    <row r="636" ht="15.75" customHeight="1">
      <c r="S636" s="97"/>
      <c r="X636" s="6"/>
    </row>
    <row r="637" ht="15.75" customHeight="1">
      <c r="S637" s="97"/>
      <c r="X637" s="6"/>
    </row>
    <row r="638" ht="15.75" customHeight="1">
      <c r="S638" s="97"/>
      <c r="X638" s="6"/>
    </row>
    <row r="639" ht="15.75" customHeight="1">
      <c r="S639" s="97"/>
      <c r="X639" s="6"/>
    </row>
    <row r="640" ht="15.75" customHeight="1">
      <c r="S640" s="97"/>
      <c r="X640" s="6"/>
    </row>
    <row r="641" ht="15.75" customHeight="1">
      <c r="S641" s="97"/>
      <c r="X641" s="6"/>
    </row>
    <row r="642" ht="15.75" customHeight="1">
      <c r="S642" s="97"/>
      <c r="X642" s="6"/>
    </row>
    <row r="643" ht="15.75" customHeight="1">
      <c r="S643" s="97"/>
      <c r="X643" s="6"/>
    </row>
    <row r="644" ht="15.75" customHeight="1">
      <c r="S644" s="97"/>
      <c r="X644" s="6"/>
    </row>
    <row r="645" ht="15.75" customHeight="1">
      <c r="S645" s="97"/>
      <c r="X645" s="6"/>
    </row>
    <row r="646" ht="15.75" customHeight="1">
      <c r="S646" s="97"/>
      <c r="X646" s="6"/>
    </row>
    <row r="647" ht="15.75" customHeight="1">
      <c r="S647" s="97"/>
      <c r="X647" s="6"/>
    </row>
    <row r="648" ht="15.75" customHeight="1">
      <c r="S648" s="97"/>
      <c r="X648" s="6"/>
    </row>
    <row r="649" ht="15.75" customHeight="1">
      <c r="S649" s="97"/>
      <c r="X649" s="6"/>
    </row>
    <row r="650" ht="15.75" customHeight="1">
      <c r="S650" s="97"/>
      <c r="X650" s="6"/>
    </row>
    <row r="651" ht="15.75" customHeight="1">
      <c r="S651" s="97"/>
      <c r="X651" s="6"/>
    </row>
    <row r="652" ht="15.75" customHeight="1">
      <c r="S652" s="97"/>
      <c r="X652" s="6"/>
    </row>
    <row r="653" ht="15.75" customHeight="1">
      <c r="S653" s="97"/>
      <c r="X653" s="6"/>
    </row>
    <row r="654" ht="15.75" customHeight="1">
      <c r="S654" s="97"/>
      <c r="X654" s="6"/>
    </row>
    <row r="655" ht="15.75" customHeight="1">
      <c r="S655" s="97"/>
      <c r="X655" s="6"/>
    </row>
    <row r="656" ht="15.75" customHeight="1">
      <c r="S656" s="97"/>
      <c r="X656" s="6"/>
    </row>
    <row r="657" ht="15.75" customHeight="1">
      <c r="S657" s="97"/>
      <c r="X657" s="6"/>
    </row>
    <row r="658" ht="15.75" customHeight="1">
      <c r="S658" s="97"/>
      <c r="X658" s="6"/>
    </row>
    <row r="659" ht="15.75" customHeight="1">
      <c r="S659" s="97"/>
      <c r="X659" s="6"/>
    </row>
    <row r="660" ht="15.75" customHeight="1">
      <c r="S660" s="97"/>
      <c r="X660" s="6"/>
    </row>
    <row r="661" ht="15.75" customHeight="1">
      <c r="S661" s="97"/>
      <c r="X661" s="6"/>
    </row>
    <row r="662" ht="15.75" customHeight="1">
      <c r="S662" s="97"/>
      <c r="X662" s="6"/>
    </row>
    <row r="663" ht="15.75" customHeight="1">
      <c r="S663" s="97"/>
      <c r="X663" s="6"/>
    </row>
    <row r="664" ht="15.75" customHeight="1">
      <c r="S664" s="97"/>
      <c r="X664" s="6"/>
    </row>
    <row r="665" ht="15.75" customHeight="1">
      <c r="S665" s="97"/>
      <c r="X665" s="6"/>
    </row>
    <row r="666" ht="15.75" customHeight="1">
      <c r="S666" s="97"/>
      <c r="X666" s="6"/>
    </row>
    <row r="667" ht="15.75" customHeight="1">
      <c r="S667" s="97"/>
      <c r="X667" s="6"/>
    </row>
    <row r="668" ht="15.75" customHeight="1">
      <c r="S668" s="97"/>
      <c r="X668" s="6"/>
    </row>
    <row r="669" ht="15.75" customHeight="1">
      <c r="S669" s="97"/>
      <c r="X669" s="6"/>
    </row>
    <row r="670" ht="15.75" customHeight="1">
      <c r="S670" s="97"/>
      <c r="X670" s="6"/>
    </row>
    <row r="671" ht="15.75" customHeight="1">
      <c r="S671" s="97"/>
      <c r="X671" s="6"/>
    </row>
    <row r="672" ht="15.75" customHeight="1">
      <c r="S672" s="97"/>
      <c r="X672" s="6"/>
    </row>
    <row r="673" ht="15.75" customHeight="1">
      <c r="S673" s="97"/>
      <c r="X673" s="6"/>
    </row>
    <row r="674" ht="15.75" customHeight="1">
      <c r="S674" s="97"/>
      <c r="X674" s="6"/>
    </row>
    <row r="675" ht="15.75" customHeight="1">
      <c r="S675" s="97"/>
      <c r="X675" s="6"/>
    </row>
    <row r="676" ht="15.75" customHeight="1">
      <c r="S676" s="97"/>
      <c r="X676" s="6"/>
    </row>
    <row r="677" ht="15.75" customHeight="1">
      <c r="S677" s="97"/>
      <c r="X677" s="6"/>
    </row>
    <row r="678" ht="15.75" customHeight="1">
      <c r="S678" s="97"/>
      <c r="X678" s="6"/>
    </row>
    <row r="679" ht="15.75" customHeight="1">
      <c r="S679" s="97"/>
      <c r="X679" s="6"/>
    </row>
    <row r="680" ht="15.75" customHeight="1">
      <c r="S680" s="97"/>
      <c r="X680" s="6"/>
    </row>
    <row r="681" ht="15.75" customHeight="1">
      <c r="S681" s="97"/>
      <c r="X681" s="6"/>
    </row>
    <row r="682" ht="15.75" customHeight="1">
      <c r="S682" s="97"/>
      <c r="X682" s="6"/>
    </row>
    <row r="683" ht="15.75" customHeight="1">
      <c r="S683" s="97"/>
      <c r="X683" s="6"/>
    </row>
    <row r="684" ht="15.75" customHeight="1">
      <c r="S684" s="97"/>
      <c r="X684" s="6"/>
    </row>
    <row r="685" ht="15.75" customHeight="1">
      <c r="S685" s="97"/>
      <c r="X685" s="6"/>
    </row>
    <row r="686" ht="15.75" customHeight="1">
      <c r="S686" s="97"/>
      <c r="X686" s="6"/>
    </row>
    <row r="687" ht="15.75" customHeight="1">
      <c r="S687" s="97"/>
      <c r="X687" s="6"/>
    </row>
    <row r="688" ht="15.75" customHeight="1">
      <c r="S688" s="97"/>
      <c r="X688" s="6"/>
    </row>
    <row r="689" ht="15.75" customHeight="1">
      <c r="S689" s="97"/>
      <c r="X689" s="6"/>
    </row>
    <row r="690" ht="15.75" customHeight="1">
      <c r="S690" s="97"/>
      <c r="X690" s="6"/>
    </row>
    <row r="691" ht="15.75" customHeight="1">
      <c r="S691" s="97"/>
      <c r="X691" s="6"/>
    </row>
    <row r="692" ht="15.75" customHeight="1">
      <c r="S692" s="97"/>
      <c r="X692" s="6"/>
    </row>
    <row r="693" ht="15.75" customHeight="1">
      <c r="S693" s="97"/>
      <c r="X693" s="6"/>
    </row>
    <row r="694" ht="15.75" customHeight="1">
      <c r="S694" s="97"/>
      <c r="X694" s="6"/>
    </row>
    <row r="695" ht="15.75" customHeight="1">
      <c r="S695" s="97"/>
      <c r="X695" s="6"/>
    </row>
    <row r="696" ht="15.75" customHeight="1">
      <c r="S696" s="97"/>
      <c r="X696" s="6"/>
    </row>
    <row r="697" ht="15.75" customHeight="1">
      <c r="S697" s="97"/>
      <c r="X697" s="6"/>
    </row>
    <row r="698" ht="15.75" customHeight="1">
      <c r="S698" s="97"/>
      <c r="X698" s="6"/>
    </row>
    <row r="699" ht="15.75" customHeight="1">
      <c r="S699" s="97"/>
      <c r="X699" s="6"/>
    </row>
    <row r="700" ht="15.75" customHeight="1">
      <c r="S700" s="97"/>
      <c r="X700" s="6"/>
    </row>
    <row r="701" ht="15.75" customHeight="1">
      <c r="S701" s="97"/>
      <c r="X701" s="6"/>
    </row>
    <row r="702" ht="15.75" customHeight="1">
      <c r="S702" s="97"/>
      <c r="X702" s="6"/>
    </row>
    <row r="703" ht="15.75" customHeight="1">
      <c r="S703" s="97"/>
      <c r="X703" s="6"/>
    </row>
    <row r="704" ht="15.75" customHeight="1">
      <c r="S704" s="97"/>
      <c r="X704" s="6"/>
    </row>
    <row r="705" ht="15.75" customHeight="1">
      <c r="S705" s="97"/>
      <c r="X705" s="6"/>
    </row>
    <row r="706" ht="15.75" customHeight="1">
      <c r="S706" s="97"/>
      <c r="X706" s="6"/>
    </row>
    <row r="707" ht="15.75" customHeight="1">
      <c r="S707" s="97"/>
      <c r="X707" s="6"/>
    </row>
    <row r="708" ht="15.75" customHeight="1">
      <c r="S708" s="97"/>
      <c r="X708" s="6"/>
    </row>
    <row r="709" ht="15.75" customHeight="1">
      <c r="S709" s="97"/>
      <c r="X709" s="6"/>
    </row>
    <row r="710" ht="15.75" customHeight="1">
      <c r="S710" s="97"/>
      <c r="X710" s="6"/>
    </row>
    <row r="711" ht="15.75" customHeight="1">
      <c r="S711" s="97"/>
      <c r="X711" s="6"/>
    </row>
    <row r="712" ht="15.75" customHeight="1">
      <c r="S712" s="97"/>
      <c r="X712" s="6"/>
    </row>
    <row r="713" ht="15.75" customHeight="1">
      <c r="S713" s="97"/>
      <c r="X713" s="6"/>
    </row>
    <row r="714" ht="15.75" customHeight="1">
      <c r="S714" s="97"/>
      <c r="X714" s="6"/>
    </row>
    <row r="715" ht="15.75" customHeight="1">
      <c r="S715" s="97"/>
      <c r="X715" s="6"/>
    </row>
    <row r="716" ht="15.75" customHeight="1">
      <c r="S716" s="97"/>
      <c r="X716" s="6"/>
    </row>
    <row r="717" ht="15.75" customHeight="1">
      <c r="S717" s="97"/>
      <c r="X717" s="6"/>
    </row>
    <row r="718" ht="15.75" customHeight="1">
      <c r="S718" s="97"/>
      <c r="X718" s="6"/>
    </row>
    <row r="719" ht="15.75" customHeight="1">
      <c r="S719" s="97"/>
      <c r="X719" s="6"/>
    </row>
    <row r="720" ht="15.75" customHeight="1">
      <c r="S720" s="97"/>
      <c r="X720" s="6"/>
    </row>
    <row r="721" ht="15.75" customHeight="1">
      <c r="S721" s="97"/>
      <c r="X721" s="6"/>
    </row>
    <row r="722" ht="15.75" customHeight="1">
      <c r="S722" s="97"/>
      <c r="X722" s="6"/>
    </row>
    <row r="723" ht="15.75" customHeight="1">
      <c r="S723" s="97"/>
      <c r="X723" s="6"/>
    </row>
    <row r="724" ht="15.75" customHeight="1">
      <c r="S724" s="97"/>
      <c r="X724" s="6"/>
    </row>
    <row r="725" ht="15.75" customHeight="1">
      <c r="S725" s="97"/>
      <c r="X725" s="6"/>
    </row>
    <row r="726" ht="15.75" customHeight="1">
      <c r="S726" s="97"/>
      <c r="X726" s="6"/>
    </row>
    <row r="727" ht="15.75" customHeight="1">
      <c r="S727" s="97"/>
      <c r="X727" s="6"/>
    </row>
    <row r="728" ht="15.75" customHeight="1">
      <c r="S728" s="97"/>
      <c r="X728" s="6"/>
    </row>
    <row r="729" ht="15.75" customHeight="1">
      <c r="S729" s="97"/>
      <c r="X729" s="6"/>
    </row>
    <row r="730" ht="15.75" customHeight="1">
      <c r="S730" s="97"/>
      <c r="X730" s="6"/>
    </row>
    <row r="731" ht="15.75" customHeight="1">
      <c r="S731" s="97"/>
      <c r="X731" s="6"/>
    </row>
    <row r="732" ht="15.75" customHeight="1">
      <c r="S732" s="97"/>
      <c r="X732" s="6"/>
    </row>
    <row r="733" ht="15.75" customHeight="1">
      <c r="S733" s="97"/>
      <c r="X733" s="6"/>
    </row>
    <row r="734" ht="15.75" customHeight="1">
      <c r="S734" s="97"/>
      <c r="X734" s="6"/>
    </row>
    <row r="735" ht="15.75" customHeight="1">
      <c r="S735" s="97"/>
      <c r="X735" s="6"/>
    </row>
    <row r="736" ht="15.75" customHeight="1">
      <c r="S736" s="97"/>
      <c r="X736" s="6"/>
    </row>
    <row r="737" ht="15.75" customHeight="1">
      <c r="S737" s="97"/>
      <c r="X737" s="6"/>
    </row>
    <row r="738" ht="15.75" customHeight="1">
      <c r="S738" s="97"/>
      <c r="X738" s="6"/>
    </row>
    <row r="739" ht="15.75" customHeight="1">
      <c r="S739" s="97"/>
      <c r="X739" s="6"/>
    </row>
    <row r="740" ht="15.75" customHeight="1">
      <c r="S740" s="97"/>
      <c r="X740" s="6"/>
    </row>
    <row r="741" ht="15.75" customHeight="1">
      <c r="S741" s="97"/>
      <c r="X741" s="6"/>
    </row>
    <row r="742" ht="15.75" customHeight="1">
      <c r="S742" s="97"/>
      <c r="X742" s="6"/>
    </row>
    <row r="743" ht="15.75" customHeight="1">
      <c r="S743" s="97"/>
      <c r="X743" s="6"/>
    </row>
    <row r="744" ht="15.75" customHeight="1">
      <c r="S744" s="97"/>
      <c r="X744" s="6"/>
    </row>
    <row r="745" ht="15.75" customHeight="1">
      <c r="S745" s="97"/>
      <c r="X745" s="6"/>
    </row>
    <row r="746" ht="15.75" customHeight="1">
      <c r="S746" s="97"/>
      <c r="X746" s="6"/>
    </row>
    <row r="747" ht="15.75" customHeight="1">
      <c r="S747" s="97"/>
      <c r="X747" s="6"/>
    </row>
    <row r="748" ht="15.75" customHeight="1">
      <c r="S748" s="97"/>
      <c r="X748" s="6"/>
    </row>
    <row r="749" ht="15.75" customHeight="1">
      <c r="S749" s="97"/>
      <c r="X749" s="6"/>
    </row>
    <row r="750" ht="15.75" customHeight="1">
      <c r="S750" s="97"/>
      <c r="X750" s="6"/>
    </row>
    <row r="751" ht="15.75" customHeight="1">
      <c r="S751" s="97"/>
      <c r="X751" s="6"/>
    </row>
    <row r="752" ht="15.75" customHeight="1">
      <c r="S752" s="97"/>
      <c r="X752" s="6"/>
    </row>
    <row r="753" ht="15.75" customHeight="1">
      <c r="S753" s="97"/>
      <c r="X753" s="6"/>
    </row>
    <row r="754" ht="15.75" customHeight="1">
      <c r="S754" s="97"/>
      <c r="X754" s="6"/>
    </row>
    <row r="755" ht="15.75" customHeight="1">
      <c r="S755" s="97"/>
      <c r="X755" s="6"/>
    </row>
    <row r="756" ht="15.75" customHeight="1">
      <c r="S756" s="97"/>
      <c r="X756" s="6"/>
    </row>
    <row r="757" ht="15.75" customHeight="1">
      <c r="S757" s="97"/>
      <c r="X757" s="6"/>
    </row>
    <row r="758" ht="15.75" customHeight="1">
      <c r="S758" s="97"/>
      <c r="X758" s="6"/>
    </row>
    <row r="759" ht="15.75" customHeight="1">
      <c r="S759" s="97"/>
      <c r="X759" s="6"/>
    </row>
    <row r="760" ht="15.75" customHeight="1">
      <c r="S760" s="97"/>
      <c r="X760" s="6"/>
    </row>
    <row r="761" ht="15.75" customHeight="1">
      <c r="S761" s="97"/>
      <c r="X761" s="6"/>
    </row>
    <row r="762" ht="15.75" customHeight="1">
      <c r="S762" s="97"/>
      <c r="X762" s="6"/>
    </row>
    <row r="763" ht="15.75" customHeight="1">
      <c r="S763" s="97"/>
      <c r="X763" s="6"/>
    </row>
    <row r="764" ht="15.75" customHeight="1">
      <c r="S764" s="97"/>
      <c r="X764" s="6"/>
    </row>
    <row r="765" ht="15.75" customHeight="1">
      <c r="S765" s="97"/>
      <c r="X765" s="6"/>
    </row>
    <row r="766" ht="15.75" customHeight="1">
      <c r="S766" s="97"/>
      <c r="X766" s="6"/>
    </row>
    <row r="767" ht="15.75" customHeight="1">
      <c r="S767" s="97"/>
      <c r="X767" s="6"/>
    </row>
    <row r="768" ht="15.75" customHeight="1">
      <c r="S768" s="97"/>
      <c r="X768" s="6"/>
    </row>
    <row r="769" ht="15.75" customHeight="1">
      <c r="S769" s="97"/>
      <c r="X769" s="6"/>
    </row>
    <row r="770" ht="15.75" customHeight="1">
      <c r="S770" s="97"/>
      <c r="X770" s="6"/>
    </row>
    <row r="771" ht="15.75" customHeight="1">
      <c r="S771" s="97"/>
      <c r="X771" s="6"/>
    </row>
    <row r="772" ht="15.75" customHeight="1">
      <c r="S772" s="97"/>
      <c r="X772" s="6"/>
    </row>
    <row r="773" ht="15.75" customHeight="1">
      <c r="S773" s="97"/>
      <c r="X773" s="6"/>
    </row>
    <row r="774" ht="15.75" customHeight="1">
      <c r="S774" s="97"/>
      <c r="X774" s="6"/>
    </row>
    <row r="775" ht="15.75" customHeight="1">
      <c r="S775" s="97"/>
      <c r="X775" s="6"/>
    </row>
    <row r="776" ht="15.75" customHeight="1">
      <c r="S776" s="97"/>
      <c r="X776" s="6"/>
    </row>
    <row r="777" ht="15.75" customHeight="1">
      <c r="S777" s="97"/>
      <c r="X777" s="6"/>
    </row>
    <row r="778" ht="15.75" customHeight="1">
      <c r="S778" s="97"/>
      <c r="X778" s="6"/>
    </row>
    <row r="779" ht="15.75" customHeight="1">
      <c r="S779" s="97"/>
      <c r="X779" s="6"/>
    </row>
    <row r="780" ht="15.75" customHeight="1">
      <c r="S780" s="97"/>
      <c r="X780" s="6"/>
    </row>
    <row r="781" ht="15.75" customHeight="1">
      <c r="S781" s="97"/>
      <c r="X781" s="6"/>
    </row>
    <row r="782" ht="15.75" customHeight="1">
      <c r="S782" s="97"/>
      <c r="X782" s="6"/>
    </row>
    <row r="783" ht="15.75" customHeight="1">
      <c r="S783" s="97"/>
      <c r="X783" s="6"/>
    </row>
    <row r="784" ht="15.75" customHeight="1">
      <c r="S784" s="97"/>
      <c r="X784" s="6"/>
    </row>
    <row r="785" ht="15.75" customHeight="1">
      <c r="S785" s="97"/>
      <c r="X785" s="6"/>
    </row>
    <row r="786" ht="15.75" customHeight="1">
      <c r="S786" s="97"/>
      <c r="X786" s="6"/>
    </row>
    <row r="787" ht="15.75" customHeight="1">
      <c r="S787" s="97"/>
      <c r="X787" s="6"/>
    </row>
    <row r="788" ht="15.75" customHeight="1">
      <c r="S788" s="97"/>
      <c r="X788" s="6"/>
    </row>
    <row r="789" ht="15.75" customHeight="1">
      <c r="S789" s="97"/>
      <c r="X789" s="6"/>
    </row>
    <row r="790" ht="15.75" customHeight="1">
      <c r="S790" s="97"/>
      <c r="X790" s="6"/>
    </row>
    <row r="791" ht="15.75" customHeight="1">
      <c r="S791" s="97"/>
      <c r="X791" s="6"/>
    </row>
    <row r="792" ht="15.75" customHeight="1">
      <c r="S792" s="97"/>
      <c r="X792" s="6"/>
    </row>
    <row r="793" ht="15.75" customHeight="1">
      <c r="S793" s="97"/>
      <c r="X793" s="6"/>
    </row>
    <row r="794" ht="15.75" customHeight="1">
      <c r="S794" s="97"/>
      <c r="X794" s="6"/>
    </row>
    <row r="795" ht="15.75" customHeight="1">
      <c r="S795" s="97"/>
      <c r="X795" s="6"/>
    </row>
    <row r="796" ht="15.75" customHeight="1">
      <c r="S796" s="97"/>
      <c r="X796" s="6"/>
    </row>
    <row r="797" ht="15.75" customHeight="1">
      <c r="S797" s="97"/>
      <c r="X797" s="6"/>
    </row>
    <row r="798" ht="15.75" customHeight="1">
      <c r="S798" s="97"/>
      <c r="X798" s="6"/>
    </row>
    <row r="799" ht="15.75" customHeight="1">
      <c r="S799" s="97"/>
      <c r="X799" s="6"/>
    </row>
    <row r="800" ht="15.75" customHeight="1">
      <c r="S800" s="97"/>
      <c r="X800" s="6"/>
    </row>
    <row r="801" ht="15.75" customHeight="1">
      <c r="S801" s="97"/>
      <c r="X801" s="6"/>
    </row>
    <row r="802" ht="15.75" customHeight="1">
      <c r="S802" s="97"/>
      <c r="X802" s="6"/>
    </row>
    <row r="803" ht="15.75" customHeight="1">
      <c r="S803" s="97"/>
      <c r="X803" s="6"/>
    </row>
    <row r="804" ht="15.75" customHeight="1">
      <c r="S804" s="97"/>
      <c r="X804" s="6"/>
    </row>
    <row r="805" ht="15.75" customHeight="1">
      <c r="S805" s="97"/>
      <c r="X805" s="6"/>
    </row>
    <row r="806" ht="15.75" customHeight="1">
      <c r="S806" s="97"/>
      <c r="X806" s="6"/>
    </row>
    <row r="807" ht="15.75" customHeight="1">
      <c r="S807" s="97"/>
      <c r="X807" s="6"/>
    </row>
    <row r="808" ht="15.75" customHeight="1">
      <c r="S808" s="97"/>
      <c r="X808" s="6"/>
    </row>
    <row r="809" ht="15.75" customHeight="1">
      <c r="S809" s="97"/>
      <c r="X809" s="6"/>
    </row>
    <row r="810" ht="15.75" customHeight="1">
      <c r="S810" s="97"/>
      <c r="X810" s="6"/>
    </row>
    <row r="811" ht="15.75" customHeight="1">
      <c r="S811" s="97"/>
      <c r="X811" s="6"/>
    </row>
    <row r="812" ht="15.75" customHeight="1">
      <c r="S812" s="97"/>
      <c r="X812" s="6"/>
    </row>
    <row r="813" ht="15.75" customHeight="1">
      <c r="S813" s="97"/>
      <c r="X813" s="6"/>
    </row>
    <row r="814" ht="15.75" customHeight="1">
      <c r="S814" s="97"/>
      <c r="X814" s="6"/>
    </row>
    <row r="815" ht="15.75" customHeight="1">
      <c r="S815" s="97"/>
      <c r="X815" s="6"/>
    </row>
    <row r="816" ht="15.75" customHeight="1">
      <c r="S816" s="97"/>
      <c r="X816" s="6"/>
    </row>
    <row r="817" ht="15.75" customHeight="1">
      <c r="S817" s="97"/>
      <c r="X817" s="6"/>
    </row>
    <row r="818" ht="15.75" customHeight="1">
      <c r="S818" s="97"/>
      <c r="X818" s="6"/>
    </row>
    <row r="819" ht="15.75" customHeight="1">
      <c r="S819" s="97"/>
      <c r="X819" s="6"/>
    </row>
    <row r="820" ht="15.75" customHeight="1">
      <c r="S820" s="97"/>
      <c r="X820" s="6"/>
    </row>
    <row r="821" ht="15.75" customHeight="1">
      <c r="S821" s="97"/>
      <c r="X821" s="6"/>
    </row>
    <row r="822" ht="15.75" customHeight="1">
      <c r="S822" s="97"/>
      <c r="X822" s="6"/>
    </row>
    <row r="823" ht="15.75" customHeight="1">
      <c r="S823" s="97"/>
      <c r="X823" s="6"/>
    </row>
    <row r="824" ht="15.75" customHeight="1">
      <c r="S824" s="97"/>
      <c r="X824" s="6"/>
    </row>
    <row r="825" ht="15.75" customHeight="1">
      <c r="S825" s="97"/>
      <c r="X825" s="6"/>
    </row>
    <row r="826" ht="15.75" customHeight="1">
      <c r="S826" s="97"/>
      <c r="X826" s="6"/>
    </row>
    <row r="827" ht="15.75" customHeight="1">
      <c r="S827" s="97"/>
      <c r="X827" s="6"/>
    </row>
    <row r="828" ht="15.75" customHeight="1">
      <c r="S828" s="97"/>
      <c r="X828" s="6"/>
    </row>
    <row r="829" ht="15.75" customHeight="1">
      <c r="S829" s="97"/>
      <c r="X829" s="6"/>
    </row>
    <row r="830" ht="15.75" customHeight="1">
      <c r="S830" s="97"/>
      <c r="X830" s="6"/>
    </row>
    <row r="831" ht="15.75" customHeight="1">
      <c r="S831" s="97"/>
      <c r="X831" s="6"/>
    </row>
    <row r="832" ht="15.75" customHeight="1">
      <c r="S832" s="97"/>
      <c r="X832" s="6"/>
    </row>
    <row r="833" ht="15.75" customHeight="1">
      <c r="S833" s="97"/>
      <c r="X833" s="6"/>
    </row>
    <row r="834" ht="15.75" customHeight="1">
      <c r="S834" s="97"/>
      <c r="X834" s="6"/>
    </row>
    <row r="835" ht="15.75" customHeight="1">
      <c r="S835" s="97"/>
      <c r="X835" s="6"/>
    </row>
    <row r="836" ht="15.75" customHeight="1">
      <c r="S836" s="97"/>
      <c r="X836" s="6"/>
    </row>
    <row r="837" ht="15.75" customHeight="1">
      <c r="S837" s="97"/>
      <c r="X837" s="6"/>
    </row>
    <row r="838" ht="15.75" customHeight="1">
      <c r="S838" s="97"/>
      <c r="X838" s="6"/>
    </row>
    <row r="839" ht="15.75" customHeight="1">
      <c r="S839" s="97"/>
      <c r="X839" s="6"/>
    </row>
    <row r="840" ht="15.75" customHeight="1">
      <c r="S840" s="97"/>
      <c r="X840" s="6"/>
    </row>
    <row r="841" ht="15.75" customHeight="1">
      <c r="S841" s="97"/>
      <c r="X841" s="6"/>
    </row>
    <row r="842" ht="15.75" customHeight="1">
      <c r="S842" s="97"/>
      <c r="X842" s="6"/>
    </row>
    <row r="843" ht="15.75" customHeight="1">
      <c r="S843" s="97"/>
      <c r="X843" s="6"/>
    </row>
    <row r="844" ht="15.75" customHeight="1">
      <c r="S844" s="97"/>
      <c r="X844" s="6"/>
    </row>
    <row r="845" ht="15.75" customHeight="1">
      <c r="S845" s="97"/>
      <c r="X845" s="6"/>
    </row>
    <row r="846" ht="15.75" customHeight="1">
      <c r="S846" s="97"/>
      <c r="X846" s="6"/>
    </row>
    <row r="847" ht="15.75" customHeight="1">
      <c r="S847" s="97"/>
      <c r="X847" s="6"/>
    </row>
    <row r="848" ht="15.75" customHeight="1">
      <c r="S848" s="97"/>
      <c r="X848" s="6"/>
    </row>
    <row r="849" ht="15.75" customHeight="1">
      <c r="S849" s="97"/>
      <c r="X849" s="6"/>
    </row>
    <row r="850" ht="15.75" customHeight="1">
      <c r="S850" s="97"/>
      <c r="X850" s="6"/>
    </row>
    <row r="851" ht="15.75" customHeight="1">
      <c r="S851" s="97"/>
      <c r="X851" s="6"/>
    </row>
    <row r="852" ht="15.75" customHeight="1">
      <c r="S852" s="97"/>
      <c r="X852" s="6"/>
    </row>
    <row r="853" ht="15.75" customHeight="1">
      <c r="S853" s="97"/>
      <c r="X853" s="6"/>
    </row>
    <row r="854" ht="15.75" customHeight="1">
      <c r="S854" s="97"/>
      <c r="X854" s="6"/>
    </row>
    <row r="855" ht="15.75" customHeight="1">
      <c r="S855" s="97"/>
      <c r="X855" s="6"/>
    </row>
    <row r="856" ht="15.75" customHeight="1">
      <c r="S856" s="97"/>
      <c r="X856" s="6"/>
    </row>
    <row r="857" ht="15.75" customHeight="1">
      <c r="S857" s="97"/>
      <c r="X857" s="6"/>
    </row>
    <row r="858" ht="15.75" customHeight="1">
      <c r="S858" s="97"/>
      <c r="X858" s="6"/>
    </row>
    <row r="859" ht="15.75" customHeight="1">
      <c r="S859" s="97"/>
      <c r="X859" s="6"/>
    </row>
    <row r="860" ht="15.75" customHeight="1">
      <c r="S860" s="97"/>
      <c r="X860" s="6"/>
    </row>
    <row r="861" ht="15.75" customHeight="1">
      <c r="S861" s="97"/>
      <c r="X861" s="6"/>
    </row>
    <row r="862" ht="15.75" customHeight="1">
      <c r="S862" s="97"/>
      <c r="X862" s="6"/>
    </row>
    <row r="863" ht="15.75" customHeight="1">
      <c r="S863" s="97"/>
      <c r="X863" s="6"/>
    </row>
    <row r="864" ht="15.75" customHeight="1">
      <c r="S864" s="97"/>
      <c r="X864" s="6"/>
    </row>
    <row r="865" ht="15.75" customHeight="1">
      <c r="S865" s="97"/>
      <c r="X865" s="6"/>
    </row>
    <row r="866" ht="15.75" customHeight="1">
      <c r="S866" s="97"/>
      <c r="X866" s="6"/>
    </row>
    <row r="867" ht="15.75" customHeight="1">
      <c r="S867" s="97"/>
      <c r="X867" s="6"/>
    </row>
    <row r="868" ht="15.75" customHeight="1">
      <c r="S868" s="97"/>
      <c r="X868" s="6"/>
    </row>
    <row r="869" ht="15.75" customHeight="1">
      <c r="S869" s="97"/>
      <c r="X869" s="6"/>
    </row>
    <row r="870" ht="15.75" customHeight="1">
      <c r="S870" s="97"/>
      <c r="X870" s="6"/>
    </row>
    <row r="871" ht="15.75" customHeight="1">
      <c r="S871" s="97"/>
      <c r="X871" s="6"/>
    </row>
    <row r="872" ht="15.75" customHeight="1">
      <c r="S872" s="97"/>
      <c r="X872" s="6"/>
    </row>
    <row r="873" ht="15.75" customHeight="1">
      <c r="S873" s="97"/>
      <c r="X873" s="6"/>
    </row>
    <row r="874" ht="15.75" customHeight="1">
      <c r="S874" s="97"/>
      <c r="X874" s="6"/>
    </row>
    <row r="875" ht="15.75" customHeight="1">
      <c r="S875" s="97"/>
      <c r="X875" s="6"/>
    </row>
    <row r="876" ht="15.75" customHeight="1">
      <c r="S876" s="97"/>
      <c r="X876" s="6"/>
    </row>
    <row r="877" ht="15.75" customHeight="1">
      <c r="S877" s="97"/>
      <c r="X877" s="6"/>
    </row>
    <row r="878" ht="15.75" customHeight="1">
      <c r="S878" s="97"/>
      <c r="X878" s="6"/>
    </row>
    <row r="879" ht="15.75" customHeight="1">
      <c r="S879" s="97"/>
      <c r="X879" s="6"/>
    </row>
    <row r="880" ht="15.75" customHeight="1">
      <c r="S880" s="97"/>
      <c r="X880" s="6"/>
    </row>
    <row r="881" ht="15.75" customHeight="1">
      <c r="S881" s="97"/>
      <c r="X881" s="6"/>
    </row>
    <row r="882" ht="15.75" customHeight="1">
      <c r="S882" s="97"/>
      <c r="X882" s="6"/>
    </row>
    <row r="883" ht="15.75" customHeight="1">
      <c r="S883" s="97"/>
      <c r="X883" s="6"/>
    </row>
    <row r="884" ht="15.75" customHeight="1">
      <c r="S884" s="97"/>
      <c r="X884" s="6"/>
    </row>
    <row r="885" ht="15.75" customHeight="1">
      <c r="S885" s="97"/>
      <c r="X885" s="6"/>
    </row>
    <row r="886" ht="15.75" customHeight="1">
      <c r="S886" s="97"/>
      <c r="X886" s="6"/>
    </row>
    <row r="887" ht="15.75" customHeight="1">
      <c r="S887" s="97"/>
      <c r="X887" s="6"/>
    </row>
    <row r="888" ht="15.75" customHeight="1">
      <c r="S888" s="97"/>
      <c r="X888" s="6"/>
    </row>
    <row r="889" ht="15.75" customHeight="1">
      <c r="S889" s="97"/>
      <c r="X889" s="6"/>
    </row>
    <row r="890" ht="15.75" customHeight="1">
      <c r="S890" s="97"/>
      <c r="X890" s="6"/>
    </row>
    <row r="891" ht="15.75" customHeight="1">
      <c r="S891" s="97"/>
      <c r="X891" s="6"/>
    </row>
    <row r="892" ht="15.75" customHeight="1">
      <c r="S892" s="97"/>
      <c r="X892" s="6"/>
    </row>
    <row r="893" ht="15.75" customHeight="1">
      <c r="S893" s="97"/>
      <c r="X893" s="6"/>
    </row>
    <row r="894" ht="15.75" customHeight="1">
      <c r="S894" s="97"/>
      <c r="X894" s="6"/>
    </row>
    <row r="895" ht="15.75" customHeight="1">
      <c r="S895" s="97"/>
      <c r="X895" s="6"/>
    </row>
    <row r="896" ht="15.75" customHeight="1">
      <c r="S896" s="97"/>
      <c r="X896" s="6"/>
    </row>
    <row r="897" ht="15.75" customHeight="1">
      <c r="S897" s="97"/>
      <c r="X897" s="6"/>
    </row>
    <row r="898" ht="15.75" customHeight="1">
      <c r="S898" s="97"/>
      <c r="X898" s="6"/>
    </row>
    <row r="899" ht="15.75" customHeight="1">
      <c r="S899" s="97"/>
      <c r="X899" s="6"/>
    </row>
    <row r="900" ht="15.75" customHeight="1">
      <c r="S900" s="97"/>
      <c r="X900" s="6"/>
    </row>
    <row r="901" ht="15.75" customHeight="1">
      <c r="S901" s="97"/>
      <c r="X901" s="6"/>
    </row>
    <row r="902" ht="15.75" customHeight="1">
      <c r="S902" s="97"/>
      <c r="X902" s="6"/>
    </row>
    <row r="903" ht="15.75" customHeight="1">
      <c r="S903" s="97"/>
      <c r="X903" s="6"/>
    </row>
    <row r="904" ht="15.75" customHeight="1">
      <c r="S904" s="97"/>
      <c r="X904" s="6"/>
    </row>
    <row r="905" ht="15.75" customHeight="1">
      <c r="S905" s="97"/>
      <c r="X905" s="6"/>
    </row>
    <row r="906" ht="15.75" customHeight="1">
      <c r="S906" s="97"/>
      <c r="X906" s="6"/>
    </row>
    <row r="907" ht="15.75" customHeight="1">
      <c r="S907" s="97"/>
      <c r="X907" s="6"/>
    </row>
    <row r="908" ht="15.75" customHeight="1">
      <c r="S908" s="97"/>
      <c r="X908" s="6"/>
    </row>
    <row r="909" ht="15.75" customHeight="1">
      <c r="S909" s="97"/>
      <c r="X909" s="6"/>
    </row>
    <row r="910" ht="15.75" customHeight="1">
      <c r="S910" s="97"/>
      <c r="X910" s="6"/>
    </row>
    <row r="911" ht="15.75" customHeight="1">
      <c r="S911" s="97"/>
      <c r="X911" s="6"/>
    </row>
    <row r="912" ht="15.75" customHeight="1">
      <c r="S912" s="97"/>
      <c r="X912" s="6"/>
    </row>
    <row r="913" ht="15.75" customHeight="1">
      <c r="S913" s="97"/>
      <c r="X913" s="6"/>
    </row>
    <row r="914" ht="15.75" customHeight="1">
      <c r="S914" s="97"/>
      <c r="X914" s="6"/>
    </row>
    <row r="915" ht="15.75" customHeight="1">
      <c r="S915" s="97"/>
      <c r="X915" s="6"/>
    </row>
    <row r="916" ht="15.75" customHeight="1">
      <c r="S916" s="97"/>
      <c r="X916" s="6"/>
    </row>
    <row r="917" ht="15.75" customHeight="1">
      <c r="S917" s="97"/>
      <c r="X917" s="6"/>
    </row>
    <row r="918" ht="15.75" customHeight="1">
      <c r="S918" s="97"/>
      <c r="X918" s="6"/>
    </row>
    <row r="919" ht="15.75" customHeight="1">
      <c r="S919" s="97"/>
      <c r="X919" s="6"/>
    </row>
    <row r="920" ht="15.75" customHeight="1">
      <c r="S920" s="97"/>
      <c r="X920" s="6"/>
    </row>
    <row r="921" ht="15.75" customHeight="1">
      <c r="S921" s="97"/>
      <c r="X921" s="6"/>
    </row>
    <row r="922" ht="15.75" customHeight="1">
      <c r="S922" s="97"/>
      <c r="X922" s="6"/>
    </row>
    <row r="923" ht="15.75" customHeight="1">
      <c r="S923" s="97"/>
      <c r="X923" s="6"/>
    </row>
    <row r="924" ht="15.75" customHeight="1">
      <c r="S924" s="97"/>
      <c r="X924" s="6"/>
    </row>
    <row r="925" ht="15.75" customHeight="1">
      <c r="S925" s="97"/>
      <c r="X925" s="6"/>
    </row>
    <row r="926" ht="15.75" customHeight="1">
      <c r="S926" s="97"/>
      <c r="X926" s="6"/>
    </row>
    <row r="927" ht="15.75" customHeight="1">
      <c r="S927" s="97"/>
      <c r="X927" s="6"/>
    </row>
    <row r="928" ht="15.75" customHeight="1">
      <c r="S928" s="97"/>
      <c r="X928" s="6"/>
    </row>
    <row r="929" ht="15.75" customHeight="1">
      <c r="S929" s="97"/>
      <c r="X929" s="6"/>
    </row>
    <row r="930" ht="15.75" customHeight="1">
      <c r="S930" s="97"/>
      <c r="X930" s="6"/>
    </row>
    <row r="931" ht="15.75" customHeight="1">
      <c r="S931" s="97"/>
      <c r="X931" s="6"/>
    </row>
    <row r="932" ht="15.75" customHeight="1">
      <c r="S932" s="97"/>
      <c r="X932" s="6"/>
    </row>
    <row r="933" ht="15.75" customHeight="1">
      <c r="S933" s="97"/>
      <c r="X933" s="6"/>
    </row>
    <row r="934" ht="15.75" customHeight="1">
      <c r="S934" s="97"/>
      <c r="X934" s="6"/>
    </row>
    <row r="935" ht="15.75" customHeight="1">
      <c r="S935" s="97"/>
      <c r="X935" s="6"/>
    </row>
    <row r="936" ht="15.75" customHeight="1">
      <c r="S936" s="97"/>
      <c r="X936" s="6"/>
    </row>
    <row r="937" ht="15.75" customHeight="1">
      <c r="S937" s="97"/>
      <c r="X937" s="6"/>
    </row>
    <row r="938" ht="15.75" customHeight="1">
      <c r="S938" s="97"/>
      <c r="X938" s="6"/>
    </row>
    <row r="939" ht="15.75" customHeight="1">
      <c r="S939" s="97"/>
      <c r="X939" s="6"/>
    </row>
    <row r="940" ht="15.75" customHeight="1">
      <c r="S940" s="97"/>
      <c r="X940" s="6"/>
    </row>
    <row r="941" ht="15.75" customHeight="1">
      <c r="S941" s="97"/>
      <c r="X941" s="6"/>
    </row>
    <row r="942" ht="15.75" customHeight="1">
      <c r="S942" s="97"/>
      <c r="X942" s="6"/>
    </row>
    <row r="943" ht="15.75" customHeight="1">
      <c r="S943" s="97"/>
      <c r="X943" s="6"/>
    </row>
    <row r="944" ht="15.75" customHeight="1">
      <c r="S944" s="97"/>
      <c r="X944" s="6"/>
    </row>
    <row r="945" ht="15.75" customHeight="1">
      <c r="S945" s="97"/>
      <c r="X945" s="6"/>
    </row>
    <row r="946" ht="15.75" customHeight="1">
      <c r="S946" s="97"/>
      <c r="X946" s="6"/>
    </row>
    <row r="947" ht="15.75" customHeight="1">
      <c r="S947" s="97"/>
      <c r="X947" s="6"/>
    </row>
    <row r="948" ht="15.75" customHeight="1">
      <c r="S948" s="97"/>
      <c r="X948" s="6"/>
    </row>
    <row r="949" ht="15.75" customHeight="1">
      <c r="S949" s="97"/>
      <c r="X949" s="6"/>
    </row>
    <row r="950" ht="15.75" customHeight="1">
      <c r="S950" s="97"/>
      <c r="X950" s="6"/>
    </row>
    <row r="951" ht="15.75" customHeight="1">
      <c r="S951" s="97"/>
      <c r="X951" s="6"/>
    </row>
    <row r="952" ht="15.75" customHeight="1">
      <c r="S952" s="97"/>
      <c r="X952" s="6"/>
    </row>
    <row r="953" ht="15.75" customHeight="1">
      <c r="S953" s="97"/>
      <c r="X953" s="6"/>
    </row>
    <row r="954" ht="15.75" customHeight="1">
      <c r="S954" s="97"/>
      <c r="X954" s="6"/>
    </row>
    <row r="955" ht="15.75" customHeight="1">
      <c r="S955" s="97"/>
      <c r="X955" s="6"/>
    </row>
    <row r="956" ht="15.75" customHeight="1">
      <c r="S956" s="97"/>
      <c r="X956" s="6"/>
    </row>
    <row r="957" ht="15.75" customHeight="1">
      <c r="S957" s="97"/>
      <c r="X957" s="6"/>
    </row>
    <row r="958" ht="15.75" customHeight="1">
      <c r="S958" s="97"/>
      <c r="X958" s="6"/>
    </row>
    <row r="959" ht="15.75" customHeight="1">
      <c r="S959" s="97"/>
      <c r="X959" s="6"/>
    </row>
    <row r="960" ht="15.75" customHeight="1">
      <c r="S960" s="97"/>
      <c r="X960" s="6"/>
    </row>
    <row r="961" ht="15.75" customHeight="1">
      <c r="S961" s="97"/>
      <c r="X961" s="6"/>
    </row>
    <row r="962" ht="15.75" customHeight="1">
      <c r="S962" s="97"/>
      <c r="X962" s="6"/>
    </row>
    <row r="963" ht="15.75" customHeight="1">
      <c r="S963" s="97"/>
      <c r="X963" s="6"/>
    </row>
    <row r="964" ht="15.75" customHeight="1">
      <c r="S964" s="97"/>
      <c r="X964" s="6"/>
    </row>
    <row r="965" ht="15.75" customHeight="1">
      <c r="S965" s="97"/>
      <c r="X965" s="6"/>
    </row>
    <row r="966" ht="15.75" customHeight="1">
      <c r="S966" s="97"/>
      <c r="X966" s="6"/>
    </row>
    <row r="967" ht="15.75" customHeight="1">
      <c r="S967" s="97"/>
      <c r="X967" s="6"/>
    </row>
    <row r="968" ht="15.75" customHeight="1">
      <c r="S968" s="97"/>
      <c r="X968" s="6"/>
    </row>
    <row r="969" ht="15.75" customHeight="1">
      <c r="S969" s="97"/>
      <c r="X969" s="6"/>
    </row>
    <row r="970" ht="15.75" customHeight="1">
      <c r="S970" s="97"/>
      <c r="X970" s="6"/>
    </row>
    <row r="971" ht="15.75" customHeight="1">
      <c r="S971" s="97"/>
      <c r="X971" s="6"/>
    </row>
    <row r="972" ht="15.75" customHeight="1">
      <c r="S972" s="97"/>
      <c r="X972" s="6"/>
    </row>
    <row r="973" ht="15.75" customHeight="1">
      <c r="S973" s="97"/>
      <c r="X973" s="6"/>
    </row>
    <row r="974" ht="15.75" customHeight="1">
      <c r="S974" s="97"/>
      <c r="X974" s="6"/>
    </row>
    <row r="975" ht="15.75" customHeight="1">
      <c r="S975" s="97"/>
      <c r="X975" s="6"/>
    </row>
    <row r="976" ht="15.75" customHeight="1">
      <c r="S976" s="97"/>
      <c r="X976" s="6"/>
    </row>
    <row r="977" ht="15.75" customHeight="1">
      <c r="S977" s="97"/>
      <c r="X977" s="6"/>
    </row>
    <row r="978" ht="15.75" customHeight="1">
      <c r="S978" s="97"/>
      <c r="X978" s="6"/>
    </row>
    <row r="979" ht="15.75" customHeight="1">
      <c r="S979" s="97"/>
      <c r="X979" s="6"/>
    </row>
    <row r="980" ht="15.75" customHeight="1">
      <c r="S980" s="97"/>
      <c r="X980" s="6"/>
    </row>
    <row r="981" ht="15.75" customHeight="1">
      <c r="S981" s="97"/>
      <c r="X981" s="6"/>
    </row>
    <row r="982" ht="15.75" customHeight="1">
      <c r="S982" s="97"/>
      <c r="X982" s="6"/>
    </row>
    <row r="983" ht="15.75" customHeight="1">
      <c r="S983" s="97"/>
      <c r="X983" s="6"/>
    </row>
    <row r="984" ht="15.75" customHeight="1">
      <c r="S984" s="97"/>
      <c r="X984" s="6"/>
    </row>
    <row r="985" ht="15.75" customHeight="1">
      <c r="S985" s="97"/>
      <c r="X985" s="6"/>
    </row>
    <row r="986" ht="15.75" customHeight="1">
      <c r="S986" s="97"/>
      <c r="X986" s="6"/>
    </row>
    <row r="987" ht="15.75" customHeight="1">
      <c r="S987" s="97"/>
      <c r="X987" s="6"/>
    </row>
    <row r="988" ht="15.75" customHeight="1">
      <c r="S988" s="97"/>
      <c r="X988" s="6"/>
    </row>
    <row r="989" ht="15.75" customHeight="1">
      <c r="S989" s="97"/>
      <c r="X989" s="6"/>
    </row>
    <row r="990" ht="15.75" customHeight="1">
      <c r="S990" s="97"/>
      <c r="X990" s="6"/>
    </row>
    <row r="991" ht="15.75" customHeight="1">
      <c r="S991" s="97"/>
      <c r="X991" s="6"/>
    </row>
    <row r="992" ht="15.75" customHeight="1">
      <c r="S992" s="97"/>
      <c r="X992" s="6"/>
    </row>
    <row r="993" ht="15.75" customHeight="1">
      <c r="S993" s="97"/>
      <c r="X993" s="6"/>
    </row>
    <row r="994" ht="15.75" customHeight="1">
      <c r="S994" s="97"/>
      <c r="X994" s="6"/>
    </row>
    <row r="995" ht="15.75" customHeight="1">
      <c r="S995" s="97"/>
      <c r="X995" s="6"/>
    </row>
    <row r="996" ht="15.75" customHeight="1">
      <c r="S996" s="97"/>
      <c r="X996" s="6"/>
    </row>
    <row r="997" ht="15.75" customHeight="1">
      <c r="S997" s="97"/>
      <c r="X997" s="6"/>
    </row>
    <row r="998" ht="15.75" customHeight="1">
      <c r="S998" s="97"/>
      <c r="X998" s="6"/>
    </row>
    <row r="999" ht="15.75" customHeight="1">
      <c r="S999" s="97"/>
      <c r="X999" s="6"/>
    </row>
    <row r="1000" ht="15.75" customHeight="1">
      <c r="S1000" s="97"/>
      <c r="X1000" s="6"/>
    </row>
  </sheetData>
  <mergeCells count="6">
    <mergeCell ref="N1:P1"/>
    <mergeCell ref="Q1:W1"/>
    <mergeCell ref="B2:M2"/>
    <mergeCell ref="N2:P2"/>
    <mergeCell ref="Q2:T2"/>
    <mergeCell ref="U2:W2"/>
  </mergeCells>
  <printOptions horizontalCentered="1"/>
  <pageMargins bottom="0.75" footer="0.0" header="0.0" left="0.25" right="0.25" top="0.75"/>
  <pageSetup orientation="landscape"/>
  <headerFooter>
    <oddFooter>&amp;L(1) AEG/React shows&amp;R&amp;P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2019-03-04T20:21:35Z</dcterms:created>
  <dc:creator>Tom Ott</dc:creator>
</cp:coreProperties>
</file>