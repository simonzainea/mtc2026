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gic Stick" sheetId="1" r:id="rId4"/>
    <sheet state="visible" name="Magic Stick-by Promoter" sheetId="2" r:id="rId5"/>
  </sheets>
  <definedNames/>
  <calcPr/>
  <extLst>
    <ext uri="GoogleSheetsCustomDataVersion2">
      <go:sheetsCustomData xmlns:go="http://customooxmlschemas.google.com/" r:id="rId6" roundtripDataChecksum="dTFzd1bWulArs3ZYkLNokGON0smyxfQe/Fu823cgN0E="/>
    </ext>
  </extLst>
</workbook>
</file>

<file path=xl/sharedStrings.xml><?xml version="1.0" encoding="utf-8"?>
<sst xmlns="http://schemas.openxmlformats.org/spreadsheetml/2006/main" count="100" uniqueCount="82">
  <si>
    <t>VENUE TOTAL</t>
  </si>
  <si>
    <t>***MAGIC STICK RESULTS***</t>
  </si>
  <si>
    <t xml:space="preserve">MAGIC STICK </t>
  </si>
  <si>
    <t>Name</t>
  </si>
  <si>
    <t>Promoter Code</t>
  </si>
  <si>
    <t>Date</t>
  </si>
  <si>
    <t>Day of the week</t>
  </si>
  <si>
    <t>Tickets Sold</t>
  </si>
  <si>
    <t>Venue Capacity</t>
  </si>
  <si>
    <t>Capacity Rate</t>
  </si>
  <si>
    <t>Gross Ticket Revenue</t>
  </si>
  <si>
    <t>Avg. Ticket Price (including TW rebate)</t>
  </si>
  <si>
    <t>Bar Revenue</t>
  </si>
  <si>
    <t>Avg sale of alcohol per guest</t>
  </si>
  <si>
    <t>Band(s) guarantee</t>
  </si>
  <si>
    <t>% of Gross Ticket Revenue</t>
  </si>
  <si>
    <t xml:space="preserve">Gate Settlement Gain/(Loss)  </t>
  </si>
  <si>
    <t>Bar Sales  - 100%</t>
  </si>
  <si>
    <t>Show Gross Proceeds (before COGS, Labor, &amp; Facility Costs)</t>
  </si>
  <si>
    <t>TOTALS</t>
  </si>
  <si>
    <t>AVERAGES</t>
  </si>
  <si>
    <t>Roddy Lima</t>
  </si>
  <si>
    <t>Taiki Nulight</t>
  </si>
  <si>
    <t>Sudan Archives</t>
  </si>
  <si>
    <t>Swimming Paul</t>
  </si>
  <si>
    <t>CID</t>
  </si>
  <si>
    <t>Whitney Hanson</t>
  </si>
  <si>
    <t>DJ Pauly D</t>
  </si>
  <si>
    <t>Ethan Marc Band</t>
  </si>
  <si>
    <t>Omnom</t>
  </si>
  <si>
    <t>Flamingos</t>
  </si>
  <si>
    <t>Paul van Dyk</t>
  </si>
  <si>
    <t>Kream</t>
  </si>
  <si>
    <t>*Add Alley Deck</t>
  </si>
  <si>
    <t>Beauz</t>
  </si>
  <si>
    <t>Dababy</t>
  </si>
  <si>
    <t>Dirtwire</t>
  </si>
  <si>
    <t>Militarie Gun</t>
  </si>
  <si>
    <t>Nora En Pure</t>
  </si>
  <si>
    <t>Miss Bashful + Luka Eck</t>
  </si>
  <si>
    <t>Sarah de Warren</t>
  </si>
  <si>
    <t>The Chameleons</t>
  </si>
  <si>
    <t>Witchz</t>
  </si>
  <si>
    <t>Little Miss Nasty</t>
  </si>
  <si>
    <t>Manic Focus</t>
  </si>
  <si>
    <t>Reverend Horton Heat</t>
  </si>
  <si>
    <t>Thursday</t>
  </si>
  <si>
    <t>Bill Callahan</t>
  </si>
  <si>
    <t>Lords of Acid</t>
  </si>
  <si>
    <t>Kasablanca</t>
  </si>
  <si>
    <t>Afrobeats to the World</t>
  </si>
  <si>
    <t>Fireworks</t>
  </si>
  <si>
    <t>Chris Lorenzo</t>
  </si>
  <si>
    <t>Odd Mob</t>
  </si>
  <si>
    <t>Kevin Saunderson</t>
  </si>
  <si>
    <t>Repopulate Mars</t>
  </si>
  <si>
    <t>Tigers Jaw</t>
  </si>
  <si>
    <t>Tied Down Preshow (Crofoot)</t>
  </si>
  <si>
    <t>-</t>
  </si>
  <si>
    <t>Andy Hull (Kickstand)</t>
  </si>
  <si>
    <t>(1) In-House - Zach</t>
  </si>
  <si>
    <t>(2) In-House - Brie</t>
  </si>
  <si>
    <t>(3) Black Iris</t>
  </si>
  <si>
    <t>(4) Good Show - Jason Berry</t>
  </si>
  <si>
    <t>(5) Paxahau - Tom Pattyn</t>
  </si>
  <si>
    <t>(6) Rental event</t>
  </si>
  <si>
    <t>(7) Party Store co-pro</t>
  </si>
  <si>
    <t>(8) Further Frequencies</t>
  </si>
  <si>
    <t>MAGIC STICK TOTALS</t>
  </si>
  <si>
    <t>PROMOTER PER-SHOW AVERAGES</t>
  </si>
  <si>
    <t>Shows</t>
  </si>
  <si>
    <t>Shows &amp; Rentals</t>
  </si>
  <si>
    <t>% of Total Gross Proceeds</t>
  </si>
  <si>
    <t>Bar Sales  - 50%</t>
  </si>
  <si>
    <t>Paxahau - Tom Pattyn</t>
  </si>
  <si>
    <t>In-House - Zach</t>
  </si>
  <si>
    <t>In-House - Brie</t>
  </si>
  <si>
    <t>Further Frequencies</t>
  </si>
  <si>
    <t>Good Show - Jason Berry</t>
  </si>
  <si>
    <t>Black Iris</t>
  </si>
  <si>
    <t>Rental event</t>
  </si>
  <si>
    <t>Party Store co-pro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</si>
</sst>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m/d/yy"/>
    <numFmt numFmtId="169" formatCode="ddd"/>
    <numFmt numFmtId="170" formatCode="m/d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theme="1"/>
      <name val="Calibri"/>
    </font>
    <font>
      <b/>
      <sz val="11.0"/>
      <color theme="1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>
      <color theme="1"/>
      <name val="Calibri"/>
      <scheme val="minor"/>
    </font>
    <font>
      <sz val="10.0"/>
      <color rgb="FFFF0000"/>
      <name val="Times New Roman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/>
    </xf>
    <xf borderId="5" fillId="5" fontId="5" numFmtId="0" xfId="0" applyAlignment="1" applyBorder="1" applyFill="1" applyFont="1">
      <alignment horizontal="center" shrinkToFit="0" wrapText="1"/>
    </xf>
    <xf borderId="6" fillId="5" fontId="5" numFmtId="0" xfId="0" applyAlignment="1" applyBorder="1" applyFont="1">
      <alignment horizontal="center" shrinkToFit="0" wrapText="1"/>
    </xf>
    <xf borderId="7" fillId="5" fontId="5" numFmtId="0" xfId="0" applyAlignment="1" applyBorder="1" applyFont="1">
      <alignment horizontal="center" shrinkToFit="0" wrapText="1"/>
    </xf>
    <xf borderId="7" fillId="5" fontId="5" numFmtId="164" xfId="0" applyAlignment="1" applyBorder="1" applyFont="1" applyNumberFormat="1">
      <alignment horizontal="center" shrinkToFit="0" wrapText="1"/>
    </xf>
    <xf borderId="8" fillId="5" fontId="5" numFmtId="0" xfId="0" applyAlignment="1" applyBorder="1" applyFont="1">
      <alignment horizontal="center" shrinkToFit="0" wrapText="1"/>
    </xf>
    <xf borderId="9" fillId="5" fontId="5" numFmtId="0" xfId="0" applyAlignment="1" applyBorder="1" applyFont="1">
      <alignment horizontal="center" shrinkToFit="0" wrapText="1"/>
    </xf>
    <xf borderId="10" fillId="5" fontId="5" numFmtId="0" xfId="0" applyAlignment="1" applyBorder="1" applyFont="1">
      <alignment horizontal="center" shrinkToFit="0" wrapText="1"/>
    </xf>
    <xf borderId="11" fillId="5" fontId="5" numFmtId="0" xfId="0" applyAlignment="1" applyBorder="1" applyFont="1">
      <alignment horizontal="center" shrinkToFit="0" wrapText="1"/>
    </xf>
    <xf borderId="12" fillId="3" fontId="5" numFmtId="0" xfId="0" applyBorder="1" applyFont="1"/>
    <xf borderId="13" fillId="3" fontId="5" numFmtId="0" xfId="0" applyAlignment="1" applyBorder="1" applyFont="1">
      <alignment horizontal="center"/>
    </xf>
    <xf borderId="13" fillId="3" fontId="4" numFmtId="0" xfId="0" applyBorder="1" applyFont="1"/>
    <xf borderId="13" fillId="3" fontId="5" numFmtId="164" xfId="0" applyBorder="1" applyFont="1" applyNumberFormat="1"/>
    <xf borderId="13" fillId="2" fontId="5" numFmtId="164" xfId="0" applyBorder="1" applyFont="1" applyNumberFormat="1"/>
    <xf borderId="13" fillId="3" fontId="5" numFmtId="165" xfId="0" applyBorder="1" applyFont="1" applyNumberFormat="1"/>
    <xf borderId="14" fillId="2" fontId="5" numFmtId="165" xfId="0" applyBorder="1" applyFont="1" applyNumberFormat="1"/>
    <xf borderId="14" fillId="3" fontId="5" numFmtId="165" xfId="0" applyBorder="1" applyFont="1" applyNumberFormat="1"/>
    <xf borderId="13" fillId="3" fontId="5" numFmtId="10" xfId="0" applyBorder="1" applyFont="1" applyNumberFormat="1"/>
    <xf borderId="13" fillId="3" fontId="5" numFmtId="166" xfId="0" applyBorder="1" applyFont="1" applyNumberFormat="1"/>
    <xf borderId="14" fillId="3" fontId="5" numFmtId="10" xfId="0" applyBorder="1" applyFont="1" applyNumberFormat="1"/>
    <xf borderId="15" fillId="0" fontId="4" numFmtId="0" xfId="0" applyBorder="1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67" xfId="0" applyFont="1" applyNumberFormat="1"/>
    <xf borderId="0" fillId="0" fontId="4" numFmtId="164" xfId="0" applyFont="1" applyNumberFormat="1"/>
    <xf borderId="16" fillId="0" fontId="4" numFmtId="167" xfId="0" applyBorder="1" applyFont="1" applyNumberFormat="1"/>
    <xf borderId="17" fillId="5" fontId="6" numFmtId="0" xfId="0" applyBorder="1" applyFont="1"/>
    <xf borderId="18" fillId="5" fontId="6" numFmtId="0" xfId="0" applyAlignment="1" applyBorder="1" applyFont="1">
      <alignment readingOrder="0"/>
    </xf>
    <xf borderId="17" fillId="5" fontId="6" numFmtId="0" xfId="0" applyAlignment="1" applyBorder="1" applyFont="1">
      <alignment horizontal="center" readingOrder="0"/>
    </xf>
    <xf borderId="17" fillId="5" fontId="6" numFmtId="168" xfId="0" applyAlignment="1" applyBorder="1" applyFont="1" applyNumberFormat="1">
      <alignment horizontal="center" readingOrder="0"/>
    </xf>
    <xf borderId="17" fillId="5" fontId="6" numFmtId="169" xfId="0" applyAlignment="1" applyBorder="1" applyFont="1" applyNumberFormat="1">
      <alignment horizontal="center"/>
    </xf>
    <xf borderId="17" fillId="5" fontId="6" numFmtId="164" xfId="0" applyAlignment="1" applyBorder="1" applyFont="1" applyNumberFormat="1">
      <alignment readingOrder="0"/>
    </xf>
    <xf borderId="17" fillId="5" fontId="6" numFmtId="9" xfId="0" applyBorder="1" applyFont="1" applyNumberFormat="1"/>
    <xf borderId="17" fillId="5" fontId="6" numFmtId="165" xfId="0" applyAlignment="1" applyBorder="1" applyFont="1" applyNumberFormat="1">
      <alignment readingOrder="0"/>
    </xf>
    <xf borderId="17" fillId="5" fontId="6" numFmtId="166" xfId="0" applyBorder="1" applyFont="1" applyNumberFormat="1"/>
    <xf borderId="17" fillId="5" fontId="6" numFmtId="165" xfId="0" applyBorder="1" applyFont="1" applyNumberFormat="1"/>
    <xf borderId="19" fillId="5" fontId="6" numFmtId="9" xfId="0" applyBorder="1" applyFont="1" applyNumberFormat="1"/>
    <xf borderId="17" fillId="5" fontId="6" numFmtId="164" xfId="0" applyBorder="1" applyFont="1" applyNumberFormat="1"/>
    <xf borderId="19" fillId="5" fontId="6" numFmtId="164" xfId="0" applyBorder="1" applyFont="1" applyNumberFormat="1"/>
    <xf borderId="0" fillId="0" fontId="6" numFmtId="0" xfId="0" applyFont="1"/>
    <xf borderId="15" fillId="0" fontId="6" numFmtId="0" xfId="0" applyAlignment="1" applyBorder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168" xfId="0" applyAlignment="1" applyFont="1" applyNumberFormat="1">
      <alignment horizontal="center" readingOrder="0"/>
    </xf>
    <xf borderId="0" fillId="0" fontId="6" numFmtId="169" xfId="0" applyAlignment="1" applyFont="1" applyNumberFormat="1">
      <alignment horizontal="center"/>
    </xf>
    <xf borderId="0" fillId="0" fontId="6" numFmtId="164" xfId="0" applyAlignment="1" applyFont="1" applyNumberFormat="1">
      <alignment readingOrder="0"/>
    </xf>
    <xf borderId="0" fillId="0" fontId="6" numFmtId="9" xfId="0" applyFont="1" applyNumberFormat="1"/>
    <xf borderId="0" fillId="0" fontId="6" numFmtId="3" xfId="0" applyAlignment="1" applyFont="1" applyNumberFormat="1">
      <alignment readingOrder="0"/>
    </xf>
    <xf borderId="0" fillId="0" fontId="6" numFmtId="167" xfId="0" applyFont="1" applyNumberFormat="1"/>
    <xf borderId="0" fillId="0" fontId="6" numFmtId="164" xfId="0" applyFont="1" applyNumberFormat="1"/>
    <xf borderId="16" fillId="0" fontId="6" numFmtId="9" xfId="0" applyBorder="1" applyFont="1" applyNumberFormat="1"/>
    <xf borderId="16" fillId="0" fontId="6" numFmtId="164" xfId="0" applyBorder="1" applyFont="1" applyNumberFormat="1"/>
    <xf borderId="17" fillId="5" fontId="6" numFmtId="3" xfId="0" applyAlignment="1" applyBorder="1" applyFont="1" applyNumberFormat="1">
      <alignment readingOrder="0"/>
    </xf>
    <xf borderId="17" fillId="5" fontId="6" numFmtId="167" xfId="0" applyBorder="1" applyFont="1" applyNumberFormat="1"/>
    <xf borderId="17" fillId="5" fontId="7" numFmtId="164" xfId="0" applyAlignment="1" applyBorder="1" applyFont="1" applyNumberFormat="1">
      <alignment readingOrder="0"/>
    </xf>
    <xf borderId="0" fillId="0" fontId="6" numFmtId="170" xfId="0" applyAlignment="1" applyFont="1" applyNumberFormat="1">
      <alignment horizontal="center" readingOrder="0"/>
    </xf>
    <xf borderId="0" fillId="0" fontId="7" numFmtId="164" xfId="0" applyAlignment="1" applyFont="1" applyNumberFormat="1">
      <alignment readingOrder="0"/>
    </xf>
    <xf borderId="0" fillId="0" fontId="1" numFmtId="167" xfId="0" applyFont="1" applyNumberFormat="1"/>
    <xf borderId="0" fillId="6" fontId="8" numFmtId="0" xfId="0" applyAlignment="1" applyFill="1" applyFont="1">
      <alignment readingOrder="0"/>
    </xf>
    <xf borderId="0" fillId="6" fontId="8" numFmtId="0" xfId="0" applyFont="1"/>
    <xf borderId="17" fillId="5" fontId="6" numFmtId="170" xfId="0" applyAlignment="1" applyBorder="1" applyFont="1" applyNumberFormat="1">
      <alignment horizontal="center" readingOrder="0"/>
    </xf>
    <xf borderId="0" fillId="0" fontId="8" numFmtId="0" xfId="0" applyAlignment="1" applyFont="1">
      <alignment readingOrder="0"/>
    </xf>
    <xf borderId="16" fillId="0" fontId="7" numFmtId="164" xfId="0" applyBorder="1" applyFont="1" applyNumberFormat="1"/>
    <xf borderId="17" fillId="0" fontId="6" numFmtId="0" xfId="0" applyBorder="1" applyFont="1"/>
    <xf borderId="17" fillId="5" fontId="6" numFmtId="0" xfId="0" applyAlignment="1" applyBorder="1" applyFont="1">
      <alignment horizontal="center"/>
    </xf>
    <xf borderId="17" fillId="5" fontId="7" numFmtId="164" xfId="0" applyBorder="1" applyFont="1" applyNumberFormat="1"/>
    <xf borderId="19" fillId="5" fontId="7" numFmtId="164" xfId="0" applyBorder="1" applyFont="1" applyNumberFormat="1"/>
    <xf borderId="0" fillId="0" fontId="7" numFmtId="164" xfId="0" applyFont="1" applyNumberFormat="1"/>
    <xf borderId="0" fillId="0" fontId="6" numFmtId="0" xfId="0" applyAlignment="1" applyFont="1">
      <alignment horizontal="center"/>
    </xf>
    <xf borderId="17" fillId="5" fontId="6" numFmtId="168" xfId="0" applyAlignment="1" applyBorder="1" applyFont="1" applyNumberFormat="1">
      <alignment horizontal="center"/>
    </xf>
    <xf borderId="18" fillId="7" fontId="6" numFmtId="0" xfId="0" applyAlignment="1" applyBorder="1" applyFill="1" applyFont="1">
      <alignment readingOrder="0"/>
    </xf>
    <xf borderId="0" fillId="0" fontId="1" numFmtId="164" xfId="0" applyFont="1" applyNumberFormat="1"/>
    <xf borderId="0" fillId="0" fontId="6" numFmtId="169" xfId="0" applyAlignment="1" applyFont="1" applyNumberFormat="1">
      <alignment horizontal="center" readingOrder="0"/>
    </xf>
    <xf borderId="0" fillId="0" fontId="6" numFmtId="167" xfId="0" applyAlignment="1" applyFont="1" applyNumberFormat="1">
      <alignment readingOrder="0"/>
    </xf>
    <xf borderId="18" fillId="5" fontId="6" numFmtId="0" xfId="0" applyBorder="1" applyFont="1"/>
    <xf borderId="17" fillId="5" fontId="9" numFmtId="164" xfId="0" applyBorder="1" applyFont="1" applyNumberFormat="1"/>
    <xf borderId="15" fillId="0" fontId="6" numFmtId="0" xfId="0" applyBorder="1" applyFont="1"/>
    <xf borderId="0" fillId="0" fontId="6" numFmtId="168" xfId="0" applyAlignment="1" applyFont="1" applyNumberFormat="1">
      <alignment horizontal="center"/>
    </xf>
    <xf borderId="0" fillId="0" fontId="9" numFmtId="164" xfId="0" applyFont="1" applyNumberFormat="1"/>
    <xf borderId="19" fillId="5" fontId="9" numFmtId="164" xfId="0" applyBorder="1" applyFont="1" applyNumberFormat="1"/>
    <xf borderId="16" fillId="0" fontId="9" numFmtId="164" xfId="0" applyBorder="1" applyFont="1" applyNumberFormat="1"/>
    <xf borderId="17" fillId="7" fontId="6" numFmtId="164" xfId="0" applyBorder="1" applyFont="1" applyNumberFormat="1"/>
    <xf borderId="18" fillId="7" fontId="6" numFmtId="0" xfId="0" applyBorder="1" applyFont="1"/>
    <xf borderId="0" fillId="0" fontId="1" numFmtId="166" xfId="0" applyFont="1" applyNumberFormat="1"/>
    <xf borderId="1" fillId="4" fontId="4" numFmtId="0" xfId="0" applyAlignment="1" applyBorder="1" applyFont="1">
      <alignment horizontal="center" shrinkToFit="0" wrapText="1"/>
    </xf>
    <xf borderId="20" fillId="5" fontId="5" numFmtId="0" xfId="0" applyAlignment="1" applyBorder="1" applyFont="1">
      <alignment horizontal="center" shrinkToFit="0" wrapText="1"/>
    </xf>
    <xf borderId="12" fillId="3" fontId="5" numFmtId="165" xfId="0" applyBorder="1" applyFont="1" applyNumberFormat="1"/>
    <xf borderId="14" fillId="3" fontId="5" numFmtId="9" xfId="0" applyBorder="1" applyFont="1" applyNumberFormat="1"/>
    <xf borderId="12" fillId="2" fontId="5" numFmtId="165" xfId="0" applyBorder="1" applyFont="1" applyNumberFormat="1"/>
    <xf borderId="13" fillId="2" fontId="5" numFmtId="165" xfId="0" applyBorder="1" applyFont="1" applyNumberFormat="1"/>
    <xf borderId="15" fillId="0" fontId="1" numFmtId="0" xfId="0" applyBorder="1" applyFont="1"/>
    <xf borderId="16" fillId="0" fontId="1" numFmtId="0" xfId="0" applyBorder="1" applyFont="1"/>
    <xf borderId="0" fillId="0" fontId="10" numFmtId="0" xfId="0" applyFont="1"/>
    <xf borderId="18" fillId="5" fontId="1" numFmtId="0" xfId="0" applyBorder="1" applyFont="1"/>
    <xf borderId="17" fillId="5" fontId="1" numFmtId="0" xfId="0" applyBorder="1" applyFont="1"/>
    <xf borderId="17" fillId="5" fontId="1" numFmtId="164" xfId="0" applyBorder="1" applyFont="1" applyNumberFormat="1"/>
    <xf borderId="17" fillId="5" fontId="1" numFmtId="10" xfId="0" applyBorder="1" applyFont="1" applyNumberFormat="1"/>
    <xf borderId="17" fillId="5" fontId="1" numFmtId="165" xfId="0" applyBorder="1" applyFont="1" applyNumberFormat="1"/>
    <xf borderId="17" fillId="5" fontId="1" numFmtId="166" xfId="0" applyBorder="1" applyFont="1" applyNumberFormat="1"/>
    <xf borderId="19" fillId="5" fontId="1" numFmtId="10" xfId="0" applyBorder="1" applyFont="1" applyNumberFormat="1"/>
    <xf borderId="18" fillId="5" fontId="1" numFmtId="165" xfId="0" applyBorder="1" applyFont="1" applyNumberFormat="1"/>
    <xf borderId="19" fillId="5" fontId="1" numFmtId="165" xfId="0" applyBorder="1" applyFont="1" applyNumberFormat="1"/>
    <xf borderId="0" fillId="0" fontId="1" numFmtId="10" xfId="0" applyFont="1" applyNumberFormat="1"/>
    <xf borderId="0" fillId="0" fontId="1" numFmtId="165" xfId="0" applyFont="1" applyNumberFormat="1"/>
    <xf borderId="16" fillId="0" fontId="1" numFmtId="10" xfId="0" applyBorder="1" applyFont="1" applyNumberFormat="1"/>
    <xf borderId="15" fillId="0" fontId="1" numFmtId="165" xfId="0" applyBorder="1" applyFont="1" applyNumberFormat="1"/>
    <xf borderId="16" fillId="0" fontId="1" numFmtId="165" xfId="0" applyBorder="1" applyFont="1" applyNumberFormat="1"/>
    <xf borderId="21" fillId="0" fontId="1" numFmtId="0" xfId="0" applyBorder="1" applyFont="1"/>
    <xf borderId="22" fillId="0" fontId="1" numFmtId="0" xfId="0" applyBorder="1" applyFont="1"/>
    <xf borderId="2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43"/>
    <col customWidth="1" min="2" max="2" width="29.43"/>
    <col customWidth="1" min="3" max="3" width="10.57"/>
    <col customWidth="1" min="4" max="4" width="10.86"/>
    <col customWidth="1" min="5" max="5" width="6.43"/>
    <col customWidth="1" min="6" max="6" width="10.29"/>
    <col customWidth="1" min="7" max="7" width="10.14"/>
    <col customWidth="1" min="8" max="8" width="9.57"/>
    <col customWidth="1" min="9" max="9" width="12.71"/>
    <col customWidth="1" min="10" max="10" width="11.86"/>
    <col customWidth="1" min="11" max="11" width="12.14"/>
    <col customWidth="1" min="12" max="12" width="10.43"/>
    <col customWidth="1" min="13" max="13" width="12.29"/>
    <col customWidth="1" min="14" max="14" width="8.29"/>
    <col customWidth="1" min="15" max="15" width="11.86"/>
    <col customWidth="1" min="16" max="16" width="12.0"/>
    <col customWidth="1" min="17" max="17" width="13.86"/>
    <col customWidth="1" min="18" max="18" width="9.29"/>
    <col customWidth="1" min="19" max="20" width="9.14"/>
    <col customWidth="1" min="21" max="26" width="8.71"/>
  </cols>
  <sheetData>
    <row r="1">
      <c r="C1" s="1"/>
      <c r="O1" s="2" t="s">
        <v>0</v>
      </c>
      <c r="P1" s="3"/>
      <c r="Q1" s="4"/>
    </row>
    <row r="2"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6" t="s">
        <v>2</v>
      </c>
      <c r="P2" s="3"/>
      <c r="Q2" s="4"/>
    </row>
    <row r="3">
      <c r="B3" s="7" t="s">
        <v>3</v>
      </c>
      <c r="C3" s="8" t="s">
        <v>4</v>
      </c>
      <c r="D3" s="9" t="s">
        <v>5</v>
      </c>
      <c r="E3" s="9" t="s">
        <v>6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11" t="s">
        <v>15</v>
      </c>
      <c r="O3" s="12" t="s">
        <v>16</v>
      </c>
      <c r="P3" s="13" t="s">
        <v>17</v>
      </c>
      <c r="Q3" s="14" t="s">
        <v>18</v>
      </c>
    </row>
    <row r="4">
      <c r="B4" s="15" t="s">
        <v>19</v>
      </c>
      <c r="C4" s="16"/>
      <c r="D4" s="17"/>
      <c r="E4" s="17"/>
      <c r="F4" s="18">
        <f t="shared" ref="F4:G4" si="1">SUM(F7:F114)</f>
        <v>19346</v>
      </c>
      <c r="G4" s="18">
        <f t="shared" si="1"/>
        <v>27195</v>
      </c>
      <c r="H4" s="19"/>
      <c r="I4" s="20">
        <f>SUM(I7:I114)</f>
        <v>700055.2</v>
      </c>
      <c r="J4" s="19"/>
      <c r="K4" s="20">
        <f>SUM(K7:K114)</f>
        <v>380814</v>
      </c>
      <c r="L4" s="19"/>
      <c r="M4" s="20">
        <f t="shared" ref="M4:Q4" si="2">SUM(M7:M114)</f>
        <v>339091.39</v>
      </c>
      <c r="N4" s="21">
        <f t="shared" si="2"/>
        <v>18.86243652</v>
      </c>
      <c r="O4" s="20">
        <f t="shared" si="2"/>
        <v>139185.04</v>
      </c>
      <c r="P4" s="20">
        <f t="shared" si="2"/>
        <v>379292.93</v>
      </c>
      <c r="Q4" s="22">
        <f t="shared" si="2"/>
        <v>518477.97</v>
      </c>
    </row>
    <row r="5">
      <c r="B5" s="15" t="s">
        <v>20</v>
      </c>
      <c r="C5" s="16"/>
      <c r="D5" s="17"/>
      <c r="E5" s="17"/>
      <c r="F5" s="18">
        <f t="shared" ref="F5:G5" si="3">F4/COUNTA(F7:F114)</f>
        <v>537.3888889</v>
      </c>
      <c r="G5" s="18">
        <f t="shared" si="3"/>
        <v>755.4166667</v>
      </c>
      <c r="H5" s="23">
        <f>F4/G4</f>
        <v>0.7113807685</v>
      </c>
      <c r="I5" s="20">
        <f>I4/COUNTA(I7:I114)</f>
        <v>19445.97778</v>
      </c>
      <c r="J5" s="24">
        <f>I4/F4</f>
        <v>36.18604363</v>
      </c>
      <c r="K5" s="20">
        <f>K4/COUNTA(K7:K114)</f>
        <v>10578.16667</v>
      </c>
      <c r="L5" s="24">
        <f>K4/F4</f>
        <v>19.6843792</v>
      </c>
      <c r="M5" s="20">
        <f>M4/COUNTA(M7:M114)</f>
        <v>9419.205278</v>
      </c>
      <c r="N5" s="25">
        <f>M4/I4</f>
        <v>0.4843780748</v>
      </c>
      <c r="O5" s="20">
        <f t="shared" ref="O5:Q5" si="4">O4/COUNTA(O7:O114)</f>
        <v>3866.251111</v>
      </c>
      <c r="P5" s="20">
        <f t="shared" si="4"/>
        <v>10535.91472</v>
      </c>
      <c r="Q5" s="22">
        <f t="shared" si="4"/>
        <v>5184.7797</v>
      </c>
    </row>
    <row r="6">
      <c r="B6" s="26"/>
      <c r="C6" s="27"/>
      <c r="D6" s="28"/>
      <c r="E6" s="28"/>
      <c r="F6" s="29"/>
      <c r="G6" s="29"/>
      <c r="H6" s="29"/>
      <c r="I6" s="29"/>
      <c r="J6" s="30"/>
      <c r="K6" s="29"/>
      <c r="L6" s="30"/>
      <c r="M6" s="29"/>
      <c r="N6" s="31"/>
      <c r="O6" s="29"/>
      <c r="P6" s="29"/>
      <c r="Q6" s="31"/>
    </row>
    <row r="7">
      <c r="A7" s="32">
        <v>1.0</v>
      </c>
      <c r="B7" s="33" t="s">
        <v>21</v>
      </c>
      <c r="C7" s="34">
        <v>5.0</v>
      </c>
      <c r="D7" s="35">
        <v>46038.0</v>
      </c>
      <c r="E7" s="36">
        <f t="shared" ref="E7:E39" si="5">D7</f>
        <v>46038</v>
      </c>
      <c r="F7" s="37">
        <v>363.0</v>
      </c>
      <c r="G7" s="37">
        <v>750.0</v>
      </c>
      <c r="H7" s="38">
        <f t="shared" ref="H7:H106" si="6">IFERROR(F7/G7,"")</f>
        <v>0.484</v>
      </c>
      <c r="I7" s="39">
        <v>10301.0</v>
      </c>
      <c r="J7" s="40">
        <f t="shared" ref="J7:J41" si="7">IFERROR(I7/F7,"")</f>
        <v>28.37741047</v>
      </c>
      <c r="K7" s="39">
        <v>10899.0</v>
      </c>
      <c r="L7" s="40">
        <f t="shared" ref="L7:L106" si="8">IFERROR(K7/F7,"")</f>
        <v>30.02479339</v>
      </c>
      <c r="M7" s="41">
        <f>3000+1000+200</f>
        <v>4200</v>
      </c>
      <c r="N7" s="42">
        <f t="shared" ref="N7:N106" si="9">IFERROR(M7/I7,"")</f>
        <v>0.4077274051</v>
      </c>
      <c r="O7" s="37">
        <v>1029.77</v>
      </c>
      <c r="P7" s="43">
        <f t="shared" ref="P7:P24" si="10">K7</f>
        <v>10899</v>
      </c>
      <c r="Q7" s="44">
        <f>SUM(O7:P7)</f>
        <v>11928.77</v>
      </c>
    </row>
    <row r="8">
      <c r="A8" s="45">
        <v>2.0</v>
      </c>
      <c r="B8" s="46" t="s">
        <v>22</v>
      </c>
      <c r="C8" s="47">
        <v>5.0</v>
      </c>
      <c r="D8" s="48">
        <v>46053.0</v>
      </c>
      <c r="E8" s="49">
        <f t="shared" si="5"/>
        <v>46053</v>
      </c>
      <c r="F8" s="50">
        <v>690.0</v>
      </c>
      <c r="G8" s="50">
        <v>750.0</v>
      </c>
      <c r="H8" s="51">
        <f t="shared" si="6"/>
        <v>0.92</v>
      </c>
      <c r="I8" s="52">
        <v>17222.12</v>
      </c>
      <c r="J8" s="53">
        <f t="shared" si="7"/>
        <v>24.9595942</v>
      </c>
      <c r="K8" s="50">
        <v>16435.0</v>
      </c>
      <c r="L8" s="53">
        <f t="shared" si="8"/>
        <v>23.81884058</v>
      </c>
      <c r="M8" s="54">
        <f>1500+1500+250+200</f>
        <v>3450</v>
      </c>
      <c r="N8" s="55">
        <f t="shared" si="9"/>
        <v>0.2003237697</v>
      </c>
      <c r="O8" s="50">
        <v>2332.96</v>
      </c>
      <c r="P8" s="54">
        <f t="shared" si="10"/>
        <v>16435</v>
      </c>
      <c r="Q8" s="56">
        <f t="shared" ref="Q8:Q106" si="11">O8+P8</f>
        <v>18767.96</v>
      </c>
    </row>
    <row r="9">
      <c r="A9" s="32">
        <v>3.0</v>
      </c>
      <c r="B9" s="33" t="s">
        <v>23</v>
      </c>
      <c r="C9" s="34">
        <v>1.0</v>
      </c>
      <c r="D9" s="35">
        <v>46057.0</v>
      </c>
      <c r="E9" s="36">
        <f t="shared" si="5"/>
        <v>46057</v>
      </c>
      <c r="F9" s="37">
        <v>247.0</v>
      </c>
      <c r="G9" s="43">
        <v>781.0</v>
      </c>
      <c r="H9" s="38">
        <f t="shared" si="6"/>
        <v>0.3162612036</v>
      </c>
      <c r="I9" s="57">
        <v>8890.62</v>
      </c>
      <c r="J9" s="58">
        <f t="shared" si="7"/>
        <v>35.99441296</v>
      </c>
      <c r="K9" s="37">
        <v>2747.0</v>
      </c>
      <c r="L9" s="58">
        <f t="shared" si="8"/>
        <v>11.12145749</v>
      </c>
      <c r="M9" s="43">
        <f>(4250+250+500)</f>
        <v>5000</v>
      </c>
      <c r="N9" s="42">
        <f t="shared" si="9"/>
        <v>0.5623904745</v>
      </c>
      <c r="O9" s="59">
        <v>-107.74</v>
      </c>
      <c r="P9" s="43">
        <f t="shared" si="10"/>
        <v>2747</v>
      </c>
      <c r="Q9" s="44">
        <f t="shared" si="11"/>
        <v>2639.26</v>
      </c>
    </row>
    <row r="10">
      <c r="A10" s="45">
        <v>4.0</v>
      </c>
      <c r="B10" s="46" t="s">
        <v>24</v>
      </c>
      <c r="C10" s="60">
        <v>46143.0</v>
      </c>
      <c r="D10" s="48">
        <v>46059.0</v>
      </c>
      <c r="E10" s="49">
        <f t="shared" si="5"/>
        <v>46059</v>
      </c>
      <c r="F10" s="50">
        <v>795.0</v>
      </c>
      <c r="G10" s="54">
        <v>750.0</v>
      </c>
      <c r="H10" s="51">
        <f t="shared" si="6"/>
        <v>1.06</v>
      </c>
      <c r="I10" s="52">
        <v>23731.25</v>
      </c>
      <c r="J10" s="53">
        <f t="shared" si="7"/>
        <v>29.85062893</v>
      </c>
      <c r="K10" s="50">
        <v>15317.0</v>
      </c>
      <c r="L10" s="53">
        <f t="shared" si="8"/>
        <v>19.26666667</v>
      </c>
      <c r="M10" s="54">
        <f>(7500+300+200)</f>
        <v>8000</v>
      </c>
      <c r="N10" s="55">
        <f t="shared" si="9"/>
        <v>0.3371082434</v>
      </c>
      <c r="O10" s="61">
        <v>9548.9</v>
      </c>
      <c r="P10" s="54">
        <f t="shared" si="10"/>
        <v>15317</v>
      </c>
      <c r="Q10" s="56">
        <f t="shared" si="11"/>
        <v>24865.9</v>
      </c>
    </row>
    <row r="11">
      <c r="A11" s="32">
        <v>5.0</v>
      </c>
      <c r="B11" s="33" t="s">
        <v>25</v>
      </c>
      <c r="C11" s="34">
        <v>5.0</v>
      </c>
      <c r="D11" s="35">
        <v>46060.0</v>
      </c>
      <c r="E11" s="36">
        <f t="shared" si="5"/>
        <v>46060</v>
      </c>
      <c r="F11" s="37">
        <v>720.0</v>
      </c>
      <c r="G11" s="43">
        <v>800.0</v>
      </c>
      <c r="H11" s="38">
        <f t="shared" si="6"/>
        <v>0.9</v>
      </c>
      <c r="I11" s="37">
        <v>20880.75</v>
      </c>
      <c r="J11" s="58">
        <f t="shared" si="7"/>
        <v>29.00104167</v>
      </c>
      <c r="K11" s="37">
        <v>17713.0</v>
      </c>
      <c r="L11" s="58">
        <f t="shared" si="8"/>
        <v>24.60138889</v>
      </c>
      <c r="M11" s="43">
        <f>(5000+250+250)</f>
        <v>5500</v>
      </c>
      <c r="N11" s="42">
        <f t="shared" si="9"/>
        <v>0.2634005005</v>
      </c>
      <c r="O11" s="37">
        <v>6189.47</v>
      </c>
      <c r="P11" s="43">
        <f t="shared" si="10"/>
        <v>17713</v>
      </c>
      <c r="Q11" s="44">
        <f t="shared" si="11"/>
        <v>23902.47</v>
      </c>
    </row>
    <row r="12">
      <c r="A12" s="45">
        <v>6.0</v>
      </c>
      <c r="B12" s="46" t="s">
        <v>26</v>
      </c>
      <c r="C12" s="47">
        <v>1.0</v>
      </c>
      <c r="D12" s="48">
        <v>46061.0</v>
      </c>
      <c r="E12" s="49">
        <f t="shared" si="5"/>
        <v>46061</v>
      </c>
      <c r="F12" s="50">
        <v>165.0</v>
      </c>
      <c r="G12" s="50">
        <v>200.0</v>
      </c>
      <c r="H12" s="51">
        <f t="shared" si="6"/>
        <v>0.825</v>
      </c>
      <c r="I12" s="50">
        <v>6918.75</v>
      </c>
      <c r="J12" s="53">
        <f t="shared" si="7"/>
        <v>41.93181818</v>
      </c>
      <c r="K12" s="50">
        <v>531.0</v>
      </c>
      <c r="L12" s="53">
        <f t="shared" si="8"/>
        <v>3.218181818</v>
      </c>
      <c r="M12" s="50">
        <v>3625.0</v>
      </c>
      <c r="N12" s="55">
        <f t="shared" si="9"/>
        <v>0.5239385727</v>
      </c>
      <c r="O12" s="50">
        <v>425.79</v>
      </c>
      <c r="P12" s="54">
        <f t="shared" si="10"/>
        <v>531</v>
      </c>
      <c r="Q12" s="56">
        <f t="shared" si="11"/>
        <v>956.79</v>
      </c>
    </row>
    <row r="13">
      <c r="A13" s="32">
        <v>7.0</v>
      </c>
      <c r="B13" s="33" t="s">
        <v>27</v>
      </c>
      <c r="C13" s="34">
        <v>5.0</v>
      </c>
      <c r="D13" s="35">
        <v>46066.0</v>
      </c>
      <c r="E13" s="36">
        <f t="shared" si="5"/>
        <v>46066</v>
      </c>
      <c r="F13" s="37">
        <v>894.0</v>
      </c>
      <c r="G13" s="43">
        <v>800.0</v>
      </c>
      <c r="H13" s="38">
        <f t="shared" si="6"/>
        <v>1.1175</v>
      </c>
      <c r="I13" s="37">
        <v>48282.5</v>
      </c>
      <c r="J13" s="58">
        <f t="shared" si="7"/>
        <v>54.00727069</v>
      </c>
      <c r="K13" s="37">
        <v>27031.0</v>
      </c>
      <c r="L13" s="58">
        <f t="shared" si="8"/>
        <v>30.2360179</v>
      </c>
      <c r="M13" s="43">
        <f>(30000+750+800)</f>
        <v>31550</v>
      </c>
      <c r="N13" s="42">
        <f t="shared" si="9"/>
        <v>0.6534458655</v>
      </c>
      <c r="O13" s="59">
        <v>8415.53</v>
      </c>
      <c r="P13" s="43">
        <f t="shared" si="10"/>
        <v>27031</v>
      </c>
      <c r="Q13" s="44">
        <f t="shared" si="11"/>
        <v>35446.53</v>
      </c>
    </row>
    <row r="14">
      <c r="A14" s="45">
        <v>8.0</v>
      </c>
      <c r="B14" s="46" t="s">
        <v>28</v>
      </c>
      <c r="C14" s="47">
        <v>1.0</v>
      </c>
      <c r="D14" s="48">
        <v>46074.0</v>
      </c>
      <c r="E14" s="49">
        <f t="shared" si="5"/>
        <v>46074</v>
      </c>
      <c r="F14" s="50">
        <v>299.0</v>
      </c>
      <c r="G14" s="54">
        <v>814.0</v>
      </c>
      <c r="H14" s="51">
        <f t="shared" si="6"/>
        <v>0.3673218673</v>
      </c>
      <c r="I14" s="50">
        <v>4304.37</v>
      </c>
      <c r="J14" s="53">
        <f t="shared" si="7"/>
        <v>14.39588629</v>
      </c>
      <c r="K14" s="50">
        <v>5437.0</v>
      </c>
      <c r="L14" s="53">
        <f t="shared" si="8"/>
        <v>18.18394649</v>
      </c>
      <c r="M14" s="50">
        <v>3430.0</v>
      </c>
      <c r="N14" s="55">
        <f t="shared" si="9"/>
        <v>0.7968645818</v>
      </c>
      <c r="O14" s="50">
        <v>-1723.58</v>
      </c>
      <c r="P14" s="54">
        <f t="shared" si="10"/>
        <v>5437</v>
      </c>
      <c r="Q14" s="56">
        <f t="shared" si="11"/>
        <v>3713.42</v>
      </c>
    </row>
    <row r="15">
      <c r="A15" s="32">
        <v>9.0</v>
      </c>
      <c r="B15" s="33" t="s">
        <v>29</v>
      </c>
      <c r="C15" s="34">
        <v>5.0</v>
      </c>
      <c r="D15" s="35">
        <v>46081.0</v>
      </c>
      <c r="E15" s="36">
        <f t="shared" si="5"/>
        <v>46081</v>
      </c>
      <c r="F15" s="37">
        <v>818.0</v>
      </c>
      <c r="G15" s="43">
        <v>800.0</v>
      </c>
      <c r="H15" s="38">
        <f t="shared" si="6"/>
        <v>1.0225</v>
      </c>
      <c r="I15" s="37">
        <v>29199.56</v>
      </c>
      <c r="J15" s="58">
        <f t="shared" si="7"/>
        <v>35.69628362</v>
      </c>
      <c r="K15" s="37">
        <v>21885.0</v>
      </c>
      <c r="L15" s="58">
        <f t="shared" si="8"/>
        <v>26.75427873</v>
      </c>
      <c r="M15" s="43">
        <f>(10000+1000+200)</f>
        <v>11200</v>
      </c>
      <c r="N15" s="42">
        <f t="shared" si="9"/>
        <v>0.3835674236</v>
      </c>
      <c r="O15" s="37">
        <v>7753.58</v>
      </c>
      <c r="P15" s="43">
        <f t="shared" si="10"/>
        <v>21885</v>
      </c>
      <c r="Q15" s="44">
        <f t="shared" si="11"/>
        <v>29638.58</v>
      </c>
    </row>
    <row r="16">
      <c r="A16" s="45">
        <v>10.0</v>
      </c>
      <c r="B16" s="46" t="s">
        <v>30</v>
      </c>
      <c r="C16" s="47">
        <v>1.0</v>
      </c>
      <c r="D16" s="48">
        <v>46086.0</v>
      </c>
      <c r="E16" s="49">
        <f t="shared" si="5"/>
        <v>46086</v>
      </c>
      <c r="F16" s="50">
        <v>208.0</v>
      </c>
      <c r="G16" s="54">
        <v>800.0</v>
      </c>
      <c r="H16" s="51">
        <f t="shared" si="6"/>
        <v>0.26</v>
      </c>
      <c r="I16" s="50">
        <v>5447.81</v>
      </c>
      <c r="J16" s="53">
        <f t="shared" si="7"/>
        <v>26.19139423</v>
      </c>
      <c r="K16" s="50">
        <v>3942.0</v>
      </c>
      <c r="L16" s="53">
        <f t="shared" si="8"/>
        <v>18.95192308</v>
      </c>
      <c r="M16" s="54">
        <f>(3000+250+250)</f>
        <v>3500</v>
      </c>
      <c r="N16" s="55">
        <f t="shared" si="9"/>
        <v>0.6424599977</v>
      </c>
      <c r="O16" s="50">
        <v>-902.59</v>
      </c>
      <c r="P16" s="54">
        <f t="shared" si="10"/>
        <v>3942</v>
      </c>
      <c r="Q16" s="56">
        <f t="shared" si="11"/>
        <v>3039.41</v>
      </c>
    </row>
    <row r="17">
      <c r="A17" s="32">
        <v>11.0</v>
      </c>
      <c r="B17" s="33" t="s">
        <v>31</v>
      </c>
      <c r="C17" s="34">
        <v>5.0</v>
      </c>
      <c r="D17" s="35">
        <v>46087.0</v>
      </c>
      <c r="E17" s="36">
        <f t="shared" si="5"/>
        <v>46087</v>
      </c>
      <c r="F17" s="37">
        <v>396.0</v>
      </c>
      <c r="G17" s="43">
        <v>800.0</v>
      </c>
      <c r="H17" s="38">
        <f t="shared" si="6"/>
        <v>0.495</v>
      </c>
      <c r="I17" s="37">
        <v>11831.0</v>
      </c>
      <c r="J17" s="58">
        <f t="shared" si="7"/>
        <v>29.87626263</v>
      </c>
      <c r="K17" s="37">
        <v>8969.0</v>
      </c>
      <c r="L17" s="58">
        <f t="shared" si="8"/>
        <v>22.6489899</v>
      </c>
      <c r="M17" s="43">
        <f>(10000+200+200)</f>
        <v>10400</v>
      </c>
      <c r="N17" s="42">
        <f t="shared" si="9"/>
        <v>0.8790465726</v>
      </c>
      <c r="O17" s="37">
        <v>-2376.36</v>
      </c>
      <c r="P17" s="43">
        <f t="shared" si="10"/>
        <v>8969</v>
      </c>
      <c r="Q17" s="44">
        <f t="shared" si="11"/>
        <v>6592.64</v>
      </c>
      <c r="R17" s="62"/>
    </row>
    <row r="18">
      <c r="A18" s="45">
        <v>12.0</v>
      </c>
      <c r="B18" s="46" t="s">
        <v>32</v>
      </c>
      <c r="C18" s="47">
        <v>5.0</v>
      </c>
      <c r="D18" s="48">
        <v>46094.0</v>
      </c>
      <c r="E18" s="49">
        <f t="shared" si="5"/>
        <v>46094</v>
      </c>
      <c r="F18" s="50">
        <v>755.0</v>
      </c>
      <c r="G18" s="50">
        <v>800.0</v>
      </c>
      <c r="H18" s="51">
        <f t="shared" si="6"/>
        <v>0.94375</v>
      </c>
      <c r="I18" s="50">
        <v>32830.0</v>
      </c>
      <c r="J18" s="53">
        <f t="shared" si="7"/>
        <v>43.48344371</v>
      </c>
      <c r="K18" s="50">
        <v>17077.0</v>
      </c>
      <c r="L18" s="53">
        <f t="shared" si="8"/>
        <v>22.61854305</v>
      </c>
      <c r="M18" s="54">
        <f>(20000+200+200)</f>
        <v>20400</v>
      </c>
      <c r="N18" s="55">
        <f t="shared" si="9"/>
        <v>0.6213828815</v>
      </c>
      <c r="O18" s="61">
        <v>8610.04</v>
      </c>
      <c r="P18" s="54">
        <f t="shared" si="10"/>
        <v>17077</v>
      </c>
      <c r="Q18" s="56">
        <f t="shared" si="11"/>
        <v>25687.04</v>
      </c>
      <c r="S18" s="63" t="s">
        <v>33</v>
      </c>
      <c r="T18" s="64"/>
    </row>
    <row r="19">
      <c r="A19" s="32">
        <v>13.0</v>
      </c>
      <c r="B19" s="33" t="s">
        <v>34</v>
      </c>
      <c r="C19" s="65">
        <v>46143.0</v>
      </c>
      <c r="D19" s="35">
        <v>46095.0</v>
      </c>
      <c r="E19" s="36">
        <f t="shared" si="5"/>
        <v>46095</v>
      </c>
      <c r="F19" s="37">
        <v>323.0</v>
      </c>
      <c r="G19" s="43">
        <v>800.0</v>
      </c>
      <c r="H19" s="38">
        <f t="shared" si="6"/>
        <v>0.40375</v>
      </c>
      <c r="I19" s="37">
        <v>8369.75</v>
      </c>
      <c r="J19" s="58">
        <f t="shared" si="7"/>
        <v>25.9125387</v>
      </c>
      <c r="K19" s="37">
        <v>6602.0</v>
      </c>
      <c r="L19" s="58">
        <f t="shared" si="8"/>
        <v>20.43962848</v>
      </c>
      <c r="M19" s="43">
        <f>(5000+1500+250+150)</f>
        <v>6900</v>
      </c>
      <c r="N19" s="42">
        <f t="shared" si="9"/>
        <v>0.8243973834</v>
      </c>
      <c r="O19" s="59">
        <v>-1768.34</v>
      </c>
      <c r="P19" s="43">
        <f t="shared" si="10"/>
        <v>6602</v>
      </c>
      <c r="Q19" s="44">
        <f t="shared" si="11"/>
        <v>4833.66</v>
      </c>
      <c r="S19" s="66" t="s">
        <v>35</v>
      </c>
    </row>
    <row r="20">
      <c r="A20" s="45">
        <v>14.0</v>
      </c>
      <c r="B20" s="46" t="s">
        <v>36</v>
      </c>
      <c r="C20" s="47">
        <v>1.0</v>
      </c>
      <c r="D20" s="48">
        <v>46101.0</v>
      </c>
      <c r="E20" s="49">
        <f t="shared" si="5"/>
        <v>46101</v>
      </c>
      <c r="F20" s="50">
        <v>416.0</v>
      </c>
      <c r="G20" s="50">
        <v>700.0</v>
      </c>
      <c r="H20" s="51">
        <f t="shared" si="6"/>
        <v>0.5942857143</v>
      </c>
      <c r="I20" s="50">
        <v>12367.12</v>
      </c>
      <c r="J20" s="53">
        <f t="shared" si="7"/>
        <v>29.72865385</v>
      </c>
      <c r="K20" s="50">
        <v>5033.0</v>
      </c>
      <c r="L20" s="53">
        <f t="shared" si="8"/>
        <v>12.09855769</v>
      </c>
      <c r="M20" s="54">
        <f>(5000+500)</f>
        <v>5500</v>
      </c>
      <c r="N20" s="55">
        <f t="shared" si="9"/>
        <v>0.4447276326</v>
      </c>
      <c r="O20" s="61">
        <v>2749.04</v>
      </c>
      <c r="P20" s="54">
        <f t="shared" si="10"/>
        <v>5033</v>
      </c>
      <c r="Q20" s="67">
        <f t="shared" si="11"/>
        <v>7782.04</v>
      </c>
      <c r="S20" s="62"/>
      <c r="T20" s="62"/>
    </row>
    <row r="21" ht="15.75" customHeight="1">
      <c r="A21" s="68">
        <v>15.0</v>
      </c>
      <c r="B21" s="33" t="s">
        <v>37</v>
      </c>
      <c r="C21" s="69"/>
      <c r="D21" s="35">
        <v>46108.0</v>
      </c>
      <c r="E21" s="36">
        <f t="shared" si="5"/>
        <v>46108</v>
      </c>
      <c r="F21" s="37">
        <v>263.0</v>
      </c>
      <c r="G21" s="37">
        <v>700.0</v>
      </c>
      <c r="H21" s="38">
        <f t="shared" si="6"/>
        <v>0.3757142857</v>
      </c>
      <c r="I21" s="37">
        <v>4205.0</v>
      </c>
      <c r="J21" s="58">
        <f t="shared" si="7"/>
        <v>15.98859316</v>
      </c>
      <c r="K21" s="37">
        <v>3320.0</v>
      </c>
      <c r="L21" s="58">
        <f t="shared" si="8"/>
        <v>12.62357414</v>
      </c>
      <c r="M21" s="43">
        <f>(1762.75+801.25+320.5)</f>
        <v>2884.5</v>
      </c>
      <c r="N21" s="42">
        <f t="shared" si="9"/>
        <v>0.6859690844</v>
      </c>
      <c r="O21" s="59">
        <v>-680.84</v>
      </c>
      <c r="P21" s="70">
        <f t="shared" si="10"/>
        <v>3320</v>
      </c>
      <c r="Q21" s="71">
        <f t="shared" si="11"/>
        <v>2639.16</v>
      </c>
    </row>
    <row r="22" ht="15.75" customHeight="1">
      <c r="A22" s="45">
        <v>16.0</v>
      </c>
      <c r="B22" s="46" t="s">
        <v>38</v>
      </c>
      <c r="C22" s="47">
        <v>5.0</v>
      </c>
      <c r="D22" s="48">
        <v>46109.0</v>
      </c>
      <c r="E22" s="49">
        <f t="shared" si="5"/>
        <v>46109</v>
      </c>
      <c r="F22" s="50">
        <v>795.0</v>
      </c>
      <c r="G22" s="50">
        <v>800.0</v>
      </c>
      <c r="H22" s="51">
        <f t="shared" si="6"/>
        <v>0.99375</v>
      </c>
      <c r="I22" s="50">
        <v>39098.0</v>
      </c>
      <c r="J22" s="53">
        <f t="shared" si="7"/>
        <v>49.17987421</v>
      </c>
      <c r="K22" s="50">
        <v>17919.0</v>
      </c>
      <c r="L22" s="53">
        <f t="shared" si="8"/>
        <v>22.53962264</v>
      </c>
      <c r="M22" s="54">
        <f>(25000+200+200)</f>
        <v>25400</v>
      </c>
      <c r="N22" s="55">
        <f t="shared" si="9"/>
        <v>0.6496495984</v>
      </c>
      <c r="O22" s="61">
        <v>5675.72</v>
      </c>
      <c r="P22" s="72">
        <f t="shared" si="10"/>
        <v>17919</v>
      </c>
      <c r="Q22" s="67">
        <f t="shared" si="11"/>
        <v>23594.72</v>
      </c>
    </row>
    <row r="23" ht="15.75" customHeight="1">
      <c r="A23" s="32">
        <v>17.0</v>
      </c>
      <c r="B23" s="33" t="s">
        <v>39</v>
      </c>
      <c r="C23" s="34">
        <v>5.0</v>
      </c>
      <c r="D23" s="35">
        <v>46116.0</v>
      </c>
      <c r="E23" s="36">
        <f t="shared" si="5"/>
        <v>46116</v>
      </c>
      <c r="F23" s="37">
        <v>253.0</v>
      </c>
      <c r="G23" s="37">
        <v>800.0</v>
      </c>
      <c r="H23" s="38">
        <f t="shared" si="6"/>
        <v>0.31625</v>
      </c>
      <c r="I23" s="37">
        <v>6741.25</v>
      </c>
      <c r="J23" s="58">
        <f t="shared" si="7"/>
        <v>26.64525692</v>
      </c>
      <c r="K23" s="37">
        <v>4446.0</v>
      </c>
      <c r="L23" s="58">
        <f t="shared" si="8"/>
        <v>17.57312253</v>
      </c>
      <c r="M23" s="43">
        <f>(5500+750+300)</f>
        <v>6550</v>
      </c>
      <c r="N23" s="42">
        <f t="shared" si="9"/>
        <v>0.9716298906</v>
      </c>
      <c r="O23" s="59">
        <v>-5080.97</v>
      </c>
      <c r="P23" s="70">
        <f t="shared" si="10"/>
        <v>4446</v>
      </c>
      <c r="Q23" s="71">
        <f t="shared" si="11"/>
        <v>-634.97</v>
      </c>
    </row>
    <row r="24" ht="15.75" customHeight="1">
      <c r="A24" s="45">
        <v>18.0</v>
      </c>
      <c r="B24" s="46" t="s">
        <v>40</v>
      </c>
      <c r="C24" s="73"/>
      <c r="D24" s="48">
        <v>46122.0</v>
      </c>
      <c r="E24" s="49">
        <f t="shared" si="5"/>
        <v>46122</v>
      </c>
      <c r="F24" s="50">
        <v>193.0</v>
      </c>
      <c r="G24" s="50">
        <v>800.0</v>
      </c>
      <c r="H24" s="51">
        <f t="shared" si="6"/>
        <v>0.24125</v>
      </c>
      <c r="I24" s="50">
        <v>4519.25</v>
      </c>
      <c r="J24" s="53">
        <f t="shared" si="7"/>
        <v>23.41580311</v>
      </c>
      <c r="K24" s="50">
        <v>4136.0</v>
      </c>
      <c r="L24" s="53">
        <f t="shared" si="8"/>
        <v>21.43005181</v>
      </c>
      <c r="M24" s="54">
        <f>(3500+200+150)</f>
        <v>3850</v>
      </c>
      <c r="N24" s="55">
        <f t="shared" si="9"/>
        <v>0.8519112685</v>
      </c>
      <c r="O24" s="61">
        <v>-2408.95</v>
      </c>
      <c r="P24" s="72">
        <f t="shared" si="10"/>
        <v>4136</v>
      </c>
      <c r="Q24" s="67">
        <f t="shared" si="11"/>
        <v>1727.05</v>
      </c>
    </row>
    <row r="25" ht="15.75" customHeight="1">
      <c r="A25" s="32">
        <v>19.0</v>
      </c>
      <c r="B25" s="33" t="s">
        <v>41</v>
      </c>
      <c r="C25" s="34">
        <v>1.0</v>
      </c>
      <c r="D25" s="35">
        <v>46123.0</v>
      </c>
      <c r="E25" s="36">
        <f t="shared" si="5"/>
        <v>46123</v>
      </c>
      <c r="F25" s="37">
        <v>365.0</v>
      </c>
      <c r="G25" s="37">
        <v>700.0</v>
      </c>
      <c r="H25" s="38">
        <f t="shared" si="6"/>
        <v>0.5214285714</v>
      </c>
      <c r="I25" s="37">
        <v>11085.0</v>
      </c>
      <c r="J25" s="58">
        <f t="shared" si="7"/>
        <v>30.36986301</v>
      </c>
      <c r="K25" s="37">
        <v>4095.0</v>
      </c>
      <c r="L25" s="58">
        <f t="shared" si="8"/>
        <v>11.21917808</v>
      </c>
      <c r="M25" s="37">
        <f>(4000+500)</f>
        <v>4500</v>
      </c>
      <c r="N25" s="42">
        <f t="shared" si="9"/>
        <v>0.4059539919</v>
      </c>
      <c r="O25" s="59">
        <v>26.0</v>
      </c>
      <c r="P25" s="59">
        <v>2573.93</v>
      </c>
      <c r="Q25" s="71">
        <f t="shared" si="11"/>
        <v>2599.93</v>
      </c>
    </row>
    <row r="26" ht="15.75" customHeight="1">
      <c r="A26" s="45">
        <v>20.0</v>
      </c>
      <c r="B26" s="46" t="s">
        <v>42</v>
      </c>
      <c r="C26" s="47">
        <v>1.0</v>
      </c>
      <c r="D26" s="48">
        <v>46127.0</v>
      </c>
      <c r="E26" s="49">
        <f t="shared" si="5"/>
        <v>46127</v>
      </c>
      <c r="F26" s="50">
        <v>170.0</v>
      </c>
      <c r="G26" s="50">
        <v>700.0</v>
      </c>
      <c r="H26" s="51">
        <f t="shared" si="6"/>
        <v>0.2428571429</v>
      </c>
      <c r="I26" s="50">
        <v>6240.81</v>
      </c>
      <c r="J26" s="53">
        <f t="shared" si="7"/>
        <v>36.71064706</v>
      </c>
      <c r="K26" s="50">
        <v>1472.0</v>
      </c>
      <c r="L26" s="53">
        <f t="shared" si="8"/>
        <v>8.658823529</v>
      </c>
      <c r="M26" s="50">
        <v>3500.0</v>
      </c>
      <c r="N26" s="55">
        <f t="shared" si="9"/>
        <v>0.5608246365</v>
      </c>
      <c r="O26" s="61">
        <v>-1482.9</v>
      </c>
      <c r="P26" s="72">
        <f t="shared" ref="P26:P106" si="12">K26</f>
        <v>1472</v>
      </c>
      <c r="Q26" s="67">
        <f t="shared" si="11"/>
        <v>-10.9</v>
      </c>
    </row>
    <row r="27" ht="15.75" customHeight="1">
      <c r="A27" s="32">
        <v>21.0</v>
      </c>
      <c r="B27" s="33" t="s">
        <v>43</v>
      </c>
      <c r="C27" s="34">
        <v>1.0</v>
      </c>
      <c r="D27" s="35">
        <v>46129.0</v>
      </c>
      <c r="E27" s="36">
        <f t="shared" si="5"/>
        <v>46129</v>
      </c>
      <c r="F27" s="37">
        <v>200.0</v>
      </c>
      <c r="G27" s="37">
        <v>700.0</v>
      </c>
      <c r="H27" s="38">
        <f t="shared" si="6"/>
        <v>0.2857142857</v>
      </c>
      <c r="I27" s="37">
        <v>8375.81</v>
      </c>
      <c r="J27" s="58">
        <f t="shared" si="7"/>
        <v>41.87905</v>
      </c>
      <c r="K27" s="37">
        <v>3701.0</v>
      </c>
      <c r="L27" s="58">
        <f t="shared" si="8"/>
        <v>18.505</v>
      </c>
      <c r="M27" s="37">
        <v>7000.0</v>
      </c>
      <c r="N27" s="42">
        <f t="shared" si="9"/>
        <v>0.8357400657</v>
      </c>
      <c r="O27" s="59">
        <v>-2962.75</v>
      </c>
      <c r="P27" s="70">
        <f t="shared" si="12"/>
        <v>3701</v>
      </c>
      <c r="Q27" s="71">
        <f t="shared" si="11"/>
        <v>738.25</v>
      </c>
    </row>
    <row r="28" ht="15.75" customHeight="1">
      <c r="A28" s="45">
        <v>22.0</v>
      </c>
      <c r="B28" s="46" t="s">
        <v>44</v>
      </c>
      <c r="C28" s="60">
        <v>46143.0</v>
      </c>
      <c r="D28" s="48">
        <v>46130.0</v>
      </c>
      <c r="E28" s="49">
        <f t="shared" si="5"/>
        <v>46130</v>
      </c>
      <c r="F28" s="50">
        <v>542.0</v>
      </c>
      <c r="G28" s="50">
        <v>800.0</v>
      </c>
      <c r="H28" s="51">
        <f t="shared" si="6"/>
        <v>0.6775</v>
      </c>
      <c r="I28" s="50">
        <v>19571.0</v>
      </c>
      <c r="J28" s="53">
        <f t="shared" si="7"/>
        <v>36.10885609</v>
      </c>
      <c r="K28" s="50">
        <v>11497.0</v>
      </c>
      <c r="L28" s="53">
        <f t="shared" si="8"/>
        <v>21.21217712</v>
      </c>
      <c r="M28" s="54">
        <f>(5000+5000+500+500)</f>
        <v>11000</v>
      </c>
      <c r="N28" s="55">
        <f t="shared" si="9"/>
        <v>0.5620561034</v>
      </c>
      <c r="O28" s="61">
        <v>4022.97</v>
      </c>
      <c r="P28" s="72">
        <f t="shared" si="12"/>
        <v>11497</v>
      </c>
      <c r="Q28" s="67">
        <f t="shared" si="11"/>
        <v>15519.97</v>
      </c>
    </row>
    <row r="29" ht="15.75" customHeight="1">
      <c r="A29" s="32">
        <v>23.0</v>
      </c>
      <c r="B29" s="33" t="s">
        <v>45</v>
      </c>
      <c r="C29" s="65">
        <v>46025.0</v>
      </c>
      <c r="D29" s="74">
        <v>45394.0</v>
      </c>
      <c r="E29" s="36">
        <f t="shared" si="5"/>
        <v>45394</v>
      </c>
      <c r="F29" s="37">
        <v>695.0</v>
      </c>
      <c r="G29" s="43">
        <v>750.0</v>
      </c>
      <c r="H29" s="38">
        <f t="shared" si="6"/>
        <v>0.9266666667</v>
      </c>
      <c r="I29" s="37">
        <v>24841.81</v>
      </c>
      <c r="J29" s="58">
        <f t="shared" si="7"/>
        <v>35.74361151</v>
      </c>
      <c r="K29" s="37">
        <v>11898.0</v>
      </c>
      <c r="L29" s="58">
        <f t="shared" si="8"/>
        <v>17.11942446</v>
      </c>
      <c r="M29" s="43">
        <f>(9226.41+2500+900)</f>
        <v>12626.41</v>
      </c>
      <c r="N29" s="42">
        <f t="shared" si="9"/>
        <v>0.5082725454</v>
      </c>
      <c r="O29" s="59">
        <v>6389.06</v>
      </c>
      <c r="P29" s="70">
        <f t="shared" si="12"/>
        <v>11898</v>
      </c>
      <c r="Q29" s="71">
        <f t="shared" si="11"/>
        <v>18287.06</v>
      </c>
    </row>
    <row r="30" ht="15.75" customHeight="1">
      <c r="A30" s="45">
        <v>24.0</v>
      </c>
      <c r="B30" s="75" t="s">
        <v>46</v>
      </c>
      <c r="C30" s="47">
        <v>6.0</v>
      </c>
      <c r="D30" s="48">
        <v>46138.0</v>
      </c>
      <c r="E30" s="49">
        <f t="shared" si="5"/>
        <v>46138</v>
      </c>
      <c r="F30" s="50">
        <v>527.0</v>
      </c>
      <c r="G30" s="54">
        <v>750.0</v>
      </c>
      <c r="H30" s="51">
        <f t="shared" si="6"/>
        <v>0.7026666667</v>
      </c>
      <c r="I30" s="50">
        <v>4470.0</v>
      </c>
      <c r="J30" s="53">
        <f t="shared" si="7"/>
        <v>8.481973435</v>
      </c>
      <c r="K30" s="50">
        <v>5356.0</v>
      </c>
      <c r="L30" s="53">
        <f t="shared" si="8"/>
        <v>10.16318786</v>
      </c>
      <c r="M30" s="50">
        <v>0.0</v>
      </c>
      <c r="N30" s="55">
        <f t="shared" si="9"/>
        <v>0</v>
      </c>
      <c r="O30" s="61">
        <v>1925.0</v>
      </c>
      <c r="P30" s="72">
        <f t="shared" si="12"/>
        <v>5356</v>
      </c>
      <c r="Q30" s="67">
        <f t="shared" si="11"/>
        <v>7281</v>
      </c>
    </row>
    <row r="31" ht="15.75" customHeight="1">
      <c r="A31" s="32">
        <v>25.0</v>
      </c>
      <c r="B31" s="33" t="s">
        <v>47</v>
      </c>
      <c r="C31" s="34">
        <v>1.0</v>
      </c>
      <c r="D31" s="35">
        <v>46146.0</v>
      </c>
      <c r="E31" s="36">
        <f t="shared" si="5"/>
        <v>46146</v>
      </c>
      <c r="F31" s="37">
        <v>347.0</v>
      </c>
      <c r="G31" s="37">
        <v>700.0</v>
      </c>
      <c r="H31" s="38">
        <f t="shared" si="6"/>
        <v>0.4957142857</v>
      </c>
      <c r="I31" s="37">
        <v>10613.0</v>
      </c>
      <c r="J31" s="58">
        <f t="shared" si="7"/>
        <v>30.58501441</v>
      </c>
      <c r="K31" s="37">
        <v>3444.0</v>
      </c>
      <c r="L31" s="58">
        <f t="shared" si="8"/>
        <v>9.925072046</v>
      </c>
      <c r="M31" s="43">
        <f>(7000+250)</f>
        <v>7250</v>
      </c>
      <c r="N31" s="42">
        <f t="shared" si="9"/>
        <v>0.68312447</v>
      </c>
      <c r="O31" s="59">
        <v>-129.74</v>
      </c>
      <c r="P31" s="70">
        <f t="shared" si="12"/>
        <v>3444</v>
      </c>
      <c r="Q31" s="71">
        <f t="shared" si="11"/>
        <v>3314.26</v>
      </c>
    </row>
    <row r="32" ht="15.75" customHeight="1">
      <c r="A32" s="45">
        <v>26.0</v>
      </c>
      <c r="B32" s="75" t="s">
        <v>48</v>
      </c>
      <c r="C32" s="47">
        <v>1.0</v>
      </c>
      <c r="D32" s="48">
        <v>46149.0</v>
      </c>
      <c r="E32" s="49">
        <f t="shared" si="5"/>
        <v>46149</v>
      </c>
      <c r="F32" s="50">
        <v>457.0</v>
      </c>
      <c r="G32" s="54">
        <v>750.0</v>
      </c>
      <c r="H32" s="51">
        <f t="shared" si="6"/>
        <v>0.6093333333</v>
      </c>
      <c r="I32" s="50">
        <v>18791.62</v>
      </c>
      <c r="J32" s="53">
        <f t="shared" si="7"/>
        <v>41.1195186</v>
      </c>
      <c r="K32" s="50">
        <v>7001.0</v>
      </c>
      <c r="L32" s="53">
        <f t="shared" si="8"/>
        <v>15.31947484</v>
      </c>
      <c r="M32" s="54">
        <f>(10350+1000+1000+300+350)</f>
        <v>13000</v>
      </c>
      <c r="N32" s="55">
        <f t="shared" si="9"/>
        <v>0.6917977269</v>
      </c>
      <c r="O32" s="61">
        <v>742.38</v>
      </c>
      <c r="P32" s="72">
        <f t="shared" si="12"/>
        <v>7001</v>
      </c>
      <c r="Q32" s="67">
        <f t="shared" si="11"/>
        <v>7743.38</v>
      </c>
      <c r="S32" s="76"/>
    </row>
    <row r="33" ht="15.75" customHeight="1">
      <c r="A33" s="32">
        <v>27.0</v>
      </c>
      <c r="B33" s="33" t="s">
        <v>49</v>
      </c>
      <c r="C33" s="65">
        <v>46143.0</v>
      </c>
      <c r="D33" s="35">
        <v>46150.0</v>
      </c>
      <c r="E33" s="36">
        <f t="shared" si="5"/>
        <v>46150</v>
      </c>
      <c r="F33" s="37">
        <v>570.0</v>
      </c>
      <c r="G33" s="43">
        <v>800.0</v>
      </c>
      <c r="H33" s="38">
        <f t="shared" si="6"/>
        <v>0.7125</v>
      </c>
      <c r="I33" s="37">
        <v>17512.0</v>
      </c>
      <c r="J33" s="58">
        <f t="shared" si="7"/>
        <v>30.72280702</v>
      </c>
      <c r="K33" s="37">
        <v>11751.0</v>
      </c>
      <c r="L33" s="58">
        <f t="shared" si="8"/>
        <v>20.61578947</v>
      </c>
      <c r="M33" s="43">
        <f>(6000+200+250+150)</f>
        <v>6600</v>
      </c>
      <c r="N33" s="42">
        <f t="shared" si="9"/>
        <v>0.3768844221</v>
      </c>
      <c r="O33" s="59">
        <v>5378.68</v>
      </c>
      <c r="P33" s="70">
        <f t="shared" si="12"/>
        <v>11751</v>
      </c>
      <c r="Q33" s="71">
        <f t="shared" si="11"/>
        <v>17129.68</v>
      </c>
      <c r="S33" s="62"/>
    </row>
    <row r="34" ht="15.75" customHeight="1">
      <c r="A34" s="45">
        <v>28.0</v>
      </c>
      <c r="B34" s="75" t="s">
        <v>50</v>
      </c>
      <c r="C34" s="47">
        <v>1.0</v>
      </c>
      <c r="D34" s="48">
        <v>46151.0</v>
      </c>
      <c r="E34" s="49">
        <f t="shared" si="5"/>
        <v>46151</v>
      </c>
      <c r="F34" s="50">
        <v>546.0</v>
      </c>
      <c r="G34" s="54">
        <v>800.0</v>
      </c>
      <c r="H34" s="51">
        <f t="shared" si="6"/>
        <v>0.6825</v>
      </c>
      <c r="I34" s="50">
        <v>15030.87</v>
      </c>
      <c r="J34" s="53">
        <f t="shared" si="7"/>
        <v>27.52906593</v>
      </c>
      <c r="K34" s="50">
        <v>10888.0</v>
      </c>
      <c r="L34" s="53">
        <f t="shared" si="8"/>
        <v>19.94139194</v>
      </c>
      <c r="M34" s="50">
        <v>965.05</v>
      </c>
      <c r="N34" s="55">
        <f t="shared" si="9"/>
        <v>0.06420453374</v>
      </c>
      <c r="O34" s="61">
        <v>10903.5</v>
      </c>
      <c r="P34" s="72">
        <f t="shared" si="12"/>
        <v>10888</v>
      </c>
      <c r="Q34" s="67">
        <f t="shared" si="11"/>
        <v>21791.5</v>
      </c>
      <c r="S34" s="62"/>
    </row>
    <row r="35" ht="15.75" customHeight="1">
      <c r="A35" s="32">
        <v>29.0</v>
      </c>
      <c r="B35" s="33" t="s">
        <v>51</v>
      </c>
      <c r="C35" s="34">
        <v>1.0</v>
      </c>
      <c r="D35" s="35">
        <v>46157.0</v>
      </c>
      <c r="E35" s="36">
        <f t="shared" si="5"/>
        <v>46157</v>
      </c>
      <c r="F35" s="37">
        <v>586.0</v>
      </c>
      <c r="G35" s="43">
        <v>700.0</v>
      </c>
      <c r="H35" s="38">
        <f t="shared" si="6"/>
        <v>0.8371428571</v>
      </c>
      <c r="I35" s="37">
        <v>18428.06</v>
      </c>
      <c r="J35" s="58">
        <f t="shared" si="7"/>
        <v>31.44720137</v>
      </c>
      <c r="K35" s="37">
        <v>6677.0</v>
      </c>
      <c r="L35" s="58">
        <f t="shared" si="8"/>
        <v>11.39419795</v>
      </c>
      <c r="M35" s="43">
        <f>(7483.86+1250+500)</f>
        <v>9233.86</v>
      </c>
      <c r="N35" s="42">
        <f t="shared" si="9"/>
        <v>0.5010760764</v>
      </c>
      <c r="O35" s="59">
        <v>4797.55</v>
      </c>
      <c r="P35" s="70">
        <f t="shared" si="12"/>
        <v>6677</v>
      </c>
      <c r="Q35" s="71">
        <f t="shared" si="11"/>
        <v>11474.55</v>
      </c>
      <c r="S35" s="62"/>
    </row>
    <row r="36" ht="15.75" customHeight="1">
      <c r="A36" s="45">
        <v>30.0</v>
      </c>
      <c r="B36" s="46" t="s">
        <v>52</v>
      </c>
      <c r="C36" s="47">
        <v>5.0</v>
      </c>
      <c r="D36" s="48">
        <v>46164.0</v>
      </c>
      <c r="E36" s="49">
        <f t="shared" si="5"/>
        <v>46164</v>
      </c>
      <c r="F36" s="50">
        <v>898.0</v>
      </c>
      <c r="G36" s="54">
        <v>800.0</v>
      </c>
      <c r="H36" s="51">
        <f t="shared" si="6"/>
        <v>1.1225</v>
      </c>
      <c r="I36" s="50">
        <v>43424.0</v>
      </c>
      <c r="J36" s="53">
        <f t="shared" si="7"/>
        <v>48.35634744</v>
      </c>
      <c r="K36" s="50">
        <v>31883.0</v>
      </c>
      <c r="L36" s="53">
        <f t="shared" si="8"/>
        <v>35.50445434</v>
      </c>
      <c r="M36" s="50">
        <v>20000.0</v>
      </c>
      <c r="N36" s="55">
        <f t="shared" si="9"/>
        <v>0.4605747973</v>
      </c>
      <c r="O36" s="61">
        <v>11704.77</v>
      </c>
      <c r="P36" s="72">
        <f t="shared" si="12"/>
        <v>31883</v>
      </c>
      <c r="Q36" s="67">
        <f t="shared" si="11"/>
        <v>43587.77</v>
      </c>
      <c r="S36" s="62"/>
    </row>
    <row r="37" ht="15.75" customHeight="1">
      <c r="A37" s="32">
        <v>31.0</v>
      </c>
      <c r="B37" s="33" t="s">
        <v>53</v>
      </c>
      <c r="C37" s="34">
        <v>5.0</v>
      </c>
      <c r="D37" s="35">
        <v>46165.0</v>
      </c>
      <c r="E37" s="36">
        <f t="shared" si="5"/>
        <v>46165</v>
      </c>
      <c r="F37" s="37">
        <v>983.0</v>
      </c>
      <c r="G37" s="37">
        <v>850.0</v>
      </c>
      <c r="H37" s="38">
        <f t="shared" si="6"/>
        <v>1.156470588</v>
      </c>
      <c r="I37" s="37">
        <v>61012.0</v>
      </c>
      <c r="J37" s="58">
        <f t="shared" si="7"/>
        <v>62.0671414</v>
      </c>
      <c r="K37" s="37">
        <v>23398.0</v>
      </c>
      <c r="L37" s="58">
        <f t="shared" si="8"/>
        <v>23.80264496</v>
      </c>
      <c r="M37" s="43">
        <f>(30000+300+400)</f>
        <v>30700</v>
      </c>
      <c r="N37" s="42">
        <f t="shared" si="9"/>
        <v>0.5031797024</v>
      </c>
      <c r="O37" s="59">
        <v>19917.25</v>
      </c>
      <c r="P37" s="70">
        <f t="shared" si="12"/>
        <v>23398</v>
      </c>
      <c r="Q37" s="71">
        <f t="shared" si="11"/>
        <v>43315.25</v>
      </c>
      <c r="S37" s="62"/>
    </row>
    <row r="38" ht="15.75" customHeight="1">
      <c r="A38" s="45">
        <v>32.0</v>
      </c>
      <c r="B38" s="46" t="s">
        <v>54</v>
      </c>
      <c r="C38" s="47">
        <v>5.0</v>
      </c>
      <c r="D38" s="48">
        <v>46166.0</v>
      </c>
      <c r="E38" s="49">
        <f t="shared" si="5"/>
        <v>46166</v>
      </c>
      <c r="F38" s="50">
        <v>996.0</v>
      </c>
      <c r="G38" s="50">
        <v>850.0</v>
      </c>
      <c r="H38" s="51">
        <f t="shared" si="6"/>
        <v>1.171764706</v>
      </c>
      <c r="I38" s="50">
        <v>56887.0</v>
      </c>
      <c r="J38" s="53">
        <f t="shared" si="7"/>
        <v>57.11546185</v>
      </c>
      <c r="K38" s="50">
        <v>19108.0</v>
      </c>
      <c r="L38" s="53">
        <f t="shared" si="8"/>
        <v>19.18473896</v>
      </c>
      <c r="M38" s="54">
        <f>(6000+2000+5000+4000+400+300)</f>
        <v>17700</v>
      </c>
      <c r="N38" s="55">
        <f t="shared" si="9"/>
        <v>0.3111431434</v>
      </c>
      <c r="O38" s="61">
        <v>26732.67</v>
      </c>
      <c r="P38" s="72">
        <f t="shared" si="12"/>
        <v>19108</v>
      </c>
      <c r="Q38" s="67">
        <f t="shared" si="11"/>
        <v>45840.67</v>
      </c>
    </row>
    <row r="39" ht="15.75" customHeight="1">
      <c r="A39" s="32">
        <v>33.0</v>
      </c>
      <c r="B39" s="33" t="s">
        <v>55</v>
      </c>
      <c r="C39" s="34">
        <v>5.0</v>
      </c>
      <c r="D39" s="35">
        <v>46167.0</v>
      </c>
      <c r="E39" s="36">
        <f t="shared" si="5"/>
        <v>46167</v>
      </c>
      <c r="F39" s="37">
        <v>721.0</v>
      </c>
      <c r="G39" s="37">
        <v>800.0</v>
      </c>
      <c r="H39" s="38">
        <f t="shared" si="6"/>
        <v>0.90125</v>
      </c>
      <c r="I39" s="37">
        <v>33661.81</v>
      </c>
      <c r="J39" s="58">
        <f t="shared" si="7"/>
        <v>46.6876699</v>
      </c>
      <c r="K39" s="37">
        <v>15798.0</v>
      </c>
      <c r="L39" s="58">
        <f t="shared" si="8"/>
        <v>21.9112344</v>
      </c>
      <c r="M39" s="43">
        <f>(10000+5000+5000+600+300)</f>
        <v>20900</v>
      </c>
      <c r="N39" s="42">
        <f t="shared" si="9"/>
        <v>0.620881646</v>
      </c>
      <c r="O39" s="59">
        <v>3086.63</v>
      </c>
      <c r="P39" s="70">
        <f t="shared" si="12"/>
        <v>15798</v>
      </c>
      <c r="Q39" s="71">
        <f t="shared" si="11"/>
        <v>18884.63</v>
      </c>
    </row>
    <row r="40" ht="15.75" customHeight="1">
      <c r="A40" s="45">
        <v>34.0</v>
      </c>
      <c r="B40" s="46" t="s">
        <v>56</v>
      </c>
      <c r="C40" s="47">
        <v>1.0</v>
      </c>
      <c r="D40" s="48">
        <v>46169.0</v>
      </c>
      <c r="E40" s="77">
        <v>46169.0</v>
      </c>
      <c r="F40" s="50">
        <v>585.0</v>
      </c>
      <c r="G40" s="50">
        <v>700.0</v>
      </c>
      <c r="H40" s="51">
        <f t="shared" si="6"/>
        <v>0.8357142857</v>
      </c>
      <c r="I40" s="50">
        <v>19128.31</v>
      </c>
      <c r="J40" s="53">
        <f t="shared" si="7"/>
        <v>32.69796581</v>
      </c>
      <c r="K40" s="50">
        <v>6585.0</v>
      </c>
      <c r="L40" s="53">
        <f t="shared" si="8"/>
        <v>11.25641026</v>
      </c>
      <c r="M40" s="54">
        <f>(7776.57+1000+500)</f>
        <v>9276.57</v>
      </c>
      <c r="N40" s="55">
        <f t="shared" si="9"/>
        <v>0.4849654779</v>
      </c>
      <c r="O40" s="61">
        <v>4587.54</v>
      </c>
      <c r="P40" s="72">
        <f t="shared" si="12"/>
        <v>6585</v>
      </c>
      <c r="Q40" s="67">
        <f t="shared" si="11"/>
        <v>11172.54</v>
      </c>
    </row>
    <row r="41" ht="15.75" customHeight="1">
      <c r="A41" s="32">
        <v>35.0</v>
      </c>
      <c r="B41" s="33" t="s">
        <v>57</v>
      </c>
      <c r="C41" s="65">
        <v>46028.0</v>
      </c>
      <c r="D41" s="35">
        <v>46171.0</v>
      </c>
      <c r="E41" s="36">
        <f t="shared" ref="E41:E106" si="13">D41</f>
        <v>46171</v>
      </c>
      <c r="F41" s="37">
        <v>801.0</v>
      </c>
      <c r="G41" s="43">
        <v>800.0</v>
      </c>
      <c r="H41" s="38">
        <f t="shared" si="6"/>
        <v>1.00125</v>
      </c>
      <c r="I41" s="37">
        <v>29928.0</v>
      </c>
      <c r="J41" s="58">
        <f t="shared" si="7"/>
        <v>37.36329588</v>
      </c>
      <c r="K41" s="37">
        <v>9561.0</v>
      </c>
      <c r="L41" s="58">
        <f t="shared" si="8"/>
        <v>11.93632959</v>
      </c>
      <c r="M41" s="37" t="s">
        <v>58</v>
      </c>
      <c r="N41" s="42" t="str">
        <f t="shared" si="9"/>
        <v/>
      </c>
      <c r="O41" s="59">
        <v>2101.0</v>
      </c>
      <c r="P41" s="43">
        <f t="shared" si="12"/>
        <v>9561</v>
      </c>
      <c r="Q41" s="44">
        <f t="shared" si="11"/>
        <v>11662</v>
      </c>
    </row>
    <row r="42" ht="15.75" customHeight="1">
      <c r="A42" s="45">
        <v>36.0</v>
      </c>
      <c r="B42" s="46" t="s">
        <v>59</v>
      </c>
      <c r="C42" s="60">
        <v>46028.0</v>
      </c>
      <c r="D42" s="48">
        <v>46173.0</v>
      </c>
      <c r="E42" s="49">
        <f t="shared" si="13"/>
        <v>46173</v>
      </c>
      <c r="F42" s="50">
        <v>764.0</v>
      </c>
      <c r="G42" s="50">
        <v>800.0</v>
      </c>
      <c r="H42" s="51">
        <f t="shared" si="6"/>
        <v>0.955</v>
      </c>
      <c r="I42" s="50">
        <v>5914.0</v>
      </c>
      <c r="J42" s="78">
        <v>39.34</v>
      </c>
      <c r="K42" s="50">
        <v>7262.0</v>
      </c>
      <c r="L42" s="53">
        <f t="shared" si="8"/>
        <v>9.505235602</v>
      </c>
      <c r="M42" s="50">
        <v>3500.0</v>
      </c>
      <c r="N42" s="55">
        <f t="shared" si="9"/>
        <v>0.5918160298</v>
      </c>
      <c r="O42" s="50">
        <v>3764.0</v>
      </c>
      <c r="P42" s="54">
        <f t="shared" si="12"/>
        <v>7262</v>
      </c>
      <c r="Q42" s="56">
        <f t="shared" si="11"/>
        <v>11026</v>
      </c>
    </row>
    <row r="43" ht="15.75" customHeight="1">
      <c r="A43" s="32">
        <v>37.0</v>
      </c>
      <c r="B43" s="79"/>
      <c r="C43" s="69"/>
      <c r="D43" s="74">
        <v>45430.0</v>
      </c>
      <c r="E43" s="36">
        <f t="shared" si="13"/>
        <v>45430</v>
      </c>
      <c r="F43" s="43"/>
      <c r="G43" s="43"/>
      <c r="H43" s="38" t="str">
        <f t="shared" si="6"/>
        <v/>
      </c>
      <c r="I43" s="43"/>
      <c r="J43" s="58" t="str">
        <f t="shared" ref="J43:J106" si="14">IFERROR(I43/F43,"")</f>
        <v/>
      </c>
      <c r="K43" s="43"/>
      <c r="L43" s="58" t="str">
        <f t="shared" si="8"/>
        <v/>
      </c>
      <c r="M43" s="43"/>
      <c r="N43" s="42" t="str">
        <f t="shared" si="9"/>
        <v/>
      </c>
      <c r="O43" s="80"/>
      <c r="P43" s="43" t="str">
        <f t="shared" si="12"/>
        <v/>
      </c>
      <c r="Q43" s="44">
        <f t="shared" si="11"/>
        <v>0</v>
      </c>
    </row>
    <row r="44" ht="15.75" customHeight="1">
      <c r="A44" s="45">
        <v>38.0</v>
      </c>
      <c r="B44" s="81"/>
      <c r="C44" s="73"/>
      <c r="D44" s="82">
        <v>45436.0</v>
      </c>
      <c r="E44" s="49">
        <f t="shared" si="13"/>
        <v>45436</v>
      </c>
      <c r="F44" s="54"/>
      <c r="G44" s="54"/>
      <c r="H44" s="51" t="str">
        <f t="shared" si="6"/>
        <v/>
      </c>
      <c r="I44" s="54"/>
      <c r="J44" s="53" t="str">
        <f t="shared" si="14"/>
        <v/>
      </c>
      <c r="K44" s="54"/>
      <c r="L44" s="53" t="str">
        <f t="shared" si="8"/>
        <v/>
      </c>
      <c r="M44" s="54"/>
      <c r="N44" s="55" t="str">
        <f t="shared" si="9"/>
        <v/>
      </c>
      <c r="O44" s="54"/>
      <c r="P44" s="54" t="str">
        <f t="shared" si="12"/>
        <v/>
      </c>
      <c r="Q44" s="56">
        <f t="shared" si="11"/>
        <v>0</v>
      </c>
    </row>
    <row r="45" ht="15.75" customHeight="1">
      <c r="A45" s="32">
        <v>39.0</v>
      </c>
      <c r="B45" s="79"/>
      <c r="C45" s="69"/>
      <c r="D45" s="74">
        <v>45437.0</v>
      </c>
      <c r="E45" s="36">
        <f t="shared" si="13"/>
        <v>45437</v>
      </c>
      <c r="F45" s="43"/>
      <c r="G45" s="43"/>
      <c r="H45" s="38" t="str">
        <f t="shared" si="6"/>
        <v/>
      </c>
      <c r="I45" s="43"/>
      <c r="J45" s="58" t="str">
        <f t="shared" si="14"/>
        <v/>
      </c>
      <c r="K45" s="43"/>
      <c r="L45" s="58" t="str">
        <f t="shared" si="8"/>
        <v/>
      </c>
      <c r="M45" s="43"/>
      <c r="N45" s="42" t="str">
        <f t="shared" si="9"/>
        <v/>
      </c>
      <c r="O45" s="43"/>
      <c r="P45" s="43" t="str">
        <f t="shared" si="12"/>
        <v/>
      </c>
      <c r="Q45" s="44">
        <f t="shared" si="11"/>
        <v>0</v>
      </c>
    </row>
    <row r="46" ht="15.75" customHeight="1">
      <c r="A46" s="45">
        <v>40.0</v>
      </c>
      <c r="B46" s="81"/>
      <c r="C46" s="73"/>
      <c r="D46" s="82">
        <v>45438.0</v>
      </c>
      <c r="E46" s="49">
        <f t="shared" si="13"/>
        <v>45438</v>
      </c>
      <c r="F46" s="54"/>
      <c r="G46" s="54"/>
      <c r="H46" s="51" t="str">
        <f t="shared" si="6"/>
        <v/>
      </c>
      <c r="I46" s="54"/>
      <c r="J46" s="53" t="str">
        <f t="shared" si="14"/>
        <v/>
      </c>
      <c r="K46" s="54"/>
      <c r="L46" s="53" t="str">
        <f t="shared" si="8"/>
        <v/>
      </c>
      <c r="M46" s="54"/>
      <c r="N46" s="55" t="str">
        <f t="shared" si="9"/>
        <v/>
      </c>
      <c r="O46" s="54"/>
      <c r="P46" s="54" t="str">
        <f t="shared" si="12"/>
        <v/>
      </c>
      <c r="Q46" s="56">
        <f t="shared" si="11"/>
        <v>0</v>
      </c>
    </row>
    <row r="47" ht="15.75" customHeight="1">
      <c r="A47" s="32">
        <v>41.0</v>
      </c>
      <c r="B47" s="79"/>
      <c r="C47" s="69"/>
      <c r="D47" s="74">
        <v>45439.0</v>
      </c>
      <c r="E47" s="36">
        <f t="shared" si="13"/>
        <v>45439</v>
      </c>
      <c r="F47" s="43"/>
      <c r="G47" s="43"/>
      <c r="H47" s="38" t="str">
        <f t="shared" si="6"/>
        <v/>
      </c>
      <c r="I47" s="43"/>
      <c r="J47" s="58" t="str">
        <f t="shared" si="14"/>
        <v/>
      </c>
      <c r="K47" s="43"/>
      <c r="L47" s="58" t="str">
        <f t="shared" si="8"/>
        <v/>
      </c>
      <c r="M47" s="43"/>
      <c r="N47" s="42" t="str">
        <f t="shared" si="9"/>
        <v/>
      </c>
      <c r="O47" s="43"/>
      <c r="P47" s="43" t="str">
        <f t="shared" si="12"/>
        <v/>
      </c>
      <c r="Q47" s="44">
        <f t="shared" si="11"/>
        <v>0</v>
      </c>
    </row>
    <row r="48" ht="15.75" customHeight="1">
      <c r="A48" s="45">
        <v>42.0</v>
      </c>
      <c r="B48" s="81"/>
      <c r="C48" s="73"/>
      <c r="D48" s="82">
        <v>45443.0</v>
      </c>
      <c r="E48" s="49">
        <f t="shared" si="13"/>
        <v>45443</v>
      </c>
      <c r="F48" s="54"/>
      <c r="G48" s="54"/>
      <c r="H48" s="51" t="str">
        <f t="shared" si="6"/>
        <v/>
      </c>
      <c r="I48" s="54"/>
      <c r="J48" s="53" t="str">
        <f t="shared" si="14"/>
        <v/>
      </c>
      <c r="K48" s="54"/>
      <c r="L48" s="53" t="str">
        <f t="shared" si="8"/>
        <v/>
      </c>
      <c r="M48" s="54"/>
      <c r="N48" s="55" t="str">
        <f t="shared" si="9"/>
        <v/>
      </c>
      <c r="O48" s="54"/>
      <c r="P48" s="54" t="str">
        <f t="shared" si="12"/>
        <v/>
      </c>
      <c r="Q48" s="56">
        <f t="shared" si="11"/>
        <v>0</v>
      </c>
    </row>
    <row r="49" ht="15.75" customHeight="1">
      <c r="A49" s="32">
        <v>43.0</v>
      </c>
      <c r="B49" s="79"/>
      <c r="C49" s="69"/>
      <c r="D49" s="74">
        <v>45444.0</v>
      </c>
      <c r="E49" s="36">
        <f t="shared" si="13"/>
        <v>45444</v>
      </c>
      <c r="F49" s="43"/>
      <c r="G49" s="43"/>
      <c r="H49" s="38" t="str">
        <f t="shared" si="6"/>
        <v/>
      </c>
      <c r="I49" s="43"/>
      <c r="J49" s="58" t="str">
        <f t="shared" si="14"/>
        <v/>
      </c>
      <c r="K49" s="43"/>
      <c r="L49" s="58" t="str">
        <f t="shared" si="8"/>
        <v/>
      </c>
      <c r="M49" s="43"/>
      <c r="N49" s="42" t="str">
        <f t="shared" si="9"/>
        <v/>
      </c>
      <c r="O49" s="80"/>
      <c r="P49" s="43" t="str">
        <f t="shared" si="12"/>
        <v/>
      </c>
      <c r="Q49" s="44">
        <f t="shared" si="11"/>
        <v>0</v>
      </c>
    </row>
    <row r="50" ht="15.75" customHeight="1">
      <c r="A50" s="45">
        <v>44.0</v>
      </c>
      <c r="B50" s="81"/>
      <c r="C50" s="73"/>
      <c r="D50" s="82">
        <v>45445.0</v>
      </c>
      <c r="E50" s="49">
        <f t="shared" si="13"/>
        <v>45445</v>
      </c>
      <c r="F50" s="54"/>
      <c r="G50" s="54"/>
      <c r="H50" s="51" t="str">
        <f t="shared" si="6"/>
        <v/>
      </c>
      <c r="I50" s="54"/>
      <c r="J50" s="53" t="str">
        <f t="shared" si="14"/>
        <v/>
      </c>
      <c r="K50" s="54"/>
      <c r="L50" s="53" t="str">
        <f t="shared" si="8"/>
        <v/>
      </c>
      <c r="M50" s="54"/>
      <c r="N50" s="55" t="str">
        <f t="shared" si="9"/>
        <v/>
      </c>
      <c r="O50" s="54"/>
      <c r="P50" s="54" t="str">
        <f t="shared" si="12"/>
        <v/>
      </c>
      <c r="Q50" s="56">
        <f t="shared" si="11"/>
        <v>0</v>
      </c>
    </row>
    <row r="51" ht="15.75" customHeight="1">
      <c r="A51" s="32">
        <v>45.0</v>
      </c>
      <c r="B51" s="79"/>
      <c r="C51" s="69"/>
      <c r="D51" s="74">
        <v>45448.0</v>
      </c>
      <c r="E51" s="36">
        <f t="shared" si="13"/>
        <v>45448</v>
      </c>
      <c r="F51" s="43"/>
      <c r="G51" s="43"/>
      <c r="H51" s="38" t="str">
        <f t="shared" si="6"/>
        <v/>
      </c>
      <c r="I51" s="43"/>
      <c r="J51" s="58" t="str">
        <f t="shared" si="14"/>
        <v/>
      </c>
      <c r="K51" s="43"/>
      <c r="L51" s="58" t="str">
        <f t="shared" si="8"/>
        <v/>
      </c>
      <c r="M51" s="43"/>
      <c r="N51" s="42" t="str">
        <f t="shared" si="9"/>
        <v/>
      </c>
      <c r="O51" s="43"/>
      <c r="P51" s="43" t="str">
        <f t="shared" si="12"/>
        <v/>
      </c>
      <c r="Q51" s="44">
        <f t="shared" si="11"/>
        <v>0</v>
      </c>
    </row>
    <row r="52" ht="15.75" customHeight="1">
      <c r="A52" s="45">
        <v>46.0</v>
      </c>
      <c r="B52" s="81"/>
      <c r="C52" s="73"/>
      <c r="D52" s="82">
        <v>45449.0</v>
      </c>
      <c r="E52" s="49">
        <f t="shared" si="13"/>
        <v>45449</v>
      </c>
      <c r="F52" s="54"/>
      <c r="G52" s="54"/>
      <c r="H52" s="51" t="str">
        <f t="shared" si="6"/>
        <v/>
      </c>
      <c r="I52" s="54"/>
      <c r="J52" s="53" t="str">
        <f t="shared" si="14"/>
        <v/>
      </c>
      <c r="K52" s="54"/>
      <c r="L52" s="53" t="str">
        <f t="shared" si="8"/>
        <v/>
      </c>
      <c r="M52" s="54"/>
      <c r="N52" s="55" t="str">
        <f t="shared" si="9"/>
        <v/>
      </c>
      <c r="O52" s="54"/>
      <c r="P52" s="54" t="str">
        <f t="shared" si="12"/>
        <v/>
      </c>
      <c r="Q52" s="56">
        <f t="shared" si="11"/>
        <v>0</v>
      </c>
    </row>
    <row r="53" ht="15.75" customHeight="1">
      <c r="A53" s="32">
        <v>47.0</v>
      </c>
      <c r="B53" s="79"/>
      <c r="C53" s="69"/>
      <c r="D53" s="74">
        <v>45450.0</v>
      </c>
      <c r="E53" s="36">
        <f t="shared" si="13"/>
        <v>45450</v>
      </c>
      <c r="F53" s="43"/>
      <c r="G53" s="43"/>
      <c r="H53" s="38" t="str">
        <f t="shared" si="6"/>
        <v/>
      </c>
      <c r="I53" s="43"/>
      <c r="J53" s="58" t="str">
        <f t="shared" si="14"/>
        <v/>
      </c>
      <c r="K53" s="43"/>
      <c r="L53" s="58" t="str">
        <f t="shared" si="8"/>
        <v/>
      </c>
      <c r="M53" s="43"/>
      <c r="N53" s="42" t="str">
        <f t="shared" si="9"/>
        <v/>
      </c>
      <c r="O53" s="43"/>
      <c r="P53" s="43" t="str">
        <f t="shared" si="12"/>
        <v/>
      </c>
      <c r="Q53" s="44">
        <f t="shared" si="11"/>
        <v>0</v>
      </c>
    </row>
    <row r="54" ht="15.75" customHeight="1">
      <c r="A54" s="45">
        <v>48.0</v>
      </c>
      <c r="B54" s="81"/>
      <c r="C54" s="73"/>
      <c r="D54" s="82">
        <v>45451.0</v>
      </c>
      <c r="E54" s="49">
        <f t="shared" si="13"/>
        <v>45451</v>
      </c>
      <c r="F54" s="54"/>
      <c r="G54" s="54"/>
      <c r="H54" s="51" t="str">
        <f t="shared" si="6"/>
        <v/>
      </c>
      <c r="I54" s="54"/>
      <c r="J54" s="53" t="str">
        <f t="shared" si="14"/>
        <v/>
      </c>
      <c r="K54" s="54"/>
      <c r="L54" s="53" t="str">
        <f t="shared" si="8"/>
        <v/>
      </c>
      <c r="M54" s="54"/>
      <c r="N54" s="55" t="str">
        <f t="shared" si="9"/>
        <v/>
      </c>
      <c r="O54" s="54"/>
      <c r="P54" s="54" t="str">
        <f t="shared" si="12"/>
        <v/>
      </c>
      <c r="Q54" s="56">
        <f t="shared" si="11"/>
        <v>0</v>
      </c>
    </row>
    <row r="55" ht="15.75" customHeight="1">
      <c r="A55" s="32">
        <v>49.0</v>
      </c>
      <c r="B55" s="79"/>
      <c r="C55" s="69"/>
      <c r="D55" s="74">
        <v>45457.0</v>
      </c>
      <c r="E55" s="36">
        <f t="shared" si="13"/>
        <v>45457</v>
      </c>
      <c r="F55" s="43"/>
      <c r="G55" s="43"/>
      <c r="H55" s="38" t="str">
        <f t="shared" si="6"/>
        <v/>
      </c>
      <c r="I55" s="43"/>
      <c r="J55" s="58" t="str">
        <f t="shared" si="14"/>
        <v/>
      </c>
      <c r="K55" s="43"/>
      <c r="L55" s="58" t="str">
        <f t="shared" si="8"/>
        <v/>
      </c>
      <c r="M55" s="43"/>
      <c r="N55" s="42" t="str">
        <f t="shared" si="9"/>
        <v/>
      </c>
      <c r="O55" s="43"/>
      <c r="P55" s="43" t="str">
        <f t="shared" si="12"/>
        <v/>
      </c>
      <c r="Q55" s="44">
        <f t="shared" si="11"/>
        <v>0</v>
      </c>
    </row>
    <row r="56" ht="15.75" customHeight="1">
      <c r="A56" s="45">
        <v>50.0</v>
      </c>
      <c r="B56" s="81"/>
      <c r="C56" s="73"/>
      <c r="D56" s="82">
        <v>45471.0</v>
      </c>
      <c r="E56" s="49">
        <f t="shared" si="13"/>
        <v>45471</v>
      </c>
      <c r="F56" s="54"/>
      <c r="G56" s="54"/>
      <c r="H56" s="51" t="str">
        <f t="shared" si="6"/>
        <v/>
      </c>
      <c r="I56" s="54"/>
      <c r="J56" s="53" t="str">
        <f t="shared" si="14"/>
        <v/>
      </c>
      <c r="K56" s="54"/>
      <c r="L56" s="53" t="str">
        <f t="shared" si="8"/>
        <v/>
      </c>
      <c r="M56" s="54"/>
      <c r="N56" s="55" t="str">
        <f t="shared" si="9"/>
        <v/>
      </c>
      <c r="O56" s="83"/>
      <c r="P56" s="54" t="str">
        <f t="shared" si="12"/>
        <v/>
      </c>
      <c r="Q56" s="56">
        <f t="shared" si="11"/>
        <v>0</v>
      </c>
    </row>
    <row r="57" ht="15.75" customHeight="1">
      <c r="A57" s="32">
        <v>51.0</v>
      </c>
      <c r="B57" s="79"/>
      <c r="C57" s="69"/>
      <c r="D57" s="74">
        <v>45478.0</v>
      </c>
      <c r="E57" s="36">
        <f t="shared" si="13"/>
        <v>45478</v>
      </c>
      <c r="F57" s="43"/>
      <c r="G57" s="43"/>
      <c r="H57" s="38" t="str">
        <f t="shared" si="6"/>
        <v/>
      </c>
      <c r="I57" s="43"/>
      <c r="J57" s="58" t="str">
        <f t="shared" si="14"/>
        <v/>
      </c>
      <c r="K57" s="43"/>
      <c r="L57" s="58" t="str">
        <f t="shared" si="8"/>
        <v/>
      </c>
      <c r="M57" s="43"/>
      <c r="N57" s="42" t="str">
        <f t="shared" si="9"/>
        <v/>
      </c>
      <c r="O57" s="43"/>
      <c r="P57" s="43" t="str">
        <f t="shared" si="12"/>
        <v/>
      </c>
      <c r="Q57" s="44">
        <f t="shared" si="11"/>
        <v>0</v>
      </c>
    </row>
    <row r="58" ht="15.75" customHeight="1">
      <c r="A58" s="45">
        <v>52.0</v>
      </c>
      <c r="B58" s="81"/>
      <c r="C58" s="73"/>
      <c r="D58" s="82">
        <v>45492.0</v>
      </c>
      <c r="E58" s="49">
        <f t="shared" si="13"/>
        <v>45492</v>
      </c>
      <c r="F58" s="54"/>
      <c r="G58" s="54"/>
      <c r="H58" s="51" t="str">
        <f t="shared" si="6"/>
        <v/>
      </c>
      <c r="I58" s="54"/>
      <c r="J58" s="53" t="str">
        <f t="shared" si="14"/>
        <v/>
      </c>
      <c r="K58" s="54"/>
      <c r="L58" s="53" t="str">
        <f t="shared" si="8"/>
        <v/>
      </c>
      <c r="M58" s="54"/>
      <c r="N58" s="55" t="str">
        <f t="shared" si="9"/>
        <v/>
      </c>
      <c r="O58" s="83"/>
      <c r="P58" s="54" t="str">
        <f t="shared" si="12"/>
        <v/>
      </c>
      <c r="Q58" s="56">
        <f t="shared" si="11"/>
        <v>0</v>
      </c>
    </row>
    <row r="59" ht="15.75" customHeight="1">
      <c r="A59" s="32">
        <v>53.0</v>
      </c>
      <c r="B59" s="79"/>
      <c r="C59" s="69"/>
      <c r="D59" s="74">
        <v>45495.0</v>
      </c>
      <c r="E59" s="36">
        <f t="shared" si="13"/>
        <v>45495</v>
      </c>
      <c r="F59" s="43"/>
      <c r="G59" s="43"/>
      <c r="H59" s="38" t="str">
        <f t="shared" si="6"/>
        <v/>
      </c>
      <c r="I59" s="43"/>
      <c r="J59" s="58" t="str">
        <f t="shared" si="14"/>
        <v/>
      </c>
      <c r="K59" s="43"/>
      <c r="L59" s="58" t="str">
        <f t="shared" si="8"/>
        <v/>
      </c>
      <c r="M59" s="43"/>
      <c r="N59" s="42" t="str">
        <f t="shared" si="9"/>
        <v/>
      </c>
      <c r="O59" s="80"/>
      <c r="P59" s="43" t="str">
        <f t="shared" si="12"/>
        <v/>
      </c>
      <c r="Q59" s="84">
        <f t="shared" si="11"/>
        <v>0</v>
      </c>
    </row>
    <row r="60" ht="15.75" customHeight="1">
      <c r="A60" s="45">
        <v>54.0</v>
      </c>
      <c r="B60" s="81"/>
      <c r="C60" s="73"/>
      <c r="D60" s="82">
        <v>45506.0</v>
      </c>
      <c r="E60" s="49">
        <f t="shared" si="13"/>
        <v>45506</v>
      </c>
      <c r="F60" s="54"/>
      <c r="G60" s="54"/>
      <c r="H60" s="51" t="str">
        <f t="shared" si="6"/>
        <v/>
      </c>
      <c r="I60" s="54"/>
      <c r="J60" s="53" t="str">
        <f t="shared" si="14"/>
        <v/>
      </c>
      <c r="K60" s="54"/>
      <c r="L60" s="53" t="str">
        <f t="shared" si="8"/>
        <v/>
      </c>
      <c r="M60" s="54"/>
      <c r="N60" s="55" t="str">
        <f t="shared" si="9"/>
        <v/>
      </c>
      <c r="O60" s="83"/>
      <c r="P60" s="54" t="str">
        <f t="shared" si="12"/>
        <v/>
      </c>
      <c r="Q60" s="85">
        <f t="shared" si="11"/>
        <v>0</v>
      </c>
    </row>
    <row r="61" ht="15.75" customHeight="1">
      <c r="A61" s="32">
        <v>55.0</v>
      </c>
      <c r="B61" s="79"/>
      <c r="C61" s="69"/>
      <c r="D61" s="74">
        <v>45513.0</v>
      </c>
      <c r="E61" s="36">
        <f t="shared" si="13"/>
        <v>45513</v>
      </c>
      <c r="F61" s="43"/>
      <c r="G61" s="43"/>
      <c r="H61" s="38" t="str">
        <f t="shared" si="6"/>
        <v/>
      </c>
      <c r="I61" s="43"/>
      <c r="J61" s="58" t="str">
        <f t="shared" si="14"/>
        <v/>
      </c>
      <c r="K61" s="43"/>
      <c r="L61" s="58" t="str">
        <f t="shared" si="8"/>
        <v/>
      </c>
      <c r="M61" s="43"/>
      <c r="N61" s="42" t="str">
        <f t="shared" si="9"/>
        <v/>
      </c>
      <c r="O61" s="80"/>
      <c r="P61" s="43" t="str">
        <f t="shared" si="12"/>
        <v/>
      </c>
      <c r="Q61" s="44">
        <f t="shared" si="11"/>
        <v>0</v>
      </c>
    </row>
    <row r="62" ht="15.75" customHeight="1">
      <c r="A62" s="45">
        <v>56.0</v>
      </c>
      <c r="B62" s="81"/>
      <c r="C62" s="73"/>
      <c r="D62" s="82">
        <v>45520.0</v>
      </c>
      <c r="E62" s="49">
        <f t="shared" si="13"/>
        <v>45520</v>
      </c>
      <c r="F62" s="54"/>
      <c r="G62" s="54"/>
      <c r="H62" s="51" t="str">
        <f t="shared" si="6"/>
        <v/>
      </c>
      <c r="I62" s="54"/>
      <c r="J62" s="53" t="str">
        <f t="shared" si="14"/>
        <v/>
      </c>
      <c r="K62" s="54"/>
      <c r="L62" s="53" t="str">
        <f t="shared" si="8"/>
        <v/>
      </c>
      <c r="M62" s="54"/>
      <c r="N62" s="55" t="str">
        <f t="shared" si="9"/>
        <v/>
      </c>
      <c r="O62" s="54"/>
      <c r="P62" s="54" t="str">
        <f t="shared" si="12"/>
        <v/>
      </c>
      <c r="Q62" s="56">
        <f t="shared" si="11"/>
        <v>0</v>
      </c>
    </row>
    <row r="63" ht="15.75" customHeight="1">
      <c r="A63" s="32">
        <v>57.0</v>
      </c>
      <c r="B63" s="79"/>
      <c r="C63" s="69"/>
      <c r="D63" s="74">
        <v>45521.0</v>
      </c>
      <c r="E63" s="36">
        <f t="shared" si="13"/>
        <v>45521</v>
      </c>
      <c r="F63" s="43"/>
      <c r="G63" s="43"/>
      <c r="H63" s="38" t="str">
        <f t="shared" si="6"/>
        <v/>
      </c>
      <c r="I63" s="43"/>
      <c r="J63" s="58" t="str">
        <f t="shared" si="14"/>
        <v/>
      </c>
      <c r="K63" s="43"/>
      <c r="L63" s="58" t="str">
        <f t="shared" si="8"/>
        <v/>
      </c>
      <c r="M63" s="43"/>
      <c r="N63" s="42" t="str">
        <f t="shared" si="9"/>
        <v/>
      </c>
      <c r="O63" s="80"/>
      <c r="P63" s="43" t="str">
        <f t="shared" si="12"/>
        <v/>
      </c>
      <c r="Q63" s="44">
        <f t="shared" si="11"/>
        <v>0</v>
      </c>
    </row>
    <row r="64" ht="15.75" customHeight="1">
      <c r="A64" s="45">
        <v>58.0</v>
      </c>
      <c r="B64" s="81"/>
      <c r="C64" s="73"/>
      <c r="D64" s="82">
        <v>12668.0</v>
      </c>
      <c r="E64" s="49">
        <f t="shared" si="13"/>
        <v>12668</v>
      </c>
      <c r="F64" s="54"/>
      <c r="G64" s="54"/>
      <c r="H64" s="51" t="str">
        <f t="shared" si="6"/>
        <v/>
      </c>
      <c r="I64" s="54"/>
      <c r="J64" s="53" t="str">
        <f t="shared" si="14"/>
        <v/>
      </c>
      <c r="K64" s="54"/>
      <c r="L64" s="53" t="str">
        <f t="shared" si="8"/>
        <v/>
      </c>
      <c r="M64" s="54"/>
      <c r="N64" s="55" t="str">
        <f t="shared" si="9"/>
        <v/>
      </c>
      <c r="O64" s="83"/>
      <c r="P64" s="54" t="str">
        <f t="shared" si="12"/>
        <v/>
      </c>
      <c r="Q64" s="56">
        <f t="shared" si="11"/>
        <v>0</v>
      </c>
    </row>
    <row r="65" ht="15.75" customHeight="1">
      <c r="A65" s="32">
        <v>59.0</v>
      </c>
      <c r="B65" s="79"/>
      <c r="C65" s="69"/>
      <c r="D65" s="74">
        <v>45542.0</v>
      </c>
      <c r="E65" s="36">
        <f t="shared" si="13"/>
        <v>45542</v>
      </c>
      <c r="F65" s="43"/>
      <c r="G65" s="43"/>
      <c r="H65" s="38" t="str">
        <f t="shared" si="6"/>
        <v/>
      </c>
      <c r="I65" s="43"/>
      <c r="J65" s="58" t="str">
        <f t="shared" si="14"/>
        <v/>
      </c>
      <c r="K65" s="43"/>
      <c r="L65" s="58" t="str">
        <f t="shared" si="8"/>
        <v/>
      </c>
      <c r="M65" s="43"/>
      <c r="N65" s="42" t="str">
        <f t="shared" si="9"/>
        <v/>
      </c>
      <c r="O65" s="80"/>
      <c r="P65" s="43" t="str">
        <f t="shared" si="12"/>
        <v/>
      </c>
      <c r="Q65" s="44">
        <f t="shared" si="11"/>
        <v>0</v>
      </c>
    </row>
    <row r="66" ht="15.75" customHeight="1">
      <c r="A66" s="45">
        <v>60.0</v>
      </c>
      <c r="B66" s="81"/>
      <c r="C66" s="73"/>
      <c r="D66" s="82">
        <v>45546.0</v>
      </c>
      <c r="E66" s="49">
        <f t="shared" si="13"/>
        <v>45546</v>
      </c>
      <c r="F66" s="54"/>
      <c r="G66" s="54"/>
      <c r="H66" s="51" t="str">
        <f t="shared" si="6"/>
        <v/>
      </c>
      <c r="I66" s="54"/>
      <c r="J66" s="53" t="str">
        <f t="shared" si="14"/>
        <v/>
      </c>
      <c r="K66" s="54"/>
      <c r="L66" s="53" t="str">
        <f t="shared" si="8"/>
        <v/>
      </c>
      <c r="M66" s="54"/>
      <c r="N66" s="55" t="str">
        <f t="shared" si="9"/>
        <v/>
      </c>
      <c r="O66" s="83"/>
      <c r="P66" s="54" t="str">
        <f t="shared" si="12"/>
        <v/>
      </c>
      <c r="Q66" s="85">
        <f t="shared" si="11"/>
        <v>0</v>
      </c>
    </row>
    <row r="67" ht="15.75" customHeight="1">
      <c r="A67" s="32">
        <v>61.0</v>
      </c>
      <c r="B67" s="79"/>
      <c r="C67" s="69"/>
      <c r="D67" s="74">
        <v>45548.0</v>
      </c>
      <c r="E67" s="36">
        <f t="shared" si="13"/>
        <v>45548</v>
      </c>
      <c r="F67" s="43"/>
      <c r="G67" s="43"/>
      <c r="H67" s="38" t="str">
        <f t="shared" si="6"/>
        <v/>
      </c>
      <c r="I67" s="43"/>
      <c r="J67" s="58" t="str">
        <f t="shared" si="14"/>
        <v/>
      </c>
      <c r="K67" s="43"/>
      <c r="L67" s="58" t="str">
        <f t="shared" si="8"/>
        <v/>
      </c>
      <c r="M67" s="43"/>
      <c r="N67" s="42" t="str">
        <f t="shared" si="9"/>
        <v/>
      </c>
      <c r="O67" s="80"/>
      <c r="P67" s="43" t="str">
        <f t="shared" si="12"/>
        <v/>
      </c>
      <c r="Q67" s="44">
        <f t="shared" si="11"/>
        <v>0</v>
      </c>
    </row>
    <row r="68" ht="15.75" customHeight="1">
      <c r="A68" s="45">
        <v>62.0</v>
      </c>
      <c r="B68" s="81"/>
      <c r="C68" s="73"/>
      <c r="D68" s="82">
        <v>45549.0</v>
      </c>
      <c r="E68" s="49">
        <f t="shared" si="13"/>
        <v>45549</v>
      </c>
      <c r="F68" s="54"/>
      <c r="G68" s="54"/>
      <c r="H68" s="51" t="str">
        <f t="shared" si="6"/>
        <v/>
      </c>
      <c r="I68" s="54"/>
      <c r="J68" s="53" t="str">
        <f t="shared" si="14"/>
        <v/>
      </c>
      <c r="K68" s="54"/>
      <c r="L68" s="53" t="str">
        <f t="shared" si="8"/>
        <v/>
      </c>
      <c r="M68" s="54"/>
      <c r="N68" s="55" t="str">
        <f t="shared" si="9"/>
        <v/>
      </c>
      <c r="O68" s="83"/>
      <c r="P68" s="54" t="str">
        <f t="shared" si="12"/>
        <v/>
      </c>
      <c r="Q68" s="56">
        <f t="shared" si="11"/>
        <v>0</v>
      </c>
    </row>
    <row r="69" ht="15.75" customHeight="1">
      <c r="A69" s="32">
        <v>63.0</v>
      </c>
      <c r="B69" s="79"/>
      <c r="C69" s="69"/>
      <c r="D69" s="74">
        <v>45553.0</v>
      </c>
      <c r="E69" s="36">
        <f t="shared" si="13"/>
        <v>45553</v>
      </c>
      <c r="F69" s="43"/>
      <c r="G69" s="43"/>
      <c r="H69" s="38" t="str">
        <f t="shared" si="6"/>
        <v/>
      </c>
      <c r="I69" s="43"/>
      <c r="J69" s="58" t="str">
        <f t="shared" si="14"/>
        <v/>
      </c>
      <c r="K69" s="43"/>
      <c r="L69" s="58" t="str">
        <f t="shared" si="8"/>
        <v/>
      </c>
      <c r="M69" s="43"/>
      <c r="N69" s="42" t="str">
        <f t="shared" si="9"/>
        <v/>
      </c>
      <c r="O69" s="43"/>
      <c r="P69" s="43" t="str">
        <f t="shared" si="12"/>
        <v/>
      </c>
      <c r="Q69" s="44">
        <f t="shared" si="11"/>
        <v>0</v>
      </c>
    </row>
    <row r="70" ht="15.75" customHeight="1">
      <c r="A70" s="45">
        <v>64.0</v>
      </c>
      <c r="B70" s="81"/>
      <c r="C70" s="73"/>
      <c r="D70" s="82">
        <v>45555.0</v>
      </c>
      <c r="E70" s="49">
        <f t="shared" si="13"/>
        <v>45555</v>
      </c>
      <c r="F70" s="54"/>
      <c r="G70" s="54"/>
      <c r="H70" s="51" t="str">
        <f t="shared" si="6"/>
        <v/>
      </c>
      <c r="I70" s="54"/>
      <c r="J70" s="53" t="str">
        <f t="shared" si="14"/>
        <v/>
      </c>
      <c r="K70" s="54"/>
      <c r="L70" s="53" t="str">
        <f t="shared" si="8"/>
        <v/>
      </c>
      <c r="M70" s="54"/>
      <c r="N70" s="55" t="str">
        <f t="shared" si="9"/>
        <v/>
      </c>
      <c r="O70" s="54"/>
      <c r="P70" s="54" t="str">
        <f t="shared" si="12"/>
        <v/>
      </c>
      <c r="Q70" s="56">
        <f t="shared" si="11"/>
        <v>0</v>
      </c>
    </row>
    <row r="71" ht="15.75" customHeight="1">
      <c r="A71" s="32">
        <v>65.0</v>
      </c>
      <c r="B71" s="79"/>
      <c r="C71" s="69"/>
      <c r="D71" s="74">
        <v>45556.0</v>
      </c>
      <c r="E71" s="36">
        <f t="shared" si="13"/>
        <v>45556</v>
      </c>
      <c r="F71" s="43"/>
      <c r="G71" s="43"/>
      <c r="H71" s="38" t="str">
        <f t="shared" si="6"/>
        <v/>
      </c>
      <c r="I71" s="43"/>
      <c r="J71" s="58" t="str">
        <f t="shared" si="14"/>
        <v/>
      </c>
      <c r="K71" s="43"/>
      <c r="L71" s="58" t="str">
        <f t="shared" si="8"/>
        <v/>
      </c>
      <c r="M71" s="43"/>
      <c r="N71" s="42" t="str">
        <f t="shared" si="9"/>
        <v/>
      </c>
      <c r="O71" s="43"/>
      <c r="P71" s="43" t="str">
        <f t="shared" si="12"/>
        <v/>
      </c>
      <c r="Q71" s="44">
        <f t="shared" si="11"/>
        <v>0</v>
      </c>
    </row>
    <row r="72" ht="15.75" customHeight="1">
      <c r="A72" s="45">
        <v>66.0</v>
      </c>
      <c r="B72" s="81"/>
      <c r="C72" s="73"/>
      <c r="D72" s="82">
        <v>45557.0</v>
      </c>
      <c r="E72" s="49">
        <f t="shared" si="13"/>
        <v>45557</v>
      </c>
      <c r="F72" s="54"/>
      <c r="G72" s="54"/>
      <c r="H72" s="51" t="str">
        <f t="shared" si="6"/>
        <v/>
      </c>
      <c r="I72" s="54"/>
      <c r="J72" s="53" t="str">
        <f t="shared" si="14"/>
        <v/>
      </c>
      <c r="K72" s="54"/>
      <c r="L72" s="53" t="str">
        <f t="shared" si="8"/>
        <v/>
      </c>
      <c r="M72" s="54"/>
      <c r="N72" s="55" t="str">
        <f t="shared" si="9"/>
        <v/>
      </c>
      <c r="O72" s="83"/>
      <c r="P72" s="54" t="str">
        <f t="shared" si="12"/>
        <v/>
      </c>
      <c r="Q72" s="56">
        <f t="shared" si="11"/>
        <v>0</v>
      </c>
    </row>
    <row r="73" ht="15.75" customHeight="1">
      <c r="A73" s="32">
        <v>67.0</v>
      </c>
      <c r="B73" s="79"/>
      <c r="C73" s="69"/>
      <c r="D73" s="74">
        <v>45562.0</v>
      </c>
      <c r="E73" s="36">
        <f t="shared" si="13"/>
        <v>45562</v>
      </c>
      <c r="F73" s="43"/>
      <c r="G73" s="43"/>
      <c r="H73" s="38" t="str">
        <f t="shared" si="6"/>
        <v/>
      </c>
      <c r="I73" s="43"/>
      <c r="J73" s="58" t="str">
        <f t="shared" si="14"/>
        <v/>
      </c>
      <c r="K73" s="43"/>
      <c r="L73" s="58" t="str">
        <f t="shared" si="8"/>
        <v/>
      </c>
      <c r="M73" s="43"/>
      <c r="N73" s="42" t="str">
        <f t="shared" si="9"/>
        <v/>
      </c>
      <c r="O73" s="43"/>
      <c r="P73" s="43" t="str">
        <f t="shared" si="12"/>
        <v/>
      </c>
      <c r="Q73" s="44">
        <f t="shared" si="11"/>
        <v>0</v>
      </c>
    </row>
    <row r="74" ht="15.75" customHeight="1">
      <c r="A74" s="45">
        <v>68.0</v>
      </c>
      <c r="B74" s="81"/>
      <c r="C74" s="73"/>
      <c r="D74" s="82">
        <v>45563.0</v>
      </c>
      <c r="E74" s="49">
        <f t="shared" si="13"/>
        <v>45563</v>
      </c>
      <c r="F74" s="54"/>
      <c r="G74" s="54"/>
      <c r="H74" s="51" t="str">
        <f t="shared" si="6"/>
        <v/>
      </c>
      <c r="I74" s="54"/>
      <c r="J74" s="53" t="str">
        <f t="shared" si="14"/>
        <v/>
      </c>
      <c r="K74" s="54"/>
      <c r="L74" s="53" t="str">
        <f t="shared" si="8"/>
        <v/>
      </c>
      <c r="M74" s="54"/>
      <c r="N74" s="55" t="str">
        <f t="shared" si="9"/>
        <v/>
      </c>
      <c r="O74" s="54"/>
      <c r="P74" s="54" t="str">
        <f t="shared" si="12"/>
        <v/>
      </c>
      <c r="Q74" s="56">
        <f t="shared" si="11"/>
        <v>0</v>
      </c>
    </row>
    <row r="75" ht="15.75" customHeight="1">
      <c r="A75" s="32">
        <v>69.0</v>
      </c>
      <c r="B75" s="79"/>
      <c r="C75" s="69"/>
      <c r="D75" s="74">
        <v>45568.0</v>
      </c>
      <c r="E75" s="36">
        <f t="shared" si="13"/>
        <v>45568</v>
      </c>
      <c r="F75" s="43"/>
      <c r="G75" s="43"/>
      <c r="H75" s="38" t="str">
        <f t="shared" si="6"/>
        <v/>
      </c>
      <c r="I75" s="43"/>
      <c r="J75" s="58" t="str">
        <f t="shared" si="14"/>
        <v/>
      </c>
      <c r="K75" s="43"/>
      <c r="L75" s="58" t="str">
        <f t="shared" si="8"/>
        <v/>
      </c>
      <c r="M75" s="43"/>
      <c r="N75" s="42" t="str">
        <f t="shared" si="9"/>
        <v/>
      </c>
      <c r="O75" s="80"/>
      <c r="P75" s="43" t="str">
        <f t="shared" si="12"/>
        <v/>
      </c>
      <c r="Q75" s="84">
        <f t="shared" si="11"/>
        <v>0</v>
      </c>
    </row>
    <row r="76" ht="15.75" customHeight="1">
      <c r="A76" s="45">
        <v>70.0</v>
      </c>
      <c r="B76" s="81"/>
      <c r="C76" s="73"/>
      <c r="D76" s="82">
        <v>45569.0</v>
      </c>
      <c r="E76" s="49">
        <f t="shared" si="13"/>
        <v>45569</v>
      </c>
      <c r="F76" s="54"/>
      <c r="G76" s="54"/>
      <c r="H76" s="51" t="str">
        <f t="shared" si="6"/>
        <v/>
      </c>
      <c r="I76" s="54"/>
      <c r="J76" s="53" t="str">
        <f t="shared" si="14"/>
        <v/>
      </c>
      <c r="K76" s="54"/>
      <c r="L76" s="53" t="str">
        <f t="shared" si="8"/>
        <v/>
      </c>
      <c r="M76" s="54"/>
      <c r="N76" s="55" t="str">
        <f t="shared" si="9"/>
        <v/>
      </c>
      <c r="O76" s="83"/>
      <c r="P76" s="54" t="str">
        <f t="shared" si="12"/>
        <v/>
      </c>
      <c r="Q76" s="85">
        <f t="shared" si="11"/>
        <v>0</v>
      </c>
    </row>
    <row r="77" ht="15.75" customHeight="1">
      <c r="A77" s="32">
        <v>71.0</v>
      </c>
      <c r="B77" s="79"/>
      <c r="C77" s="69"/>
      <c r="D77" s="74">
        <v>45570.0</v>
      </c>
      <c r="E77" s="36">
        <f t="shared" si="13"/>
        <v>45570</v>
      </c>
      <c r="F77" s="43"/>
      <c r="G77" s="43"/>
      <c r="H77" s="38" t="str">
        <f t="shared" si="6"/>
        <v/>
      </c>
      <c r="I77" s="43"/>
      <c r="J77" s="58" t="str">
        <f t="shared" si="14"/>
        <v/>
      </c>
      <c r="K77" s="43"/>
      <c r="L77" s="58" t="str">
        <f t="shared" si="8"/>
        <v/>
      </c>
      <c r="M77" s="43"/>
      <c r="N77" s="42" t="str">
        <f t="shared" si="9"/>
        <v/>
      </c>
      <c r="O77" s="43"/>
      <c r="P77" s="43" t="str">
        <f t="shared" si="12"/>
        <v/>
      </c>
      <c r="Q77" s="44">
        <f t="shared" si="11"/>
        <v>0</v>
      </c>
    </row>
    <row r="78" ht="15.75" customHeight="1">
      <c r="A78" s="45">
        <v>72.0</v>
      </c>
      <c r="B78" s="81"/>
      <c r="C78" s="73"/>
      <c r="D78" s="82">
        <v>45571.0</v>
      </c>
      <c r="E78" s="49">
        <f t="shared" si="13"/>
        <v>45571</v>
      </c>
      <c r="F78" s="54"/>
      <c r="G78" s="54"/>
      <c r="H78" s="51" t="str">
        <f t="shared" si="6"/>
        <v/>
      </c>
      <c r="I78" s="54"/>
      <c r="J78" s="53" t="str">
        <f t="shared" si="14"/>
        <v/>
      </c>
      <c r="K78" s="86"/>
      <c r="L78" s="53" t="str">
        <f t="shared" si="8"/>
        <v/>
      </c>
      <c r="M78" s="54"/>
      <c r="N78" s="55" t="str">
        <f t="shared" si="9"/>
        <v/>
      </c>
      <c r="O78" s="54"/>
      <c r="P78" s="54" t="str">
        <f t="shared" si="12"/>
        <v/>
      </c>
      <c r="Q78" s="56">
        <f t="shared" si="11"/>
        <v>0</v>
      </c>
    </row>
    <row r="79" ht="15.75" customHeight="1">
      <c r="A79" s="32">
        <v>73.0</v>
      </c>
      <c r="B79" s="79"/>
      <c r="C79" s="69"/>
      <c r="D79" s="74">
        <v>45573.0</v>
      </c>
      <c r="E79" s="36">
        <f t="shared" si="13"/>
        <v>45573</v>
      </c>
      <c r="F79" s="43"/>
      <c r="G79" s="43"/>
      <c r="H79" s="38" t="str">
        <f t="shared" si="6"/>
        <v/>
      </c>
      <c r="I79" s="43"/>
      <c r="J79" s="58" t="str">
        <f t="shared" si="14"/>
        <v/>
      </c>
      <c r="K79" s="43"/>
      <c r="L79" s="58" t="str">
        <f t="shared" si="8"/>
        <v/>
      </c>
      <c r="M79" s="43"/>
      <c r="N79" s="42" t="str">
        <f t="shared" si="9"/>
        <v/>
      </c>
      <c r="O79" s="80"/>
      <c r="P79" s="43" t="str">
        <f t="shared" si="12"/>
        <v/>
      </c>
      <c r="Q79" s="84">
        <f t="shared" si="11"/>
        <v>0</v>
      </c>
    </row>
    <row r="80" ht="15.75" customHeight="1">
      <c r="A80" s="45">
        <v>74.0</v>
      </c>
      <c r="B80" s="81"/>
      <c r="C80" s="73"/>
      <c r="D80" s="82">
        <v>45575.0</v>
      </c>
      <c r="E80" s="49">
        <f t="shared" si="13"/>
        <v>45575</v>
      </c>
      <c r="F80" s="54"/>
      <c r="G80" s="54"/>
      <c r="H80" s="51" t="str">
        <f t="shared" si="6"/>
        <v/>
      </c>
      <c r="I80" s="54"/>
      <c r="J80" s="53" t="str">
        <f t="shared" si="14"/>
        <v/>
      </c>
      <c r="K80" s="54"/>
      <c r="L80" s="53" t="str">
        <f t="shared" si="8"/>
        <v/>
      </c>
      <c r="M80" s="54"/>
      <c r="N80" s="55" t="str">
        <f t="shared" si="9"/>
        <v/>
      </c>
      <c r="O80" s="83"/>
      <c r="P80" s="54" t="str">
        <f t="shared" si="12"/>
        <v/>
      </c>
      <c r="Q80" s="56">
        <f t="shared" si="11"/>
        <v>0</v>
      </c>
    </row>
    <row r="81" ht="15.75" customHeight="1">
      <c r="A81" s="32">
        <v>75.0</v>
      </c>
      <c r="B81" s="79"/>
      <c r="C81" s="69"/>
      <c r="D81" s="74">
        <v>45576.0</v>
      </c>
      <c r="E81" s="36">
        <f t="shared" si="13"/>
        <v>45576</v>
      </c>
      <c r="F81" s="43"/>
      <c r="G81" s="43"/>
      <c r="H81" s="38" t="str">
        <f t="shared" si="6"/>
        <v/>
      </c>
      <c r="I81" s="43"/>
      <c r="J81" s="58" t="str">
        <f t="shared" si="14"/>
        <v/>
      </c>
      <c r="K81" s="43"/>
      <c r="L81" s="58" t="str">
        <f t="shared" si="8"/>
        <v/>
      </c>
      <c r="M81" s="43"/>
      <c r="N81" s="42" t="str">
        <f t="shared" si="9"/>
        <v/>
      </c>
      <c r="O81" s="80"/>
      <c r="P81" s="43" t="str">
        <f t="shared" si="12"/>
        <v/>
      </c>
      <c r="Q81" s="44">
        <f t="shared" si="11"/>
        <v>0</v>
      </c>
    </row>
    <row r="82" ht="15.75" customHeight="1">
      <c r="A82" s="45">
        <v>76.0</v>
      </c>
      <c r="B82" s="81"/>
      <c r="C82" s="73"/>
      <c r="D82" s="82">
        <v>45577.0</v>
      </c>
      <c r="E82" s="49">
        <f t="shared" si="13"/>
        <v>45577</v>
      </c>
      <c r="F82" s="54"/>
      <c r="G82" s="54"/>
      <c r="H82" s="51" t="str">
        <f t="shared" si="6"/>
        <v/>
      </c>
      <c r="I82" s="54"/>
      <c r="J82" s="53" t="str">
        <f t="shared" si="14"/>
        <v/>
      </c>
      <c r="K82" s="54"/>
      <c r="L82" s="53" t="str">
        <f t="shared" si="8"/>
        <v/>
      </c>
      <c r="M82" s="54"/>
      <c r="N82" s="55" t="str">
        <f t="shared" si="9"/>
        <v/>
      </c>
      <c r="O82" s="54"/>
      <c r="P82" s="54" t="str">
        <f t="shared" si="12"/>
        <v/>
      </c>
      <c r="Q82" s="56">
        <f t="shared" si="11"/>
        <v>0</v>
      </c>
    </row>
    <row r="83" ht="15.75" customHeight="1">
      <c r="A83" s="32">
        <v>77.0</v>
      </c>
      <c r="B83" s="79"/>
      <c r="C83" s="69"/>
      <c r="D83" s="74">
        <v>45578.0</v>
      </c>
      <c r="E83" s="36">
        <f t="shared" si="13"/>
        <v>45578</v>
      </c>
      <c r="F83" s="43"/>
      <c r="G83" s="43"/>
      <c r="H83" s="38" t="str">
        <f t="shared" si="6"/>
        <v/>
      </c>
      <c r="I83" s="43"/>
      <c r="J83" s="58" t="str">
        <f t="shared" si="14"/>
        <v/>
      </c>
      <c r="K83" s="43"/>
      <c r="L83" s="58" t="str">
        <f t="shared" si="8"/>
        <v/>
      </c>
      <c r="M83" s="43"/>
      <c r="N83" s="42" t="str">
        <f t="shared" si="9"/>
        <v/>
      </c>
      <c r="O83" s="43"/>
      <c r="P83" s="43" t="str">
        <f t="shared" si="12"/>
        <v/>
      </c>
      <c r="Q83" s="44">
        <f t="shared" si="11"/>
        <v>0</v>
      </c>
    </row>
    <row r="84" ht="15.75" customHeight="1">
      <c r="A84" s="45">
        <v>78.0</v>
      </c>
      <c r="B84" s="81"/>
      <c r="C84" s="73"/>
      <c r="D84" s="82">
        <v>45583.0</v>
      </c>
      <c r="E84" s="49">
        <f t="shared" si="13"/>
        <v>45583</v>
      </c>
      <c r="F84" s="54"/>
      <c r="G84" s="54"/>
      <c r="H84" s="51" t="str">
        <f t="shared" si="6"/>
        <v/>
      </c>
      <c r="I84" s="54"/>
      <c r="J84" s="53" t="str">
        <f t="shared" si="14"/>
        <v/>
      </c>
      <c r="K84" s="54"/>
      <c r="L84" s="53" t="str">
        <f t="shared" si="8"/>
        <v/>
      </c>
      <c r="M84" s="54"/>
      <c r="N84" s="55" t="str">
        <f t="shared" si="9"/>
        <v/>
      </c>
      <c r="O84" s="83"/>
      <c r="P84" s="54" t="str">
        <f t="shared" si="12"/>
        <v/>
      </c>
      <c r="Q84" s="56">
        <f t="shared" si="11"/>
        <v>0</v>
      </c>
    </row>
    <row r="85" ht="15.75" customHeight="1">
      <c r="A85" s="32">
        <v>79.0</v>
      </c>
      <c r="B85" s="79"/>
      <c r="C85" s="69"/>
      <c r="D85" s="74">
        <v>45584.0</v>
      </c>
      <c r="E85" s="36">
        <f t="shared" si="13"/>
        <v>45584</v>
      </c>
      <c r="F85" s="43"/>
      <c r="G85" s="43"/>
      <c r="H85" s="38" t="str">
        <f t="shared" si="6"/>
        <v/>
      </c>
      <c r="I85" s="43"/>
      <c r="J85" s="58" t="str">
        <f t="shared" si="14"/>
        <v/>
      </c>
      <c r="K85" s="43"/>
      <c r="L85" s="58" t="str">
        <f t="shared" si="8"/>
        <v/>
      </c>
      <c r="M85" s="43"/>
      <c r="N85" s="42" t="str">
        <f t="shared" si="9"/>
        <v/>
      </c>
      <c r="O85" s="43"/>
      <c r="P85" s="43" t="str">
        <f t="shared" si="12"/>
        <v/>
      </c>
      <c r="Q85" s="44">
        <f t="shared" si="11"/>
        <v>0</v>
      </c>
    </row>
    <row r="86" ht="15.75" customHeight="1">
      <c r="A86" s="45">
        <v>80.0</v>
      </c>
      <c r="B86" s="81"/>
      <c r="C86" s="73"/>
      <c r="D86" s="82">
        <v>45590.0</v>
      </c>
      <c r="E86" s="49">
        <f t="shared" si="13"/>
        <v>45590</v>
      </c>
      <c r="F86" s="54"/>
      <c r="G86" s="54"/>
      <c r="H86" s="51" t="str">
        <f t="shared" si="6"/>
        <v/>
      </c>
      <c r="I86" s="54"/>
      <c r="J86" s="53" t="str">
        <f t="shared" si="14"/>
        <v/>
      </c>
      <c r="K86" s="54"/>
      <c r="L86" s="53" t="str">
        <f t="shared" si="8"/>
        <v/>
      </c>
      <c r="M86" s="54"/>
      <c r="N86" s="55" t="str">
        <f t="shared" si="9"/>
        <v/>
      </c>
      <c r="O86" s="83"/>
      <c r="P86" s="54" t="str">
        <f t="shared" si="12"/>
        <v/>
      </c>
      <c r="Q86" s="56">
        <f t="shared" si="11"/>
        <v>0</v>
      </c>
    </row>
    <row r="87" ht="15.75" customHeight="1">
      <c r="A87" s="32">
        <v>81.0</v>
      </c>
      <c r="B87" s="79"/>
      <c r="C87" s="69"/>
      <c r="D87" s="74">
        <v>45591.0</v>
      </c>
      <c r="E87" s="36">
        <f t="shared" si="13"/>
        <v>45591</v>
      </c>
      <c r="F87" s="43"/>
      <c r="G87" s="43"/>
      <c r="H87" s="38" t="str">
        <f t="shared" si="6"/>
        <v/>
      </c>
      <c r="I87" s="43"/>
      <c r="J87" s="58" t="str">
        <f t="shared" si="14"/>
        <v/>
      </c>
      <c r="K87" s="43"/>
      <c r="L87" s="58" t="str">
        <f t="shared" si="8"/>
        <v/>
      </c>
      <c r="M87" s="43"/>
      <c r="N87" s="42" t="str">
        <f t="shared" si="9"/>
        <v/>
      </c>
      <c r="O87" s="80"/>
      <c r="P87" s="43" t="str">
        <f t="shared" si="12"/>
        <v/>
      </c>
      <c r="Q87" s="44">
        <f t="shared" si="11"/>
        <v>0</v>
      </c>
    </row>
    <row r="88" ht="15.75" customHeight="1">
      <c r="A88" s="45">
        <v>82.0</v>
      </c>
      <c r="B88" s="87"/>
      <c r="C88" s="73"/>
      <c r="D88" s="82">
        <v>45596.0</v>
      </c>
      <c r="E88" s="49">
        <f t="shared" si="13"/>
        <v>45596</v>
      </c>
      <c r="F88" s="54"/>
      <c r="G88" s="54"/>
      <c r="H88" s="51" t="str">
        <f t="shared" si="6"/>
        <v/>
      </c>
      <c r="I88" s="54"/>
      <c r="J88" s="53" t="str">
        <f t="shared" si="14"/>
        <v/>
      </c>
      <c r="K88" s="54"/>
      <c r="L88" s="53" t="str">
        <f t="shared" si="8"/>
        <v/>
      </c>
      <c r="M88" s="54"/>
      <c r="N88" s="55" t="str">
        <f t="shared" si="9"/>
        <v/>
      </c>
      <c r="O88" s="54"/>
      <c r="P88" s="54" t="str">
        <f t="shared" si="12"/>
        <v/>
      </c>
      <c r="Q88" s="56">
        <f t="shared" si="11"/>
        <v>0</v>
      </c>
    </row>
    <row r="89" ht="15.75" customHeight="1">
      <c r="A89" s="32">
        <v>83.0</v>
      </c>
      <c r="B89" s="79"/>
      <c r="C89" s="69"/>
      <c r="D89" s="74">
        <v>45597.0</v>
      </c>
      <c r="E89" s="36">
        <f t="shared" si="13"/>
        <v>45597</v>
      </c>
      <c r="F89" s="43"/>
      <c r="G89" s="43"/>
      <c r="H89" s="38" t="str">
        <f t="shared" si="6"/>
        <v/>
      </c>
      <c r="I89" s="43"/>
      <c r="J89" s="58" t="str">
        <f t="shared" si="14"/>
        <v/>
      </c>
      <c r="K89" s="43"/>
      <c r="L89" s="58" t="str">
        <f t="shared" si="8"/>
        <v/>
      </c>
      <c r="M89" s="43"/>
      <c r="N89" s="42" t="str">
        <f t="shared" si="9"/>
        <v/>
      </c>
      <c r="O89" s="43"/>
      <c r="P89" s="43" t="str">
        <f t="shared" si="12"/>
        <v/>
      </c>
      <c r="Q89" s="44">
        <f t="shared" si="11"/>
        <v>0</v>
      </c>
    </row>
    <row r="90" ht="15.75" customHeight="1">
      <c r="A90" s="45">
        <v>84.0</v>
      </c>
      <c r="B90" s="81"/>
      <c r="C90" s="73"/>
      <c r="D90" s="82">
        <v>45598.0</v>
      </c>
      <c r="E90" s="49">
        <f t="shared" si="13"/>
        <v>45598</v>
      </c>
      <c r="F90" s="54"/>
      <c r="G90" s="54"/>
      <c r="H90" s="51" t="str">
        <f t="shared" si="6"/>
        <v/>
      </c>
      <c r="I90" s="54"/>
      <c r="J90" s="53" t="str">
        <f t="shared" si="14"/>
        <v/>
      </c>
      <c r="K90" s="54"/>
      <c r="L90" s="53" t="str">
        <f t="shared" si="8"/>
        <v/>
      </c>
      <c r="M90" s="54"/>
      <c r="N90" s="55" t="str">
        <f t="shared" si="9"/>
        <v/>
      </c>
      <c r="O90" s="83"/>
      <c r="P90" s="54" t="str">
        <f t="shared" si="12"/>
        <v/>
      </c>
      <c r="Q90" s="85">
        <f t="shared" si="11"/>
        <v>0</v>
      </c>
    </row>
    <row r="91" ht="15.75" customHeight="1">
      <c r="A91" s="32">
        <v>85.0</v>
      </c>
      <c r="B91" s="79"/>
      <c r="C91" s="69"/>
      <c r="D91" s="74">
        <v>45604.0</v>
      </c>
      <c r="E91" s="36">
        <f t="shared" si="13"/>
        <v>45604</v>
      </c>
      <c r="F91" s="43"/>
      <c r="G91" s="43"/>
      <c r="H91" s="38" t="str">
        <f t="shared" si="6"/>
        <v/>
      </c>
      <c r="I91" s="43"/>
      <c r="J91" s="58" t="str">
        <f t="shared" si="14"/>
        <v/>
      </c>
      <c r="K91" s="43"/>
      <c r="L91" s="58" t="str">
        <f t="shared" si="8"/>
        <v/>
      </c>
      <c r="M91" s="43"/>
      <c r="N91" s="42" t="str">
        <f t="shared" si="9"/>
        <v/>
      </c>
      <c r="O91" s="80"/>
      <c r="P91" s="43" t="str">
        <f t="shared" si="12"/>
        <v/>
      </c>
      <c r="Q91" s="44">
        <f t="shared" si="11"/>
        <v>0</v>
      </c>
    </row>
    <row r="92" ht="15.75" customHeight="1">
      <c r="A92" s="45">
        <v>86.0</v>
      </c>
      <c r="B92" s="81"/>
      <c r="C92" s="73"/>
      <c r="D92" s="82">
        <v>45605.0</v>
      </c>
      <c r="E92" s="49">
        <f t="shared" si="13"/>
        <v>45605</v>
      </c>
      <c r="F92" s="54"/>
      <c r="G92" s="54"/>
      <c r="H92" s="51" t="str">
        <f t="shared" si="6"/>
        <v/>
      </c>
      <c r="I92" s="54"/>
      <c r="J92" s="53" t="str">
        <f t="shared" si="14"/>
        <v/>
      </c>
      <c r="K92" s="54"/>
      <c r="L92" s="53" t="str">
        <f t="shared" si="8"/>
        <v/>
      </c>
      <c r="M92" s="54"/>
      <c r="N92" s="55" t="str">
        <f t="shared" si="9"/>
        <v/>
      </c>
      <c r="O92" s="83"/>
      <c r="P92" s="54" t="str">
        <f t="shared" si="12"/>
        <v/>
      </c>
      <c r="Q92" s="56">
        <f t="shared" si="11"/>
        <v>0</v>
      </c>
    </row>
    <row r="93" ht="15.75" customHeight="1">
      <c r="A93" s="32">
        <v>87.0</v>
      </c>
      <c r="B93" s="79"/>
      <c r="C93" s="69"/>
      <c r="D93" s="74">
        <v>45608.0</v>
      </c>
      <c r="E93" s="36">
        <f t="shared" si="13"/>
        <v>45608</v>
      </c>
      <c r="F93" s="43"/>
      <c r="G93" s="43"/>
      <c r="H93" s="38" t="str">
        <f t="shared" si="6"/>
        <v/>
      </c>
      <c r="I93" s="43"/>
      <c r="J93" s="58" t="str">
        <f t="shared" si="14"/>
        <v/>
      </c>
      <c r="K93" s="43"/>
      <c r="L93" s="58" t="str">
        <f t="shared" si="8"/>
        <v/>
      </c>
      <c r="M93" s="43"/>
      <c r="N93" s="42" t="str">
        <f t="shared" si="9"/>
        <v/>
      </c>
      <c r="O93" s="80"/>
      <c r="P93" s="43" t="str">
        <f t="shared" si="12"/>
        <v/>
      </c>
      <c r="Q93" s="84">
        <f t="shared" si="11"/>
        <v>0</v>
      </c>
    </row>
    <row r="94" ht="15.75" customHeight="1">
      <c r="A94" s="45">
        <v>88.0</v>
      </c>
      <c r="B94" s="81"/>
      <c r="C94" s="73"/>
      <c r="D94" s="82">
        <v>45611.0</v>
      </c>
      <c r="E94" s="49">
        <f t="shared" si="13"/>
        <v>45611</v>
      </c>
      <c r="F94" s="54"/>
      <c r="G94" s="54"/>
      <c r="H94" s="51" t="str">
        <f t="shared" si="6"/>
        <v/>
      </c>
      <c r="I94" s="54"/>
      <c r="J94" s="53" t="str">
        <f t="shared" si="14"/>
        <v/>
      </c>
      <c r="K94" s="54"/>
      <c r="L94" s="53" t="str">
        <f t="shared" si="8"/>
        <v/>
      </c>
      <c r="M94" s="54"/>
      <c r="N94" s="55" t="str">
        <f t="shared" si="9"/>
        <v/>
      </c>
      <c r="O94" s="83"/>
      <c r="P94" s="54" t="str">
        <f t="shared" si="12"/>
        <v/>
      </c>
      <c r="Q94" s="56">
        <f t="shared" si="11"/>
        <v>0</v>
      </c>
    </row>
    <row r="95" ht="15.75" customHeight="1">
      <c r="A95" s="32">
        <v>89.0</v>
      </c>
      <c r="B95" s="79"/>
      <c r="C95" s="69"/>
      <c r="D95" s="74">
        <v>45612.0</v>
      </c>
      <c r="E95" s="36">
        <f t="shared" si="13"/>
        <v>45612</v>
      </c>
      <c r="F95" s="43"/>
      <c r="G95" s="43"/>
      <c r="H95" s="38" t="str">
        <f t="shared" si="6"/>
        <v/>
      </c>
      <c r="I95" s="43"/>
      <c r="J95" s="58" t="str">
        <f t="shared" si="14"/>
        <v/>
      </c>
      <c r="K95" s="43"/>
      <c r="L95" s="58" t="str">
        <f t="shared" si="8"/>
        <v/>
      </c>
      <c r="M95" s="43"/>
      <c r="N95" s="42" t="str">
        <f t="shared" si="9"/>
        <v/>
      </c>
      <c r="O95" s="43"/>
      <c r="P95" s="43" t="str">
        <f t="shared" si="12"/>
        <v/>
      </c>
      <c r="Q95" s="44">
        <f t="shared" si="11"/>
        <v>0</v>
      </c>
    </row>
    <row r="96" ht="15.75" customHeight="1">
      <c r="A96" s="45">
        <v>90.0</v>
      </c>
      <c r="B96" s="81"/>
      <c r="C96" s="73"/>
      <c r="D96" s="82">
        <v>45615.0</v>
      </c>
      <c r="E96" s="49">
        <f t="shared" si="13"/>
        <v>45615</v>
      </c>
      <c r="F96" s="54"/>
      <c r="G96" s="54"/>
      <c r="H96" s="51" t="str">
        <f t="shared" si="6"/>
        <v/>
      </c>
      <c r="I96" s="54"/>
      <c r="J96" s="53" t="str">
        <f t="shared" si="14"/>
        <v/>
      </c>
      <c r="K96" s="54"/>
      <c r="L96" s="53" t="str">
        <f t="shared" si="8"/>
        <v/>
      </c>
      <c r="M96" s="54"/>
      <c r="N96" s="55" t="str">
        <f t="shared" si="9"/>
        <v/>
      </c>
      <c r="O96" s="54"/>
      <c r="P96" s="54" t="str">
        <f t="shared" si="12"/>
        <v/>
      </c>
      <c r="Q96" s="56">
        <f t="shared" si="11"/>
        <v>0</v>
      </c>
    </row>
    <row r="97" ht="15.75" customHeight="1">
      <c r="A97" s="32">
        <v>91.0</v>
      </c>
      <c r="B97" s="79"/>
      <c r="C97" s="69"/>
      <c r="D97" s="74">
        <v>45618.0</v>
      </c>
      <c r="E97" s="36">
        <f t="shared" si="13"/>
        <v>45618</v>
      </c>
      <c r="F97" s="43"/>
      <c r="G97" s="43"/>
      <c r="H97" s="38" t="str">
        <f t="shared" si="6"/>
        <v/>
      </c>
      <c r="I97" s="43"/>
      <c r="J97" s="58" t="str">
        <f t="shared" si="14"/>
        <v/>
      </c>
      <c r="K97" s="43"/>
      <c r="L97" s="58" t="str">
        <f t="shared" si="8"/>
        <v/>
      </c>
      <c r="M97" s="43"/>
      <c r="N97" s="42" t="str">
        <f t="shared" si="9"/>
        <v/>
      </c>
      <c r="O97" s="43"/>
      <c r="P97" s="43" t="str">
        <f t="shared" si="12"/>
        <v/>
      </c>
      <c r="Q97" s="44">
        <f t="shared" si="11"/>
        <v>0</v>
      </c>
    </row>
    <row r="98" ht="15.75" customHeight="1">
      <c r="A98" s="45">
        <v>92.0</v>
      </c>
      <c r="B98" s="81"/>
      <c r="C98" s="73"/>
      <c r="D98" s="82">
        <v>45619.0</v>
      </c>
      <c r="E98" s="49">
        <f t="shared" si="13"/>
        <v>45619</v>
      </c>
      <c r="F98" s="54"/>
      <c r="G98" s="54"/>
      <c r="H98" s="51" t="str">
        <f t="shared" si="6"/>
        <v/>
      </c>
      <c r="I98" s="54"/>
      <c r="J98" s="53" t="str">
        <f t="shared" si="14"/>
        <v/>
      </c>
      <c r="K98" s="54"/>
      <c r="L98" s="53" t="str">
        <f t="shared" si="8"/>
        <v/>
      </c>
      <c r="M98" s="54"/>
      <c r="N98" s="55" t="str">
        <f t="shared" si="9"/>
        <v/>
      </c>
      <c r="O98" s="83"/>
      <c r="P98" s="54" t="str">
        <f t="shared" si="12"/>
        <v/>
      </c>
      <c r="Q98" s="56">
        <f t="shared" si="11"/>
        <v>0</v>
      </c>
    </row>
    <row r="99" ht="15.75" customHeight="1">
      <c r="A99" s="32">
        <v>93.0</v>
      </c>
      <c r="B99" s="79"/>
      <c r="C99" s="69"/>
      <c r="D99" s="74">
        <v>45625.0</v>
      </c>
      <c r="E99" s="36">
        <f t="shared" si="13"/>
        <v>45625</v>
      </c>
      <c r="F99" s="43"/>
      <c r="G99" s="43"/>
      <c r="H99" s="38" t="str">
        <f t="shared" si="6"/>
        <v/>
      </c>
      <c r="I99" s="43"/>
      <c r="J99" s="58" t="str">
        <f t="shared" si="14"/>
        <v/>
      </c>
      <c r="K99" s="43"/>
      <c r="L99" s="58" t="str">
        <f t="shared" si="8"/>
        <v/>
      </c>
      <c r="M99" s="43"/>
      <c r="N99" s="42" t="str">
        <f t="shared" si="9"/>
        <v/>
      </c>
      <c r="O99" s="80"/>
      <c r="P99" s="43" t="str">
        <f t="shared" si="12"/>
        <v/>
      </c>
      <c r="Q99" s="44">
        <f t="shared" si="11"/>
        <v>0</v>
      </c>
    </row>
    <row r="100" ht="15.75" customHeight="1">
      <c r="A100" s="45">
        <v>94.0</v>
      </c>
      <c r="B100" s="81"/>
      <c r="C100" s="73"/>
      <c r="D100" s="82">
        <v>45626.0</v>
      </c>
      <c r="E100" s="49">
        <f t="shared" si="13"/>
        <v>45626</v>
      </c>
      <c r="F100" s="54"/>
      <c r="G100" s="54"/>
      <c r="H100" s="51" t="str">
        <f t="shared" si="6"/>
        <v/>
      </c>
      <c r="I100" s="54"/>
      <c r="J100" s="53" t="str">
        <f t="shared" si="14"/>
        <v/>
      </c>
      <c r="K100" s="54"/>
      <c r="L100" s="53" t="str">
        <f t="shared" si="8"/>
        <v/>
      </c>
      <c r="M100" s="54"/>
      <c r="N100" s="55" t="str">
        <f t="shared" si="9"/>
        <v/>
      </c>
      <c r="O100" s="83"/>
      <c r="P100" s="54" t="str">
        <f t="shared" si="12"/>
        <v/>
      </c>
      <c r="Q100" s="56">
        <f t="shared" si="11"/>
        <v>0</v>
      </c>
    </row>
    <row r="101" ht="15.75" customHeight="1">
      <c r="A101" s="32">
        <v>95.0</v>
      </c>
      <c r="B101" s="79"/>
      <c r="C101" s="69"/>
      <c r="D101" s="74">
        <v>45627.0</v>
      </c>
      <c r="E101" s="36">
        <f t="shared" si="13"/>
        <v>45627</v>
      </c>
      <c r="F101" s="43"/>
      <c r="G101" s="43"/>
      <c r="H101" s="38" t="str">
        <f t="shared" si="6"/>
        <v/>
      </c>
      <c r="I101" s="43"/>
      <c r="J101" s="58" t="str">
        <f t="shared" si="14"/>
        <v/>
      </c>
      <c r="K101" s="43"/>
      <c r="L101" s="58" t="str">
        <f t="shared" si="8"/>
        <v/>
      </c>
      <c r="M101" s="43"/>
      <c r="N101" s="42" t="str">
        <f t="shared" si="9"/>
        <v/>
      </c>
      <c r="O101" s="43"/>
      <c r="P101" s="43" t="str">
        <f t="shared" si="12"/>
        <v/>
      </c>
      <c r="Q101" s="44">
        <f t="shared" si="11"/>
        <v>0</v>
      </c>
    </row>
    <row r="102" ht="15.75" customHeight="1">
      <c r="A102" s="45">
        <v>96.0</v>
      </c>
      <c r="B102" s="81"/>
      <c r="C102" s="73"/>
      <c r="D102" s="82">
        <v>45632.0</v>
      </c>
      <c r="E102" s="49">
        <f t="shared" si="13"/>
        <v>45632</v>
      </c>
      <c r="F102" s="54"/>
      <c r="G102" s="54"/>
      <c r="H102" s="51" t="str">
        <f t="shared" si="6"/>
        <v/>
      </c>
      <c r="I102" s="54"/>
      <c r="J102" s="53" t="str">
        <f t="shared" si="14"/>
        <v/>
      </c>
      <c r="K102" s="54"/>
      <c r="L102" s="53" t="str">
        <f t="shared" si="8"/>
        <v/>
      </c>
      <c r="M102" s="54"/>
      <c r="N102" s="55" t="str">
        <f t="shared" si="9"/>
        <v/>
      </c>
      <c r="O102" s="54"/>
      <c r="P102" s="54" t="str">
        <f t="shared" si="12"/>
        <v/>
      </c>
      <c r="Q102" s="56">
        <f t="shared" si="11"/>
        <v>0</v>
      </c>
    </row>
    <row r="103" ht="15.75" customHeight="1">
      <c r="A103" s="32">
        <v>97.0</v>
      </c>
      <c r="B103" s="79"/>
      <c r="C103" s="69"/>
      <c r="D103" s="74">
        <v>45633.0</v>
      </c>
      <c r="E103" s="36">
        <f t="shared" si="13"/>
        <v>45633</v>
      </c>
      <c r="F103" s="43"/>
      <c r="G103" s="43"/>
      <c r="H103" s="38" t="str">
        <f t="shared" si="6"/>
        <v/>
      </c>
      <c r="I103" s="43"/>
      <c r="J103" s="58" t="str">
        <f t="shared" si="14"/>
        <v/>
      </c>
      <c r="K103" s="43"/>
      <c r="L103" s="58" t="str">
        <f t="shared" si="8"/>
        <v/>
      </c>
      <c r="M103" s="43"/>
      <c r="N103" s="42" t="str">
        <f t="shared" si="9"/>
        <v/>
      </c>
      <c r="O103" s="43"/>
      <c r="P103" s="43" t="str">
        <f t="shared" si="12"/>
        <v/>
      </c>
      <c r="Q103" s="44">
        <f t="shared" si="11"/>
        <v>0</v>
      </c>
    </row>
    <row r="104" ht="15.75" customHeight="1">
      <c r="A104" s="45">
        <v>98.0</v>
      </c>
      <c r="B104" s="81"/>
      <c r="C104" s="73"/>
      <c r="D104" s="82">
        <v>45640.0</v>
      </c>
      <c r="E104" s="49">
        <f t="shared" si="13"/>
        <v>45640</v>
      </c>
      <c r="F104" s="54"/>
      <c r="G104" s="54"/>
      <c r="H104" s="51" t="str">
        <f t="shared" si="6"/>
        <v/>
      </c>
      <c r="I104" s="54"/>
      <c r="J104" s="53" t="str">
        <f t="shared" si="14"/>
        <v/>
      </c>
      <c r="K104" s="54"/>
      <c r="L104" s="53" t="str">
        <f t="shared" si="8"/>
        <v/>
      </c>
      <c r="M104" s="54"/>
      <c r="N104" s="55" t="str">
        <f t="shared" si="9"/>
        <v/>
      </c>
      <c r="O104" s="83"/>
      <c r="P104" s="54" t="str">
        <f t="shared" si="12"/>
        <v/>
      </c>
      <c r="Q104" s="56">
        <f t="shared" si="11"/>
        <v>0</v>
      </c>
    </row>
    <row r="105" ht="15.75" customHeight="1">
      <c r="A105" s="32">
        <v>99.0</v>
      </c>
      <c r="B105" s="79"/>
      <c r="C105" s="69"/>
      <c r="D105" s="74">
        <v>45652.0</v>
      </c>
      <c r="E105" s="36">
        <f t="shared" si="13"/>
        <v>45652</v>
      </c>
      <c r="F105" s="43"/>
      <c r="G105" s="43"/>
      <c r="H105" s="38" t="str">
        <f t="shared" si="6"/>
        <v/>
      </c>
      <c r="I105" s="43"/>
      <c r="J105" s="58" t="str">
        <f t="shared" si="14"/>
        <v/>
      </c>
      <c r="K105" s="43"/>
      <c r="L105" s="58" t="str">
        <f t="shared" si="8"/>
        <v/>
      </c>
      <c r="M105" s="43"/>
      <c r="N105" s="42" t="str">
        <f t="shared" si="9"/>
        <v/>
      </c>
      <c r="O105" s="43"/>
      <c r="P105" s="43" t="str">
        <f t="shared" si="12"/>
        <v/>
      </c>
      <c r="Q105" s="44">
        <f t="shared" si="11"/>
        <v>0</v>
      </c>
    </row>
    <row r="106" ht="15.75" customHeight="1">
      <c r="A106" s="45">
        <v>100.0</v>
      </c>
      <c r="B106" s="81"/>
      <c r="C106" s="73"/>
      <c r="D106" s="82">
        <v>45657.0</v>
      </c>
      <c r="E106" s="49">
        <f t="shared" si="13"/>
        <v>45657</v>
      </c>
      <c r="F106" s="54"/>
      <c r="G106" s="54"/>
      <c r="H106" s="51" t="str">
        <f t="shared" si="6"/>
        <v/>
      </c>
      <c r="I106" s="54"/>
      <c r="J106" s="53" t="str">
        <f t="shared" si="14"/>
        <v/>
      </c>
      <c r="K106" s="54"/>
      <c r="L106" s="53" t="str">
        <f t="shared" si="8"/>
        <v/>
      </c>
      <c r="M106" s="54"/>
      <c r="N106" s="55" t="str">
        <f t="shared" si="9"/>
        <v/>
      </c>
      <c r="O106" s="54"/>
      <c r="P106" s="54" t="str">
        <f t="shared" si="12"/>
        <v/>
      </c>
      <c r="Q106" s="56">
        <f t="shared" si="11"/>
        <v>0</v>
      </c>
    </row>
    <row r="107" ht="15.75" customHeight="1">
      <c r="A107" s="32"/>
      <c r="B107" s="79"/>
      <c r="C107" s="69"/>
      <c r="D107" s="74"/>
      <c r="E107" s="36"/>
      <c r="F107" s="43"/>
      <c r="G107" s="43"/>
      <c r="H107" s="38"/>
      <c r="I107" s="43"/>
      <c r="J107" s="58"/>
      <c r="K107" s="43"/>
      <c r="L107" s="58"/>
      <c r="M107" s="43"/>
      <c r="N107" s="42"/>
      <c r="O107" s="43"/>
      <c r="P107" s="43"/>
      <c r="Q107" s="44"/>
    </row>
    <row r="108" ht="15.75" customHeight="1">
      <c r="A108" s="45"/>
      <c r="B108" s="81" t="s">
        <v>60</v>
      </c>
      <c r="C108" s="73"/>
      <c r="D108" s="82"/>
      <c r="E108" s="49"/>
      <c r="F108" s="54"/>
      <c r="G108" s="54"/>
      <c r="H108" s="51"/>
      <c r="I108" s="54"/>
      <c r="J108" s="53"/>
      <c r="K108" s="54"/>
      <c r="L108" s="53"/>
      <c r="M108" s="54"/>
      <c r="N108" s="55"/>
      <c r="O108" s="54"/>
      <c r="P108" s="54"/>
      <c r="Q108" s="56"/>
    </row>
    <row r="109" ht="15.75" customHeight="1">
      <c r="A109" s="32"/>
      <c r="B109" s="79" t="s">
        <v>61</v>
      </c>
      <c r="C109" s="69"/>
      <c r="D109" s="74"/>
      <c r="E109" s="36"/>
      <c r="F109" s="43"/>
      <c r="G109" s="43"/>
      <c r="H109" s="38"/>
      <c r="I109" s="43"/>
      <c r="J109" s="58"/>
      <c r="K109" s="43"/>
      <c r="L109" s="58"/>
      <c r="M109" s="43"/>
      <c r="N109" s="42"/>
      <c r="O109" s="43"/>
      <c r="P109" s="43"/>
      <c r="Q109" s="44"/>
    </row>
    <row r="110" ht="15.75" customHeight="1">
      <c r="A110" s="45"/>
      <c r="B110" s="81" t="s">
        <v>62</v>
      </c>
      <c r="C110" s="73"/>
      <c r="D110" s="82"/>
      <c r="E110" s="49"/>
      <c r="F110" s="54"/>
      <c r="G110" s="54"/>
      <c r="H110" s="51"/>
      <c r="I110" s="54"/>
      <c r="J110" s="53"/>
      <c r="K110" s="54"/>
      <c r="L110" s="53"/>
      <c r="M110" s="54"/>
      <c r="N110" s="55"/>
      <c r="O110" s="54"/>
      <c r="P110" s="54"/>
      <c r="Q110" s="56"/>
    </row>
    <row r="111" ht="15.75" customHeight="1">
      <c r="A111" s="32"/>
      <c r="B111" s="79" t="s">
        <v>63</v>
      </c>
      <c r="C111" s="69"/>
      <c r="D111" s="74"/>
      <c r="E111" s="36"/>
      <c r="F111" s="43"/>
      <c r="G111" s="43"/>
      <c r="H111" s="38"/>
      <c r="I111" s="43"/>
      <c r="J111" s="58"/>
      <c r="K111" s="43"/>
      <c r="L111" s="58"/>
      <c r="M111" s="43"/>
      <c r="N111" s="42"/>
      <c r="O111" s="43"/>
      <c r="P111" s="43"/>
      <c r="Q111" s="44"/>
    </row>
    <row r="112" ht="15.75" customHeight="1">
      <c r="A112" s="45"/>
      <c r="B112" s="81" t="s">
        <v>64</v>
      </c>
      <c r="C112" s="73"/>
      <c r="D112" s="82"/>
      <c r="E112" s="49"/>
      <c r="F112" s="54"/>
      <c r="G112" s="54"/>
      <c r="H112" s="51"/>
      <c r="I112" s="54"/>
      <c r="J112" s="53"/>
      <c r="K112" s="54"/>
      <c r="L112" s="53"/>
      <c r="M112" s="54"/>
      <c r="N112" s="55"/>
      <c r="O112" s="54"/>
      <c r="P112" s="54"/>
      <c r="Q112" s="56"/>
    </row>
    <row r="113" ht="15.75" customHeight="1">
      <c r="A113" s="32"/>
      <c r="B113" s="79" t="s">
        <v>65</v>
      </c>
      <c r="C113" s="69"/>
      <c r="D113" s="74"/>
      <c r="E113" s="36"/>
      <c r="F113" s="43"/>
      <c r="G113" s="43"/>
      <c r="H113" s="38"/>
      <c r="I113" s="43"/>
      <c r="J113" s="58"/>
      <c r="K113" s="43"/>
      <c r="L113" s="58"/>
      <c r="M113" s="43"/>
      <c r="N113" s="42"/>
      <c r="O113" s="43"/>
      <c r="P113" s="43"/>
      <c r="Q113" s="44"/>
    </row>
    <row r="114" ht="15.75" customHeight="1">
      <c r="A114" s="45"/>
      <c r="B114" s="81" t="s">
        <v>66</v>
      </c>
      <c r="C114" s="73"/>
      <c r="D114" s="82"/>
      <c r="E114" s="49"/>
      <c r="F114" s="54"/>
      <c r="G114" s="54"/>
      <c r="H114" s="51"/>
      <c r="I114" s="54"/>
      <c r="J114" s="53"/>
      <c r="K114" s="54"/>
      <c r="L114" s="53"/>
      <c r="M114" s="54"/>
      <c r="N114" s="55"/>
      <c r="O114" s="54"/>
      <c r="P114" s="54"/>
      <c r="Q114" s="56"/>
    </row>
    <row r="115" ht="15.75" customHeight="1">
      <c r="A115" s="32"/>
      <c r="B115" s="79" t="s">
        <v>67</v>
      </c>
      <c r="C115" s="69"/>
      <c r="D115" s="74"/>
      <c r="E115" s="36"/>
      <c r="F115" s="43"/>
      <c r="G115" s="43"/>
      <c r="H115" s="38"/>
      <c r="I115" s="43"/>
      <c r="J115" s="58"/>
      <c r="K115" s="43"/>
      <c r="L115" s="58"/>
      <c r="M115" s="43"/>
      <c r="N115" s="42"/>
      <c r="O115" s="43"/>
      <c r="P115" s="43"/>
      <c r="Q115" s="44"/>
    </row>
    <row r="116" ht="15.75" customHeight="1">
      <c r="A116" s="45"/>
      <c r="B116" s="81"/>
      <c r="C116" s="73"/>
      <c r="D116" s="82"/>
      <c r="E116" s="49"/>
      <c r="F116" s="54"/>
      <c r="G116" s="54"/>
      <c r="H116" s="51"/>
      <c r="I116" s="54"/>
      <c r="J116" s="53"/>
      <c r="K116" s="54"/>
      <c r="L116" s="53"/>
      <c r="M116" s="54"/>
      <c r="N116" s="55"/>
      <c r="O116" s="54"/>
      <c r="P116" s="54"/>
      <c r="Q116" s="56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3">
    <mergeCell ref="O1:Q1"/>
    <mergeCell ref="B2:N2"/>
    <mergeCell ref="O2:Q2"/>
  </mergeCells>
  <printOptions horizontalCentered="1"/>
  <pageMargins bottom="0.75" footer="0.0" header="0.0" left="0.0" right="0.0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3.0"/>
    <col customWidth="1" min="3" max="3" width="3.29"/>
    <col customWidth="1" min="4" max="4" width="7.86"/>
    <col customWidth="1" min="5" max="5" width="0.29"/>
    <col customWidth="1" min="6" max="7" width="8.71"/>
    <col customWidth="1" min="8" max="8" width="9.29"/>
    <col customWidth="1" min="9" max="9" width="12.71"/>
    <col customWidth="1" min="10" max="10" width="10.86"/>
    <col customWidth="1" min="11" max="11" width="12.0"/>
    <col customWidth="1" min="12" max="12" width="9.71"/>
    <col customWidth="1" min="13" max="13" width="11.0"/>
    <col customWidth="1" min="14" max="14" width="9.14"/>
    <col customWidth="1" min="15" max="15" width="12.57"/>
    <col customWidth="1" min="16" max="16" width="10.71"/>
    <col customWidth="1" min="17" max="17" width="13.71"/>
    <col customWidth="1" min="18" max="18" width="8.71"/>
    <col customWidth="1" min="19" max="19" width="13.0"/>
    <col customWidth="1" min="20" max="20" width="10.14"/>
    <col customWidth="1" min="21" max="21" width="13.71"/>
    <col customWidth="1" min="22" max="22" width="11.14"/>
    <col customWidth="1" min="23" max="26" width="8.71"/>
  </cols>
  <sheetData>
    <row r="1">
      <c r="Q1" s="88"/>
      <c r="U1" s="88"/>
    </row>
    <row r="2" ht="15.0" customHeight="1"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89" t="s">
        <v>68</v>
      </c>
      <c r="P2" s="3"/>
      <c r="Q2" s="3"/>
      <c r="R2" s="4"/>
      <c r="S2" s="6" t="s">
        <v>69</v>
      </c>
      <c r="T2" s="3"/>
      <c r="U2" s="4"/>
    </row>
    <row r="3">
      <c r="B3" s="7" t="s">
        <v>3</v>
      </c>
      <c r="C3" s="8"/>
      <c r="D3" s="9" t="s">
        <v>70</v>
      </c>
      <c r="E3" s="9" t="s">
        <v>71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11" t="s">
        <v>15</v>
      </c>
      <c r="O3" s="12" t="s">
        <v>16</v>
      </c>
      <c r="P3" s="13" t="s">
        <v>17</v>
      </c>
      <c r="Q3" s="14" t="s">
        <v>18</v>
      </c>
      <c r="R3" s="90" t="s">
        <v>72</v>
      </c>
      <c r="S3" s="12" t="s">
        <v>16</v>
      </c>
      <c r="T3" s="13" t="s">
        <v>73</v>
      </c>
      <c r="U3" s="14" t="s">
        <v>18</v>
      </c>
    </row>
    <row r="4">
      <c r="B4" s="15" t="s">
        <v>19</v>
      </c>
      <c r="C4" s="16"/>
      <c r="D4" s="17">
        <f t="shared" ref="D4:E4" si="1">SUM(D7:D16)</f>
        <v>0</v>
      </c>
      <c r="E4" s="17">
        <f t="shared" si="1"/>
        <v>0</v>
      </c>
      <c r="F4" s="18">
        <f t="shared" ref="F4:G4" si="2">SUM(F7:F81)</f>
        <v>13873</v>
      </c>
      <c r="G4" s="18">
        <f t="shared" si="2"/>
        <v>19445</v>
      </c>
      <c r="H4" s="19"/>
      <c r="I4" s="20">
        <f>SUM(I7:I81)</f>
        <v>556993.14</v>
      </c>
      <c r="J4" s="19"/>
      <c r="K4" s="20">
        <f>SUM(K7:K81)</f>
        <v>299470</v>
      </c>
      <c r="L4" s="19"/>
      <c r="M4" s="20">
        <f t="shared" ref="M4:R4" si="3">SUM(M7:M81)</f>
        <v>283730.48</v>
      </c>
      <c r="N4" s="21" t="str">
        <f t="shared" si="3"/>
        <v>#DIV/0!</v>
      </c>
      <c r="O4" s="91">
        <f t="shared" si="3"/>
        <v>112838.56</v>
      </c>
      <c r="P4" s="20">
        <f t="shared" si="3"/>
        <v>299470</v>
      </c>
      <c r="Q4" s="22">
        <f t="shared" si="3"/>
        <v>412308.56</v>
      </c>
      <c r="R4" s="92">
        <f t="shared" si="3"/>
        <v>1</v>
      </c>
      <c r="S4" s="93"/>
      <c r="T4" s="94"/>
      <c r="U4" s="21"/>
    </row>
    <row r="5">
      <c r="B5" s="15" t="s">
        <v>20</v>
      </c>
      <c r="C5" s="16"/>
      <c r="D5" s="17"/>
      <c r="E5" s="17"/>
      <c r="F5" s="18" t="str">
        <f>F4/D4</f>
        <v>#DIV/0!</v>
      </c>
      <c r="G5" s="18" t="str">
        <f>G4/D4</f>
        <v>#DIV/0!</v>
      </c>
      <c r="H5" s="23">
        <f>F4/G4</f>
        <v>0.7134481872</v>
      </c>
      <c r="I5" s="20" t="str">
        <f>I4/D4</f>
        <v>#DIV/0!</v>
      </c>
      <c r="J5" s="24">
        <f>I4/F4</f>
        <v>40.14943704</v>
      </c>
      <c r="K5" s="20" t="str">
        <f>K4/E4</f>
        <v>#DIV/0!</v>
      </c>
      <c r="L5" s="24">
        <f>K4/F4</f>
        <v>21.586535</v>
      </c>
      <c r="M5" s="20" t="str">
        <f>M4/D4</f>
        <v>#DIV/0!</v>
      </c>
      <c r="N5" s="25">
        <f>M4/I4</f>
        <v>0.5093967226</v>
      </c>
      <c r="O5" s="91" t="str">
        <f>O4/E4</f>
        <v>#DIV/0!</v>
      </c>
      <c r="P5" s="20" t="str">
        <f>P4/E4</f>
        <v>#DIV/0!</v>
      </c>
      <c r="Q5" s="22" t="str">
        <f>Q4/E4</f>
        <v>#DIV/0!</v>
      </c>
      <c r="R5" s="21"/>
      <c r="S5" s="93"/>
      <c r="T5" s="94"/>
      <c r="U5" s="21"/>
    </row>
    <row r="6">
      <c r="B6" s="95"/>
      <c r="N6" s="96"/>
      <c r="O6" s="95"/>
      <c r="R6" s="96"/>
      <c r="S6" s="95"/>
      <c r="U6" s="96"/>
    </row>
    <row r="7">
      <c r="A7" s="97">
        <v>5.0</v>
      </c>
      <c r="B7" s="98" t="s">
        <v>74</v>
      </c>
      <c r="C7" s="99"/>
      <c r="D7" s="99">
        <f t="array" ref="D7">COUNTIF('Magic Stick'!C:C,A:A)</f>
        <v>0</v>
      </c>
      <c r="E7" s="99">
        <f t="array" ref="E7">COUNTIF('Magic Stick'!C:C,A:A)</f>
        <v>0</v>
      </c>
      <c r="F7" s="100">
        <f>SUMIF('Magic Stick'!$C:$C,A:A,'Magic Stick'!$F:$F)</f>
        <v>9282</v>
      </c>
      <c r="G7" s="100">
        <f>SUMIF('Magic Stick'!$C:$C,A:A,'Magic Stick'!$G:$G)</f>
        <v>10400</v>
      </c>
      <c r="H7" s="101">
        <f t="shared" ref="H7:H12" si="4">F7/G7</f>
        <v>0.8925</v>
      </c>
      <c r="I7" s="102">
        <f>SUMIF('Magic Stick'!$C:$C,A:A,'Magic Stick'!$I:$I)</f>
        <v>411370.99</v>
      </c>
      <c r="J7" s="103">
        <f t="shared" ref="J7:J12" si="5">I7/F7</f>
        <v>44.31921892</v>
      </c>
      <c r="K7" s="102">
        <f>SUMIF('Magic Stick'!$C:$C,A:A,'Magic Stick'!$K:$K)</f>
        <v>232561</v>
      </c>
      <c r="L7" s="103">
        <f t="shared" ref="L7:L12" si="6">K7/F7</f>
        <v>25.05505279</v>
      </c>
      <c r="M7" s="102">
        <f>SUMIF('Magic Stick'!$C:$C,A:A,'Magic Stick'!$M:$M)</f>
        <v>207950</v>
      </c>
      <c r="N7" s="104">
        <f t="shared" ref="N7:N12" si="7">M7/I7</f>
        <v>0.5055047756</v>
      </c>
      <c r="O7" s="105">
        <f>SUMIF('Magic Stick'!$C:$C,A:A,'Magic Stick'!$O:$O)</f>
        <v>93991.06</v>
      </c>
      <c r="P7" s="102">
        <f t="shared" ref="P7:P14" si="8">K7</f>
        <v>232561</v>
      </c>
      <c r="Q7" s="102">
        <f t="shared" ref="Q7:Q14" si="9">O7+P7</f>
        <v>326552.06</v>
      </c>
      <c r="R7" s="104">
        <f t="shared" ref="R7:R14" si="10">Q7/$Q$4</f>
        <v>0.7920089265</v>
      </c>
      <c r="S7" s="105" t="str">
        <f t="shared" ref="S7:S14" si="11">O7/E7</f>
        <v>#DIV/0!</v>
      </c>
      <c r="T7" s="102" t="str">
        <f t="shared" ref="T7:T14" si="12">P7/E7</f>
        <v>#DIV/0!</v>
      </c>
      <c r="U7" s="106" t="str">
        <f t="shared" ref="U7:U14" si="13">S7+T7</f>
        <v>#DIV/0!</v>
      </c>
    </row>
    <row r="8">
      <c r="A8" s="97">
        <v>1.0</v>
      </c>
      <c r="B8" s="95" t="s">
        <v>75</v>
      </c>
      <c r="D8" s="97">
        <f t="array" ref="D8">COUNTIF('Magic Stick'!C:C,A:A)</f>
        <v>0</v>
      </c>
      <c r="E8" s="97">
        <f t="array" ref="E8">COUNTIF('Magic Stick'!C:C,A:A)</f>
        <v>0</v>
      </c>
      <c r="F8" s="76">
        <f>SUMIF('Magic Stick'!$C:$C,A:A,'Magic Stick'!$F:$F)</f>
        <v>4591</v>
      </c>
      <c r="G8" s="76">
        <f>SUMIF('Magic Stick'!$C:$C,A:A,'Magic Stick'!$G:$G)</f>
        <v>9045</v>
      </c>
      <c r="H8" s="107">
        <f t="shared" si="4"/>
        <v>0.5075732449</v>
      </c>
      <c r="I8" s="108">
        <f>SUMIF('Magic Stick'!$C:$C,A:A,'Magic Stick'!$I:$I)</f>
        <v>145622.15</v>
      </c>
      <c r="J8" s="88">
        <f t="shared" si="5"/>
        <v>31.71904814</v>
      </c>
      <c r="K8" s="108">
        <f>SUMIF('Magic Stick'!$C:$C,A:A,'Magic Stick'!$K:$K)</f>
        <v>61553</v>
      </c>
      <c r="L8" s="88">
        <f t="shared" si="6"/>
        <v>13.40731867</v>
      </c>
      <c r="M8" s="108">
        <f>SUMIF('Magic Stick'!$C:$C,A:A,'Magic Stick'!$M:$M)</f>
        <v>75780.48</v>
      </c>
      <c r="N8" s="109">
        <f t="shared" si="7"/>
        <v>0.520391163</v>
      </c>
      <c r="O8" s="110">
        <f>SUMIF('Magic Stick'!$C:$C,A:A,'Magic Stick'!$O:$O)</f>
        <v>16922.5</v>
      </c>
      <c r="P8" s="108">
        <f t="shared" si="8"/>
        <v>61553</v>
      </c>
      <c r="Q8" s="108">
        <f t="shared" si="9"/>
        <v>78475.5</v>
      </c>
      <c r="R8" s="109">
        <f t="shared" si="10"/>
        <v>0.1903319689</v>
      </c>
      <c r="S8" s="110" t="str">
        <f t="shared" si="11"/>
        <v>#DIV/0!</v>
      </c>
      <c r="T8" s="108" t="str">
        <f t="shared" si="12"/>
        <v>#DIV/0!</v>
      </c>
      <c r="U8" s="111" t="str">
        <f t="shared" si="13"/>
        <v>#DIV/0!</v>
      </c>
    </row>
    <row r="9">
      <c r="A9" s="97">
        <v>2.0</v>
      </c>
      <c r="B9" s="98" t="s">
        <v>76</v>
      </c>
      <c r="C9" s="99"/>
      <c r="D9" s="99">
        <f t="array" ref="D9">COUNTIF('Magic Stick'!C:C,A:A)</f>
        <v>0</v>
      </c>
      <c r="E9" s="99">
        <f t="array" ref="E9">COUNTIF('Magic Stick'!C:C,A:A)</f>
        <v>0</v>
      </c>
      <c r="F9" s="100">
        <f>SUMIF('Magic Stick'!$C:$C,A:A,'Magic Stick'!$F:$F)</f>
        <v>0</v>
      </c>
      <c r="G9" s="100">
        <f>SUMIF('Magic Stick'!$C:$C,A:A,'Magic Stick'!$G:$G)</f>
        <v>0</v>
      </c>
      <c r="H9" s="101" t="str">
        <f t="shared" si="4"/>
        <v>#DIV/0!</v>
      </c>
      <c r="I9" s="102">
        <f>SUMIF('Magic Stick'!$C:$C,A:A,'Magic Stick'!$I:$I)</f>
        <v>0</v>
      </c>
      <c r="J9" s="103" t="str">
        <f t="shared" si="5"/>
        <v>#DIV/0!</v>
      </c>
      <c r="K9" s="102">
        <f>SUMIF('Magic Stick'!$C:$C,A:A,'Magic Stick'!$K:$K)</f>
        <v>0</v>
      </c>
      <c r="L9" s="103" t="str">
        <f t="shared" si="6"/>
        <v>#DIV/0!</v>
      </c>
      <c r="M9" s="102">
        <f>SUMIF('Magic Stick'!$C:$C,A:A,'Magic Stick'!$M:$M)</f>
        <v>0</v>
      </c>
      <c r="N9" s="104" t="str">
        <f t="shared" si="7"/>
        <v>#DIV/0!</v>
      </c>
      <c r="O9" s="105">
        <f>SUMIF('Magic Stick'!$C:$C,A:A,'Magic Stick'!$O:$O)</f>
        <v>0</v>
      </c>
      <c r="P9" s="102">
        <f t="shared" si="8"/>
        <v>0</v>
      </c>
      <c r="Q9" s="102">
        <f t="shared" si="9"/>
        <v>0</v>
      </c>
      <c r="R9" s="104">
        <f t="shared" si="10"/>
        <v>0</v>
      </c>
      <c r="S9" s="105" t="str">
        <f t="shared" si="11"/>
        <v>#DIV/0!</v>
      </c>
      <c r="T9" s="102" t="str">
        <f t="shared" si="12"/>
        <v>#DIV/0!</v>
      </c>
      <c r="U9" s="106" t="str">
        <f t="shared" si="13"/>
        <v>#DIV/0!</v>
      </c>
      <c r="V9" s="62"/>
    </row>
    <row r="10">
      <c r="A10" s="97">
        <v>8.0</v>
      </c>
      <c r="B10" s="95" t="s">
        <v>77</v>
      </c>
      <c r="D10" s="97">
        <f t="array" ref="D10">COUNTIF('Magic Stick'!C:C,A:A)</f>
        <v>0</v>
      </c>
      <c r="E10" s="97">
        <f t="array" ref="E10">COUNTIF('Magic Stick'!C:C,A:A)</f>
        <v>0</v>
      </c>
      <c r="F10" s="76">
        <f>SUMIF('Magic Stick'!$C:$C,A:A,'Magic Stick'!$F:$F)</f>
        <v>0</v>
      </c>
      <c r="G10" s="76">
        <f>SUMIF('Magic Stick'!$C:$C,A:A,'Magic Stick'!$G:$G)</f>
        <v>0</v>
      </c>
      <c r="H10" s="107" t="str">
        <f t="shared" si="4"/>
        <v>#DIV/0!</v>
      </c>
      <c r="I10" s="108">
        <f>SUMIF('Magic Stick'!$C:$C,A:A,'Magic Stick'!$I:$I)</f>
        <v>0</v>
      </c>
      <c r="J10" s="88" t="str">
        <f t="shared" si="5"/>
        <v>#DIV/0!</v>
      </c>
      <c r="K10" s="108">
        <f>SUMIF('Magic Stick'!$C:$C,A:A,'Magic Stick'!$K:$K)</f>
        <v>0</v>
      </c>
      <c r="L10" s="88" t="str">
        <f t="shared" si="6"/>
        <v>#DIV/0!</v>
      </c>
      <c r="M10" s="108">
        <f>SUMIF('Magic Stick'!$C:$C,A:A,'Magic Stick'!$M:$M)</f>
        <v>0</v>
      </c>
      <c r="N10" s="109" t="str">
        <f t="shared" si="7"/>
        <v>#DIV/0!</v>
      </c>
      <c r="O10" s="110">
        <f>SUMIF('Magic Stick'!$C:$C,A:A,'Magic Stick'!$O:$O)</f>
        <v>0</v>
      </c>
      <c r="P10" s="108">
        <f t="shared" si="8"/>
        <v>0</v>
      </c>
      <c r="Q10" s="108">
        <f t="shared" si="9"/>
        <v>0</v>
      </c>
      <c r="R10" s="109">
        <f t="shared" si="10"/>
        <v>0</v>
      </c>
      <c r="S10" s="110" t="str">
        <f t="shared" si="11"/>
        <v>#DIV/0!</v>
      </c>
      <c r="T10" s="108" t="str">
        <f t="shared" si="12"/>
        <v>#DIV/0!</v>
      </c>
      <c r="U10" s="111" t="str">
        <f t="shared" si="13"/>
        <v>#DIV/0!</v>
      </c>
    </row>
    <row r="11">
      <c r="A11" s="97">
        <v>4.0</v>
      </c>
      <c r="B11" s="98" t="s">
        <v>78</v>
      </c>
      <c r="C11" s="99"/>
      <c r="D11" s="99">
        <f t="array" ref="D11">COUNTIF('Magic Stick'!C:C,A:A)</f>
        <v>0</v>
      </c>
      <c r="E11" s="99">
        <f t="array" ref="E11">COUNTIF('Magic Stick'!C:C,A:A)</f>
        <v>0</v>
      </c>
      <c r="F11" s="100">
        <f>SUMIF('Magic Stick'!$C:$C,A:A,'Magic Stick'!$F:$F)</f>
        <v>0</v>
      </c>
      <c r="G11" s="100">
        <f>SUMIF('Magic Stick'!$C:$C,A:A,'Magic Stick'!$G:$G)</f>
        <v>0</v>
      </c>
      <c r="H11" s="101" t="str">
        <f t="shared" si="4"/>
        <v>#DIV/0!</v>
      </c>
      <c r="I11" s="102">
        <f>SUMIF('Magic Stick'!$C:$C,A:A,'Magic Stick'!$I:$I)</f>
        <v>0</v>
      </c>
      <c r="J11" s="103" t="str">
        <f t="shared" si="5"/>
        <v>#DIV/0!</v>
      </c>
      <c r="K11" s="102">
        <f>SUMIF('Magic Stick'!$C:$C,A:A,'Magic Stick'!$K:$K)</f>
        <v>0</v>
      </c>
      <c r="L11" s="103" t="str">
        <f t="shared" si="6"/>
        <v>#DIV/0!</v>
      </c>
      <c r="M11" s="102">
        <f>SUMIF('Magic Stick'!$C:$C,A:A,'Magic Stick'!$M:$M)</f>
        <v>0</v>
      </c>
      <c r="N11" s="104" t="str">
        <f t="shared" si="7"/>
        <v>#DIV/0!</v>
      </c>
      <c r="O11" s="105">
        <f>SUMIF('Magic Stick'!$C:$C,A:A,'Magic Stick'!$O:$O)</f>
        <v>0</v>
      </c>
      <c r="P11" s="102">
        <f t="shared" si="8"/>
        <v>0</v>
      </c>
      <c r="Q11" s="102">
        <f t="shared" si="9"/>
        <v>0</v>
      </c>
      <c r="R11" s="104">
        <f t="shared" si="10"/>
        <v>0</v>
      </c>
      <c r="S11" s="105" t="str">
        <f t="shared" si="11"/>
        <v>#DIV/0!</v>
      </c>
      <c r="T11" s="102" t="str">
        <f t="shared" si="12"/>
        <v>#DIV/0!</v>
      </c>
      <c r="U11" s="106" t="str">
        <f t="shared" si="13"/>
        <v>#DIV/0!</v>
      </c>
    </row>
    <row r="12">
      <c r="A12" s="97">
        <v>3.0</v>
      </c>
      <c r="B12" s="95" t="s">
        <v>79</v>
      </c>
      <c r="D12" s="97">
        <f t="array" ref="D12">COUNTIF('Magic Stick'!C:C,A:A)</f>
        <v>0</v>
      </c>
      <c r="E12" s="97">
        <f t="array" ref="E12">COUNTIF('Magic Stick'!C:C,A:A)</f>
        <v>0</v>
      </c>
      <c r="F12" s="76">
        <f>SUMIF('Magic Stick'!$C:$C,A:A,'Magic Stick'!$F:$F)</f>
        <v>0</v>
      </c>
      <c r="G12" s="76">
        <f>SUMIF('Magic Stick'!$C:$C,A:A,'Magic Stick'!$G:$G)</f>
        <v>0</v>
      </c>
      <c r="H12" s="107" t="str">
        <f t="shared" si="4"/>
        <v>#DIV/0!</v>
      </c>
      <c r="I12" s="108">
        <f>SUMIF('Magic Stick'!$C:$C,A:A,'Magic Stick'!$I:$I)</f>
        <v>0</v>
      </c>
      <c r="J12" s="88" t="str">
        <f t="shared" si="5"/>
        <v>#DIV/0!</v>
      </c>
      <c r="K12" s="108">
        <f>SUMIF('Magic Stick'!$C:$C,A:A,'Magic Stick'!$K:$K)</f>
        <v>0</v>
      </c>
      <c r="L12" s="88" t="str">
        <f t="shared" si="6"/>
        <v>#DIV/0!</v>
      </c>
      <c r="M12" s="108">
        <f>SUMIF('Magic Stick'!$C:$C,A:A,'Magic Stick'!$M:$M)</f>
        <v>0</v>
      </c>
      <c r="N12" s="109" t="str">
        <f t="shared" si="7"/>
        <v>#DIV/0!</v>
      </c>
      <c r="O12" s="110">
        <f>SUMIF('Magic Stick'!$C:$C,A:A,'Magic Stick'!$O:$O)</f>
        <v>0</v>
      </c>
      <c r="P12" s="108">
        <f t="shared" si="8"/>
        <v>0</v>
      </c>
      <c r="Q12" s="108">
        <f t="shared" si="9"/>
        <v>0</v>
      </c>
      <c r="R12" s="109">
        <f t="shared" si="10"/>
        <v>0</v>
      </c>
      <c r="S12" s="110" t="str">
        <f t="shared" si="11"/>
        <v>#DIV/0!</v>
      </c>
      <c r="T12" s="108" t="str">
        <f t="shared" si="12"/>
        <v>#DIV/0!</v>
      </c>
      <c r="U12" s="111" t="str">
        <f t="shared" si="13"/>
        <v>#DIV/0!</v>
      </c>
    </row>
    <row r="13">
      <c r="A13" s="97">
        <v>6.0</v>
      </c>
      <c r="B13" s="98" t="s">
        <v>80</v>
      </c>
      <c r="C13" s="99"/>
      <c r="D13" s="99"/>
      <c r="E13" s="99">
        <f t="array" ref="E13">COUNTIF('Magic Stick'!C:C,A:A)</f>
        <v>0</v>
      </c>
      <c r="F13" s="100"/>
      <c r="G13" s="100"/>
      <c r="H13" s="101"/>
      <c r="I13" s="102"/>
      <c r="J13" s="103"/>
      <c r="K13" s="102">
        <f>SUMIF('Magic Stick'!$C:$C,A:A,'Magic Stick'!$K:$K)</f>
        <v>5356</v>
      </c>
      <c r="L13" s="103"/>
      <c r="M13" s="102"/>
      <c r="N13" s="104"/>
      <c r="O13" s="105">
        <f>SUMIF('Magic Stick'!$C:$C,A:A,'Magic Stick'!$O:$O)</f>
        <v>1925</v>
      </c>
      <c r="P13" s="102">
        <f t="shared" si="8"/>
        <v>5356</v>
      </c>
      <c r="Q13" s="102">
        <f t="shared" si="9"/>
        <v>7281</v>
      </c>
      <c r="R13" s="104">
        <f t="shared" si="10"/>
        <v>0.01765910463</v>
      </c>
      <c r="S13" s="105" t="str">
        <f t="shared" si="11"/>
        <v>#DIV/0!</v>
      </c>
      <c r="T13" s="102" t="str">
        <f t="shared" si="12"/>
        <v>#DIV/0!</v>
      </c>
      <c r="U13" s="106" t="str">
        <f t="shared" si="13"/>
        <v>#DIV/0!</v>
      </c>
    </row>
    <row r="14">
      <c r="A14" s="97">
        <v>7.0</v>
      </c>
      <c r="B14" s="95" t="s">
        <v>81</v>
      </c>
      <c r="D14" s="97">
        <f t="array" ref="D14">COUNTIF('Magic Stick'!C:C,A:A)</f>
        <v>0</v>
      </c>
      <c r="E14" s="97">
        <f t="array" ref="E14">COUNTIF('Magic Stick'!C:C,A:A)</f>
        <v>0</v>
      </c>
      <c r="F14" s="76">
        <f>SUMIF('Magic Stick'!$C:$C,A:A,'Magic Stick'!$F:$F)</f>
        <v>0</v>
      </c>
      <c r="G14" s="76">
        <f>SUMIF('Magic Stick'!$C:$C,A:A,'Magic Stick'!$G:$G)</f>
        <v>0</v>
      </c>
      <c r="H14" s="107" t="str">
        <f>F14/G14</f>
        <v>#DIV/0!</v>
      </c>
      <c r="I14" s="108">
        <f>SUMIF('Magic Stick'!$C:$C,A:A,'Magic Stick'!$I:$I)</f>
        <v>0</v>
      </c>
      <c r="J14" s="88" t="str">
        <f>I14/F14</f>
        <v>#DIV/0!</v>
      </c>
      <c r="K14" s="108">
        <f>SUMIF('Magic Stick'!$C:$C,A:A,'Magic Stick'!$K:$K)</f>
        <v>0</v>
      </c>
      <c r="L14" s="88" t="str">
        <f>K14/F14</f>
        <v>#DIV/0!</v>
      </c>
      <c r="M14" s="108">
        <f>SUMIF('Magic Stick'!$C:$C,A:A,'Magic Stick'!$M:$M)</f>
        <v>0</v>
      </c>
      <c r="N14" s="109" t="str">
        <f>M14/I14</f>
        <v>#DIV/0!</v>
      </c>
      <c r="O14" s="110">
        <f>SUMIF('Magic Stick'!$C:$C,A:A,'Magic Stick'!$O:$O)</f>
        <v>0</v>
      </c>
      <c r="P14" s="108">
        <f t="shared" si="8"/>
        <v>0</v>
      </c>
      <c r="Q14" s="108">
        <f t="shared" si="9"/>
        <v>0</v>
      </c>
      <c r="R14" s="109">
        <f t="shared" si="10"/>
        <v>0</v>
      </c>
      <c r="S14" s="110" t="str">
        <f t="shared" si="11"/>
        <v>#DIV/0!</v>
      </c>
      <c r="T14" s="108" t="str">
        <f t="shared" si="12"/>
        <v>#DIV/0!</v>
      </c>
      <c r="U14" s="111" t="str">
        <f t="shared" si="13"/>
        <v>#DIV/0!</v>
      </c>
    </row>
    <row r="15">
      <c r="B15" s="95"/>
      <c r="N15" s="96"/>
      <c r="O15" s="95"/>
      <c r="Q15" s="108"/>
      <c r="R15" s="96"/>
      <c r="S15" s="95"/>
      <c r="U15" s="96"/>
    </row>
    <row r="16">
      <c r="B16" s="95"/>
      <c r="N16" s="96"/>
      <c r="O16" s="95"/>
      <c r="R16" s="96"/>
      <c r="S16" s="95"/>
      <c r="U16" s="96"/>
    </row>
    <row r="17">
      <c r="B17" s="112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4"/>
      <c r="O17" s="112"/>
      <c r="P17" s="113"/>
      <c r="Q17" s="113"/>
      <c r="R17" s="114"/>
      <c r="S17" s="112"/>
      <c r="T17" s="113"/>
      <c r="U17" s="1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N2"/>
    <mergeCell ref="O2:R2"/>
    <mergeCell ref="S2:U2"/>
  </mergeCells>
  <printOptions horizontalCentered="1"/>
  <pageMargins bottom="0.75" footer="0.0" header="0.0" left="0.2" right="0.2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2019-03-04T20:21:35Z</dcterms:created>
  <dc:creator>Tom Ott</dc:creator>
</cp:coreProperties>
</file>